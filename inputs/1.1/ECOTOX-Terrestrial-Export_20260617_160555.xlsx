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rrestrial-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39">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71">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0" fontId="32" fillId="0" borderId="0" xfId="0" applyFont="true"/>
    <xf numFmtId="0" fontId="34" fillId="0" borderId="0" xfId="0" applyFont="true"/>
    <xf numFmtId="0" fontId="36" fillId="0" borderId="0" xfId="0" applyFont="true"/>
    <xf numFmtId="0" fontId="38" fillId="0" borderId="0" xfId="0" applyFont="true"/>
    <xf numFmtId="0" fontId="40" fillId="0" borderId="0" xfId="0" applyFont="true"/>
    <xf numFmtId="0" fontId="42" fillId="0" borderId="0" xfId="0" applyFont="true"/>
    <xf numFmtId="0" fontId="44" fillId="0" borderId="0" xfId="0" applyFont="true"/>
    <xf numFmtId="0" fontId="46" fillId="0" borderId="0" xfId="0" applyFont="true"/>
    <xf numFmtId="0" fontId="48" fillId="0" borderId="0" xfId="0" applyFont="true"/>
    <xf numFmtId="0" fontId="50" fillId="0" borderId="0" xfId="0" applyFont="true"/>
    <xf numFmtId="0" fontId="52" fillId="0" borderId="0" xfId="0" applyFont="true"/>
    <xf numFmtId="0" fontId="54" fillId="0" borderId="0" xfId="0" applyFont="true"/>
    <xf numFmtId="0" fontId="56" fillId="0" borderId="0" xfId="0" applyFont="true"/>
    <xf numFmtId="0" fontId="58" fillId="0" borderId="0" xfId="0" applyFont="true"/>
    <xf numFmtId="0" fontId="60" fillId="0" borderId="0" xfId="0" applyFont="true"/>
    <xf numFmtId="0" fontId="62" fillId="0" borderId="0" xfId="0" applyFont="true"/>
    <xf numFmtId="0" fontId="64" fillId="0" borderId="0" xfId="0" applyFont="true"/>
    <xf numFmtId="0" fontId="66" fillId="0" borderId="0" xfId="0" applyFont="true"/>
    <xf numFmtId="0" fontId="68" fillId="0" borderId="0" xfId="0" applyFont="true"/>
    <xf numFmtId="0" fontId="70" fillId="0" borderId="0" xfId="0" applyFont="true"/>
    <xf numFmtId="0" fontId="72" fillId="0" borderId="0" xfId="0" applyFont="true"/>
    <xf numFmtId="0" fontId="74" fillId="0" borderId="0" xfId="0" applyFont="true"/>
    <xf numFmtId="0" fontId="76" fillId="0" borderId="0" xfId="0" applyFont="true"/>
    <xf numFmtId="0" fontId="78" fillId="0" borderId="0" xfId="0" applyFont="true"/>
    <xf numFmtId="0" fontId="80" fillId="0" borderId="0" xfId="0" applyFont="true"/>
    <xf numFmtId="0" fontId="82" fillId="0" borderId="0" xfId="0" applyFont="true"/>
    <xf numFmtId="0" fontId="84" fillId="0" borderId="0" xfId="0" applyFont="true"/>
    <xf numFmtId="0" fontId="86" fillId="0" borderId="0" xfId="0" applyFont="true"/>
    <xf numFmtId="0" fontId="88" fillId="0" borderId="0" xfId="0" applyFont="true"/>
    <xf numFmtId="0" fontId="90" fillId="0" borderId="0" xfId="0" applyFont="true"/>
    <xf numFmtId="0" fontId="92" fillId="0" borderId="0" xfId="0" applyFont="true"/>
    <xf numFmtId="0" fontId="94" fillId="0" borderId="0" xfId="0" applyFont="true"/>
    <xf numFmtId="0" fontId="96" fillId="0" borderId="0" xfId="0" applyFont="true"/>
    <xf numFmtId="0" fontId="98" fillId="0" borderId="0" xfId="0" applyFont="true"/>
    <xf numFmtId="0" fontId="100" fillId="0" borderId="0" xfId="0" applyFont="true"/>
    <xf numFmtId="0" fontId="102" fillId="0" borderId="0" xfId="0" applyFont="true"/>
    <xf numFmtId="0" fontId="104" fillId="0" borderId="0" xfId="0" applyFont="true"/>
    <xf numFmtId="0" fontId="106" fillId="0" borderId="0" xfId="0" applyFont="true"/>
    <xf numFmtId="0" fontId="108" fillId="0" borderId="0" xfId="0" applyFont="true"/>
    <xf numFmtId="0" fontId="110" fillId="0" borderId="0" xfId="0" applyFont="true"/>
    <xf numFmtId="0" fontId="112" fillId="0" borderId="0" xfId="0" applyFont="true"/>
    <xf numFmtId="0" fontId="114" fillId="0" borderId="0" xfId="0" applyFont="true"/>
    <xf numFmtId="0" fontId="116" fillId="0" borderId="0" xfId="0" applyFont="true"/>
    <xf numFmtId="0" fontId="118" fillId="0" borderId="0" xfId="0" applyFont="true"/>
    <xf numFmtId="0" fontId="120" fillId="0" borderId="0" xfId="0" applyFont="true"/>
    <xf numFmtId="0" fontId="122" fillId="0" borderId="0" xfId="0" applyFont="true"/>
    <xf numFmtId="0" fontId="124" fillId="0" borderId="0" xfId="0" applyFont="true"/>
    <xf numFmtId="0" fontId="126" fillId="0" borderId="0" xfId="0" applyFont="true"/>
    <xf numFmtId="0" fontId="128" fillId="0" borderId="0" xfId="0" applyFont="true"/>
    <xf numFmtId="0" fontId="130" fillId="0" borderId="0" xfId="0" applyFont="true"/>
    <xf numFmtId="0" fontId="132" fillId="0" borderId="0" xfId="0" applyFont="true"/>
    <xf numFmtId="0" fontId="134" fillId="0" borderId="0" xfId="0" applyFont="true"/>
    <xf numFmtId="0" fontId="136" fillId="0" borderId="0" xfId="0" applyFont="true"/>
    <xf numFmtId="0" fontId="138"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 Method</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Organism Age Units</t>
        </is>
      </c>
      <c r="V1" t="inlineStr">
        <is>
          <t>Exposure Type</t>
        </is>
      </c>
      <c r="W1" t="inlineStr">
        <is>
          <t>Media Type</t>
        </is>
      </c>
      <c r="X1" t="inlineStr">
        <is>
          <t>Test Location</t>
        </is>
      </c>
      <c r="Y1" t="inlineStr">
        <is>
          <t>Number of Doses</t>
        </is>
      </c>
      <c r="Z1" t="inlineStr">
        <is>
          <t>Conc 1 Type (Author)</t>
        </is>
      </c>
      <c r="AA1" t="inlineStr">
        <is>
          <t>Conc 1 Mean Op (Author)</t>
        </is>
      </c>
      <c r="AB1" t="inlineStr">
        <is>
          <t>Conc 1 Mean (Author)</t>
        </is>
      </c>
      <c r="AC1" t="inlineStr">
        <is>
          <t>Conc 1 Min Op (Author)</t>
        </is>
      </c>
      <c r="AD1" t="inlineStr">
        <is>
          <t>Conc Min 1 (Author)</t>
        </is>
      </c>
      <c r="AE1" t="inlineStr">
        <is>
          <t>Conc 1 Max Op (Author)</t>
        </is>
      </c>
      <c r="AF1" t="inlineStr">
        <is>
          <t>Conc 1 Max (Author)</t>
        </is>
      </c>
      <c r="AG1" t="inlineStr">
        <is>
          <t>Conc 1 Units (Author)</t>
        </is>
      </c>
      <c r="AH1" t="inlineStr">
        <is>
          <t>Conc 2 Type (Author)</t>
        </is>
      </c>
      <c r="AI1" t="inlineStr">
        <is>
          <t>Conc 2 Mean Op (Author)</t>
        </is>
      </c>
      <c r="AJ1" t="inlineStr">
        <is>
          <t>Conc 2 Mean (Author)</t>
        </is>
      </c>
      <c r="AK1" t="inlineStr">
        <is>
          <t>Conc 2 Min Op (Author)</t>
        </is>
      </c>
      <c r="AL1" t="inlineStr">
        <is>
          <t>Conc Min 2 (Author)</t>
        </is>
      </c>
      <c r="AM1" t="inlineStr">
        <is>
          <t>Conc 2 Max Op (Author)</t>
        </is>
      </c>
      <c r="AN1" t="inlineStr">
        <is>
          <t>Conc 2 Max (Author)</t>
        </is>
      </c>
      <c r="AO1" t="inlineStr">
        <is>
          <t>Conc 2 Units (Author)</t>
        </is>
      </c>
      <c r="AP1" t="inlineStr">
        <is>
          <t>Conc 3 Type (Author)</t>
        </is>
      </c>
      <c r="AQ1" t="inlineStr">
        <is>
          <t>Conc 3 Mean Op (Author)</t>
        </is>
      </c>
      <c r="AR1" t="inlineStr">
        <is>
          <t>Conc 3 Mean (Author)</t>
        </is>
      </c>
      <c r="AS1" t="inlineStr">
        <is>
          <t>Conc 3 Min Op (Author)</t>
        </is>
      </c>
      <c r="AT1" t="inlineStr">
        <is>
          <t>Conc Min 3 (Author)</t>
        </is>
      </c>
      <c r="AU1" t="inlineStr">
        <is>
          <t>Conc 3 Max Op (Author)</t>
        </is>
      </c>
      <c r="AV1" t="inlineStr">
        <is>
          <t>Conc 3 Max (Author)</t>
        </is>
      </c>
      <c r="AW1" t="inlineStr">
        <is>
          <t>Conc 3 Units (Author)</t>
        </is>
      </c>
      <c r="AX1" t="inlineStr">
        <is>
          <t>Effect</t>
        </is>
      </c>
      <c r="AY1" t="inlineStr">
        <is>
          <t>Effect Measurement</t>
        </is>
      </c>
      <c r="AZ1" t="inlineStr">
        <is>
          <t>Endpoint</t>
        </is>
      </c>
      <c r="BA1" t="inlineStr">
        <is>
          <t>Observed Response Mean Op</t>
        </is>
      </c>
      <c r="BB1" t="inlineStr">
        <is>
          <t>Observed Response Mean</t>
        </is>
      </c>
      <c r="BC1" t="inlineStr">
        <is>
          <t>Observed Response Min Op</t>
        </is>
      </c>
      <c r="BD1" t="inlineStr">
        <is>
          <t>Observed Response Min</t>
        </is>
      </c>
      <c r="BE1" t="inlineStr">
        <is>
          <t>Observed Response Max Op</t>
        </is>
      </c>
      <c r="BF1" t="inlineStr">
        <is>
          <t>Observed Response Max</t>
        </is>
      </c>
      <c r="BG1" t="inlineStr">
        <is>
          <t>Result Statistical Method</t>
        </is>
      </c>
      <c r="BH1" t="inlineStr">
        <is>
          <t>Observed Response Value</t>
        </is>
      </c>
      <c r="BI1" t="inlineStr">
        <is>
          <t>Observed Response Units</t>
        </is>
      </c>
      <c r="BJ1" t="inlineStr">
        <is>
          <t>Response Site</t>
        </is>
      </c>
      <c r="BK1" t="inlineStr">
        <is>
          <t>Observed Duration Op (Days)</t>
        </is>
      </c>
      <c r="BL1" t="inlineStr">
        <is>
          <t>Observed Duration (Days)</t>
        </is>
      </c>
      <c r="BM1" t="inlineStr">
        <is>
          <t>Observed Duration Min Op (Days)</t>
        </is>
      </c>
      <c r="BN1" t="inlineStr">
        <is>
          <t>Observed Duration Min (Days)</t>
        </is>
      </c>
      <c r="BO1" t="inlineStr">
        <is>
          <t>Observed Duration Max Op (Days)</t>
        </is>
      </c>
      <c r="BP1" t="inlineStr">
        <is>
          <t>Observed Duration Max (Days)</t>
        </is>
      </c>
      <c r="BQ1" t="inlineStr">
        <is>
          <t>Observed Duration Units (Days)</t>
        </is>
      </c>
      <c r="BR1" t="inlineStr">
        <is>
          <t>Author</t>
        </is>
      </c>
      <c r="BS1" t="inlineStr">
        <is>
          <t>Reference Number</t>
        </is>
      </c>
      <c r="BT1" t="inlineStr">
        <is>
          <t>Title</t>
        </is>
      </c>
      <c r="BU1" t="inlineStr">
        <is>
          <t>Source</t>
        </is>
      </c>
      <c r="BV1" t="inlineStr">
        <is>
          <t>Publication Year</t>
        </is>
      </c>
      <c r="BW1" t="inlineStr">
        <is>
          <t>Citation</t>
        </is>
      </c>
    </row>
    <row r="2">
      <c r="A2" t="n">
        <v>754916.0</v>
      </c>
      <c r="B2" t="inlineStr">
        <is>
          <t>1,1,2,2,3,3,4,4,5,5,6,6,7,7,8,8,8-Heptadecafluoro-1-octanesulfonamide</t>
        </is>
      </c>
      <c r="C2" t="inlineStr">
        <is>
          <t>Analytical grade</t>
        </is>
      </c>
      <c r="D2" t="inlineStr">
        <is>
          <t>Unmeasured</t>
        </is>
      </c>
      <c r="E2"/>
      <c r="F2" t="n">
        <v>96.0</v>
      </c>
      <c r="G2"/>
      <c r="H2"/>
      <c r="I2"/>
      <c r="J2"/>
      <c r="K2" t="inlineStr">
        <is>
          <t>Caenorhabditis elegans</t>
        </is>
      </c>
      <c r="L2" t="inlineStr">
        <is>
          <t>Nematode</t>
        </is>
      </c>
      <c r="M2" t="inlineStr">
        <is>
          <t>Worms; Standard Test Species</t>
        </is>
      </c>
      <c r="N2" t="inlineStr">
        <is>
          <t>Larva</t>
        </is>
      </c>
      <c r="O2"/>
      <c r="P2" t="n">
        <v>1.0</v>
      </c>
      <c r="Q2"/>
      <c r="R2"/>
      <c r="S2"/>
      <c r="T2"/>
      <c r="U2" t="inlineStr">
        <is>
          <t>Stage</t>
        </is>
      </c>
      <c r="V2" t="inlineStr">
        <is>
          <t>Culture medium</t>
        </is>
      </c>
      <c r="W2" t="inlineStr">
        <is>
          <t>Culture</t>
        </is>
      </c>
      <c r="X2" t="inlineStr">
        <is>
          <t>Lab</t>
        </is>
      </c>
      <c r="Y2" t="n">
        <v>3.0</v>
      </c>
      <c r="Z2" t="inlineStr">
        <is>
          <t>Active ingredient</t>
        </is>
      </c>
      <c r="AA2"/>
      <c r="AB2" t="n">
        <v>5.0</v>
      </c>
      <c r="AC2"/>
      <c r="AD2"/>
      <c r="AE2"/>
      <c r="AF2"/>
      <c r="AG2" t="inlineStr">
        <is>
          <t>ppm</t>
        </is>
      </c>
      <c r="AH2"/>
      <c r="AI2"/>
      <c r="AJ2"/>
      <c r="AK2"/>
      <c r="AL2"/>
      <c r="AM2"/>
      <c r="AN2"/>
      <c r="AO2"/>
      <c r="AP2"/>
      <c r="AQ2"/>
      <c r="AR2"/>
      <c r="AS2"/>
      <c r="AT2"/>
      <c r="AU2"/>
      <c r="AV2"/>
      <c r="AW2"/>
      <c r="AX2" t="inlineStr">
        <is>
          <t>Accumulation</t>
        </is>
      </c>
      <c r="AY2" t="inlineStr">
        <is>
          <t>Residue</t>
        </is>
      </c>
      <c r="AZ2" t="inlineStr">
        <is>
          <t>BCF</t>
        </is>
      </c>
      <c r="BA2"/>
      <c r="BB2" t="n">
        <v>49.25</v>
      </c>
      <c r="BC2"/>
      <c r="BD2"/>
      <c r="BE2"/>
      <c r="BF2"/>
      <c r="BG2"/>
      <c r="BH2"/>
      <c r="BI2" t="inlineStr">
        <is>
          <t>RA</t>
        </is>
      </c>
      <c r="BJ2" t="inlineStr">
        <is>
          <t>Whole organism</t>
        </is>
      </c>
      <c r="BK2"/>
      <c r="BL2" t="n">
        <v>2.0</v>
      </c>
      <c r="BM2"/>
      <c r="BN2"/>
      <c r="BO2"/>
      <c r="BP2"/>
      <c r="BQ2" t="inlineStr">
        <is>
          <t>Day(s)</t>
        </is>
      </c>
      <c r="BR2" t="inlineStr">
        <is>
          <t>Currie,S.D., Y. Ji, Q. Huang, J.S. Wang, and L. Tang</t>
        </is>
      </c>
      <c r="BS2" t="n">
        <v>194013.0</v>
      </c>
      <c r="BT2" t="inlineStr">
        <is>
          <t>The Impact of Early Life Exposure to Individual and Combined PFAS on Learning, Memory, and Bioaccumulation in C. elegans</t>
        </is>
      </c>
      <c r="BU2" t="inlineStr">
        <is>
          <t>Environ. Pollut.363(2): 13 p.</t>
        </is>
      </c>
      <c r="BV2" t="n">
        <v>2024.0</v>
      </c>
      <c r="BW2" t="inlineStr">
        <is>
          <t>Currie,S.D., Y. Ji, Q. Huang, J.S. Wang, and L. Tang (2024). The Impact of Early Life Exposure to Individual and Combined PFAS on Learning, Memory, and Bioaccumulation in C. elegans. Environ. Pollut., 363, (2), 13 p. doi:10.1016/j.envpol.2024.125257. ECOREF#:194013</t>
        </is>
      </c>
    </row>
    <row r="3">
      <c r="A3" t="n">
        <v>754916.0</v>
      </c>
      <c r="B3" t="inlineStr">
        <is>
          <t>1,1,2,2,3,3,4,4,5,5,6,6,7,7,8,8,8-Heptadecafluoro-1-octanesulfonamide</t>
        </is>
      </c>
      <c r="C3" t="inlineStr">
        <is>
          <t>Analytical grade</t>
        </is>
      </c>
      <c r="D3" t="inlineStr">
        <is>
          <t>Unmeasured</t>
        </is>
      </c>
      <c r="E3"/>
      <c r="F3" t="n">
        <v>96.0</v>
      </c>
      <c r="G3"/>
      <c r="H3"/>
      <c r="I3"/>
      <c r="J3"/>
      <c r="K3" t="inlineStr">
        <is>
          <t>Caenorhabditis elegans</t>
        </is>
      </c>
      <c r="L3" t="inlineStr">
        <is>
          <t>Nematode</t>
        </is>
      </c>
      <c r="M3" t="inlineStr">
        <is>
          <t>Worms; Standard Test Species</t>
        </is>
      </c>
      <c r="N3" t="inlineStr">
        <is>
          <t>Larva</t>
        </is>
      </c>
      <c r="O3"/>
      <c r="P3" t="n">
        <v>1.0</v>
      </c>
      <c r="Q3"/>
      <c r="R3"/>
      <c r="S3"/>
      <c r="T3"/>
      <c r="U3" t="inlineStr">
        <is>
          <t>Stage</t>
        </is>
      </c>
      <c r="V3" t="inlineStr">
        <is>
          <t>Culture medium</t>
        </is>
      </c>
      <c r="W3" t="inlineStr">
        <is>
          <t>Culture</t>
        </is>
      </c>
      <c r="X3" t="inlineStr">
        <is>
          <t>Lab</t>
        </is>
      </c>
      <c r="Y3" t="n">
        <v>3.0</v>
      </c>
      <c r="Z3" t="inlineStr">
        <is>
          <t>Active ingredient</t>
        </is>
      </c>
      <c r="AA3"/>
      <c r="AB3" t="n">
        <v>10.0</v>
      </c>
      <c r="AC3"/>
      <c r="AD3"/>
      <c r="AE3"/>
      <c r="AF3"/>
      <c r="AG3" t="inlineStr">
        <is>
          <t>ppm</t>
        </is>
      </c>
      <c r="AH3"/>
      <c r="AI3"/>
      <c r="AJ3"/>
      <c r="AK3"/>
      <c r="AL3"/>
      <c r="AM3"/>
      <c r="AN3"/>
      <c r="AO3"/>
      <c r="AP3"/>
      <c r="AQ3"/>
      <c r="AR3"/>
      <c r="AS3"/>
      <c r="AT3"/>
      <c r="AU3"/>
      <c r="AV3"/>
      <c r="AW3"/>
      <c r="AX3" t="inlineStr">
        <is>
          <t>Accumulation</t>
        </is>
      </c>
      <c r="AY3" t="inlineStr">
        <is>
          <t>Residue</t>
        </is>
      </c>
      <c r="AZ3" t="inlineStr">
        <is>
          <t>BCF</t>
        </is>
      </c>
      <c r="BA3"/>
      <c r="BB3" t="n">
        <v>34.94</v>
      </c>
      <c r="BC3"/>
      <c r="BD3"/>
      <c r="BE3"/>
      <c r="BF3"/>
      <c r="BG3"/>
      <c r="BH3"/>
      <c r="BI3" t="inlineStr">
        <is>
          <t>RA</t>
        </is>
      </c>
      <c r="BJ3" t="inlineStr">
        <is>
          <t>Whole organism</t>
        </is>
      </c>
      <c r="BK3"/>
      <c r="BL3" t="n">
        <v>2.0</v>
      </c>
      <c r="BM3"/>
      <c r="BN3"/>
      <c r="BO3"/>
      <c r="BP3"/>
      <c r="BQ3" t="inlineStr">
        <is>
          <t>Day(s)</t>
        </is>
      </c>
      <c r="BR3" t="inlineStr">
        <is>
          <t>Currie,S.D., Y. Ji, Q. Huang, J.S. Wang, and L. Tang</t>
        </is>
      </c>
      <c r="BS3" t="n">
        <v>194013.0</v>
      </c>
      <c r="BT3" t="inlineStr">
        <is>
          <t>The Impact of Early Life Exposure to Individual and Combined PFAS on Learning, Memory, and Bioaccumulation in C. elegans</t>
        </is>
      </c>
      <c r="BU3" t="inlineStr">
        <is>
          <t>Environ. Pollut.363(2): 13 p.</t>
        </is>
      </c>
      <c r="BV3" t="n">
        <v>2024.0</v>
      </c>
      <c r="BW3" t="inlineStr">
        <is>
          <t>Currie,S.D., Y. Ji, Q. Huang, J.S. Wang, and L. Tang (2024). The Impact of Early Life Exposure to Individual and Combined PFAS on Learning, Memory, and Bioaccumulation in C. elegans. Environ. Pollut., 363, (2), 13 p. doi:10.1016/j.envpol.2024.125257. ECOREF#:194013</t>
        </is>
      </c>
    </row>
    <row r="4">
      <c r="A4" t="n">
        <v>754916.0</v>
      </c>
      <c r="B4" t="inlineStr">
        <is>
          <t>1,1,2,2,3,3,4,4,5,5,6,6,7,7,8,8,8-Heptadecafluoro-1-octanesulfonamide</t>
        </is>
      </c>
      <c r="C4" t="inlineStr">
        <is>
          <t>Analytical grade</t>
        </is>
      </c>
      <c r="D4" t="inlineStr">
        <is>
          <t>Unmeasured</t>
        </is>
      </c>
      <c r="E4"/>
      <c r="F4" t="n">
        <v>96.0</v>
      </c>
      <c r="G4"/>
      <c r="H4"/>
      <c r="I4"/>
      <c r="J4"/>
      <c r="K4" t="inlineStr">
        <is>
          <t>Caenorhabditis elegans</t>
        </is>
      </c>
      <c r="L4" t="inlineStr">
        <is>
          <t>Nematode</t>
        </is>
      </c>
      <c r="M4" t="inlineStr">
        <is>
          <t>Worms; Standard Test Species</t>
        </is>
      </c>
      <c r="N4" t="inlineStr">
        <is>
          <t>Larva</t>
        </is>
      </c>
      <c r="O4"/>
      <c r="P4" t="n">
        <v>1.0</v>
      </c>
      <c r="Q4"/>
      <c r="R4"/>
      <c r="S4"/>
      <c r="T4"/>
      <c r="U4" t="inlineStr">
        <is>
          <t>Stage</t>
        </is>
      </c>
      <c r="V4" t="inlineStr">
        <is>
          <t>Culture medium</t>
        </is>
      </c>
      <c r="W4" t="inlineStr">
        <is>
          <t>Culture</t>
        </is>
      </c>
      <c r="X4" t="inlineStr">
        <is>
          <t>Lab</t>
        </is>
      </c>
      <c r="Y4" t="n">
        <v>3.0</v>
      </c>
      <c r="Z4" t="inlineStr">
        <is>
          <t>Active ingredient</t>
        </is>
      </c>
      <c r="AA4"/>
      <c r="AB4" t="n">
        <v>5.0</v>
      </c>
      <c r="AC4"/>
      <c r="AD4"/>
      <c r="AE4"/>
      <c r="AF4"/>
      <c r="AG4" t="inlineStr">
        <is>
          <t>ppm</t>
        </is>
      </c>
      <c r="AH4"/>
      <c r="AI4"/>
      <c r="AJ4"/>
      <c r="AK4"/>
      <c r="AL4"/>
      <c r="AM4"/>
      <c r="AN4"/>
      <c r="AO4"/>
      <c r="AP4"/>
      <c r="AQ4"/>
      <c r="AR4"/>
      <c r="AS4"/>
      <c r="AT4"/>
      <c r="AU4"/>
      <c r="AV4"/>
      <c r="AW4"/>
      <c r="AX4" t="inlineStr">
        <is>
          <t>Accumulation</t>
        </is>
      </c>
      <c r="AY4" t="inlineStr">
        <is>
          <t>Residue</t>
        </is>
      </c>
      <c r="AZ4" t="inlineStr">
        <is>
          <t>LOEL</t>
        </is>
      </c>
      <c r="BA4"/>
      <c r="BB4" t="n">
        <v>5.0</v>
      </c>
      <c r="BC4"/>
      <c r="BD4"/>
      <c r="BE4"/>
      <c r="BF4"/>
      <c r="BG4"/>
      <c r="BH4"/>
      <c r="BI4" t="inlineStr">
        <is>
          <t>ppm</t>
        </is>
      </c>
      <c r="BJ4" t="inlineStr">
        <is>
          <t>Whole organism</t>
        </is>
      </c>
      <c r="BK4"/>
      <c r="BL4" t="n">
        <v>2.0</v>
      </c>
      <c r="BM4"/>
      <c r="BN4"/>
      <c r="BO4"/>
      <c r="BP4"/>
      <c r="BQ4" t="inlineStr">
        <is>
          <t>Day(s)</t>
        </is>
      </c>
      <c r="BR4" t="inlineStr">
        <is>
          <t>Currie,S.D., Y. Ji, Q. Huang, J.S. Wang, and L. Tang</t>
        </is>
      </c>
      <c r="BS4" t="n">
        <v>194013.0</v>
      </c>
      <c r="BT4" t="inlineStr">
        <is>
          <t>The Impact of Early Life Exposure to Individual and Combined PFAS on Learning, Memory, and Bioaccumulation in C. elegans</t>
        </is>
      </c>
      <c r="BU4" t="inlineStr">
        <is>
          <t>Environ. Pollut.363(2): 13 p.</t>
        </is>
      </c>
      <c r="BV4" t="n">
        <v>2024.0</v>
      </c>
      <c r="BW4" t="inlineStr">
        <is>
          <t>Currie,S.D., Y. Ji, Q. Huang, J.S. Wang, and L. Tang (2024). The Impact of Early Life Exposure to Individual and Combined PFAS on Learning, Memory, and Bioaccumulation in C. elegans. Environ. Pollut., 363, (2), 13 p. doi:10.1016/j.envpol.2024.125257. ECOREF#:194013</t>
        </is>
      </c>
    </row>
    <row r="5">
      <c r="A5" t="n">
        <v>754916.0</v>
      </c>
      <c r="B5" t="inlineStr">
        <is>
          <t>1,1,2,2,3,3,4,4,5,5,6,6,7,7,8,8,8-Heptadecafluoro-1-octanesulfonamide</t>
        </is>
      </c>
      <c r="C5"/>
      <c r="D5" t="inlineStr">
        <is>
          <t>Measured</t>
        </is>
      </c>
      <c r="E5"/>
      <c r="F5" t="n">
        <v>90.0</v>
      </c>
      <c r="G5"/>
      <c r="H5"/>
      <c r="I5"/>
      <c r="J5"/>
      <c r="K5" t="inlineStr">
        <is>
          <t>Cucurbita maxima</t>
        </is>
      </c>
      <c r="L5" t="inlineStr">
        <is>
          <t>Winter Squash</t>
        </is>
      </c>
      <c r="M5" t="inlineStr">
        <is>
          <t>Flowers, Trees, Shrubs, Ferns</t>
        </is>
      </c>
      <c r="N5" t="inlineStr">
        <is>
          <t>Seedling</t>
        </is>
      </c>
      <c r="O5" t="inlineStr">
        <is>
          <t>&gt;</t>
        </is>
      </c>
      <c r="P5" t="n">
        <v>7.0</v>
      </c>
      <c r="Q5"/>
      <c r="R5"/>
      <c r="S5"/>
      <c r="T5"/>
      <c r="U5" t="inlineStr">
        <is>
          <t>Day(s)</t>
        </is>
      </c>
      <c r="V5" t="inlineStr">
        <is>
          <t>Hydroponic</t>
        </is>
      </c>
      <c r="W5" t="inlineStr">
        <is>
          <t>Hydroponic</t>
        </is>
      </c>
      <c r="X5" t="inlineStr">
        <is>
          <t>Lab</t>
        </is>
      </c>
      <c r="Y5" t="n">
        <v>2.0</v>
      </c>
      <c r="Z5" t="inlineStr">
        <is>
          <t>Active ingredient</t>
        </is>
      </c>
      <c r="AA5"/>
      <c r="AB5" t="n">
        <v>1.856</v>
      </c>
      <c r="AC5"/>
      <c r="AD5"/>
      <c r="AE5"/>
      <c r="AF5"/>
      <c r="AG5" t="inlineStr">
        <is>
          <t>nmol/ml</t>
        </is>
      </c>
      <c r="AH5"/>
      <c r="AI5"/>
      <c r="AJ5"/>
      <c r="AK5"/>
      <c r="AL5"/>
      <c r="AM5"/>
      <c r="AN5"/>
      <c r="AO5"/>
      <c r="AP5"/>
      <c r="AQ5"/>
      <c r="AR5"/>
      <c r="AS5"/>
      <c r="AT5"/>
      <c r="AU5"/>
      <c r="AV5"/>
      <c r="AW5"/>
      <c r="AX5" t="inlineStr">
        <is>
          <t>Accumulation</t>
        </is>
      </c>
      <c r="AY5" t="inlineStr">
        <is>
          <t>Residue</t>
        </is>
      </c>
      <c r="AZ5" t="inlineStr">
        <is>
          <t>LOEL</t>
        </is>
      </c>
      <c r="BA5"/>
      <c r="BB5" t="n">
        <v>1.856</v>
      </c>
      <c r="BC5"/>
      <c r="BD5"/>
      <c r="BE5"/>
      <c r="BF5"/>
      <c r="BG5"/>
      <c r="BH5"/>
      <c r="BI5" t="inlineStr">
        <is>
          <t>nmol/ml</t>
        </is>
      </c>
      <c r="BJ5" t="inlineStr">
        <is>
          <t>Shoot</t>
        </is>
      </c>
      <c r="BK5"/>
      <c r="BL5" t="n">
        <v>12.0</v>
      </c>
      <c r="BM5"/>
      <c r="BN5"/>
      <c r="BO5"/>
      <c r="BP5"/>
      <c r="BQ5" t="inlineStr">
        <is>
          <t>Day(s)</t>
        </is>
      </c>
      <c r="BR5" t="inlineStr">
        <is>
          <t>Zhao,S., T. Liang, T. Zhou, D. Li, B. Wang, J. Zhan, and L. Liu</t>
        </is>
      </c>
      <c r="BS5" t="n">
        <v>178036.0</v>
      </c>
      <c r="BT5" t="inlineStr">
        <is>
          <t>Biotransformation and Responses of Antioxidant Enzymes in Hydroponically Cultured Soybean and Pumpkin Exposed to Perfluorooctane Sulfonamide (FOSA)</t>
        </is>
      </c>
      <c r="BU5" t="inlineStr">
        <is>
          <t>Ecotoxicol. Environ. Saf.161:669-675</t>
        </is>
      </c>
      <c r="BV5" t="n">
        <v>2018.0</v>
      </c>
      <c r="BW5" t="inlineStr">
        <is>
          <t>Zhao,S., T. Liang, T. Zhou, D. Li, B. Wang, J. Zhan, and L. Liu (2018). Biotransformation and Responses of Antioxidant Enzymes in Hydroponically Cultured Soybean and Pumpkin Exposed to Perfluorooctane Sulfonamide (FOSA). Ecotoxicol. Environ. Saf., 161, 669-675. doi:10.1016/j.ecoenv.2018.06.048. ECOREF#:178036</t>
        </is>
      </c>
    </row>
    <row r="6">
      <c r="A6" t="n">
        <v>754916.0</v>
      </c>
      <c r="B6" t="inlineStr">
        <is>
          <t>1,1,2,2,3,3,4,4,5,5,6,6,7,7,8,8,8-Heptadecafluoro-1-octanesulfonamide</t>
        </is>
      </c>
      <c r="C6"/>
      <c r="D6" t="inlineStr">
        <is>
          <t>Measured</t>
        </is>
      </c>
      <c r="E6"/>
      <c r="F6" t="n">
        <v>90.0</v>
      </c>
      <c r="G6"/>
      <c r="H6"/>
      <c r="I6"/>
      <c r="J6"/>
      <c r="K6" t="inlineStr">
        <is>
          <t>Cucurbita maxima</t>
        </is>
      </c>
      <c r="L6" t="inlineStr">
        <is>
          <t>Winter Squash</t>
        </is>
      </c>
      <c r="M6" t="inlineStr">
        <is>
          <t>Flowers, Trees, Shrubs, Ferns</t>
        </is>
      </c>
      <c r="N6" t="inlineStr">
        <is>
          <t>Seedling</t>
        </is>
      </c>
      <c r="O6" t="inlineStr">
        <is>
          <t>&gt;</t>
        </is>
      </c>
      <c r="P6" t="n">
        <v>7.0</v>
      </c>
      <c r="Q6"/>
      <c r="R6"/>
      <c r="S6"/>
      <c r="T6"/>
      <c r="U6" t="inlineStr">
        <is>
          <t>Day(s)</t>
        </is>
      </c>
      <c r="V6" t="inlineStr">
        <is>
          <t>Hydroponic</t>
        </is>
      </c>
      <c r="W6" t="inlineStr">
        <is>
          <t>Hydroponic</t>
        </is>
      </c>
      <c r="X6" t="inlineStr">
        <is>
          <t>Lab</t>
        </is>
      </c>
      <c r="Y6" t="n">
        <v>2.0</v>
      </c>
      <c r="Z6" t="inlineStr">
        <is>
          <t>Active ingredient</t>
        </is>
      </c>
      <c r="AA6"/>
      <c r="AB6" t="n">
        <v>1.856</v>
      </c>
      <c r="AC6"/>
      <c r="AD6"/>
      <c r="AE6"/>
      <c r="AF6"/>
      <c r="AG6" t="inlineStr">
        <is>
          <t>nmol/ml</t>
        </is>
      </c>
      <c r="AH6"/>
      <c r="AI6"/>
      <c r="AJ6"/>
      <c r="AK6"/>
      <c r="AL6"/>
      <c r="AM6"/>
      <c r="AN6"/>
      <c r="AO6"/>
      <c r="AP6"/>
      <c r="AQ6"/>
      <c r="AR6"/>
      <c r="AS6"/>
      <c r="AT6"/>
      <c r="AU6"/>
      <c r="AV6"/>
      <c r="AW6"/>
      <c r="AX6" t="inlineStr">
        <is>
          <t>Accumulation</t>
        </is>
      </c>
      <c r="AY6" t="inlineStr">
        <is>
          <t>Residue</t>
        </is>
      </c>
      <c r="AZ6" t="inlineStr">
        <is>
          <t>LOEL</t>
        </is>
      </c>
      <c r="BA6"/>
      <c r="BB6" t="n">
        <v>1.856</v>
      </c>
      <c r="BC6"/>
      <c r="BD6"/>
      <c r="BE6"/>
      <c r="BF6"/>
      <c r="BG6"/>
      <c r="BH6"/>
      <c r="BI6" t="inlineStr">
        <is>
          <t>nmol/ml</t>
        </is>
      </c>
      <c r="BJ6" t="inlineStr">
        <is>
          <t>Root</t>
        </is>
      </c>
      <c r="BK6"/>
      <c r="BL6" t="n">
        <v>12.0</v>
      </c>
      <c r="BM6"/>
      <c r="BN6"/>
      <c r="BO6"/>
      <c r="BP6"/>
      <c r="BQ6" t="inlineStr">
        <is>
          <t>Day(s)</t>
        </is>
      </c>
      <c r="BR6" t="inlineStr">
        <is>
          <t>Zhao,S., T. Liang, T. Zhou, D. Li, B. Wang, J. Zhan, and L. Liu</t>
        </is>
      </c>
      <c r="BS6" t="n">
        <v>178036.0</v>
      </c>
      <c r="BT6" t="inlineStr">
        <is>
          <t>Biotransformation and Responses of Antioxidant Enzymes in Hydroponically Cultured Soybean and Pumpkin Exposed to Perfluorooctane Sulfonamide (FOSA)</t>
        </is>
      </c>
      <c r="BU6" t="inlineStr">
        <is>
          <t>Ecotoxicol. Environ. Saf.161:669-675</t>
        </is>
      </c>
      <c r="BV6" t="n">
        <v>2018.0</v>
      </c>
      <c r="BW6" t="inlineStr">
        <is>
          <t>Zhao,S., T. Liang, T. Zhou, D. Li, B. Wang, J. Zhan, and L. Liu (2018). Biotransformation and Responses of Antioxidant Enzymes in Hydroponically Cultured Soybean and Pumpkin Exposed to Perfluorooctane Sulfonamide (FOSA). Ecotoxicol. Environ. Saf., 161, 669-675. doi:10.1016/j.ecoenv.2018.06.048. ECOREF#:178036</t>
        </is>
      </c>
    </row>
    <row r="7">
      <c r="A7" t="n">
        <v>754916.0</v>
      </c>
      <c r="B7" t="inlineStr">
        <is>
          <t>1,1,2,2,3,3,4,4,5,5,6,6,7,7,8,8,8-Heptadecafluoro-1-octanesulfonamide</t>
        </is>
      </c>
      <c r="C7"/>
      <c r="D7" t="inlineStr">
        <is>
          <t>Measured</t>
        </is>
      </c>
      <c r="E7"/>
      <c r="F7" t="n">
        <v>97.5</v>
      </c>
      <c r="G7"/>
      <c r="H7"/>
      <c r="I7"/>
      <c r="J7"/>
      <c r="K7" t="inlineStr">
        <is>
          <t>Daucus carota ssp. sativus</t>
        </is>
      </c>
      <c r="L7" t="inlineStr">
        <is>
          <t>Carrot</t>
        </is>
      </c>
      <c r="M7" t="inlineStr">
        <is>
          <t>Flowers, Trees, Shrubs, Ferns</t>
        </is>
      </c>
      <c r="N7" t="inlineStr">
        <is>
          <t>Seedling</t>
        </is>
      </c>
      <c r="O7"/>
      <c r="P7"/>
      <c r="Q7"/>
      <c r="R7" t="n">
        <v>12.0</v>
      </c>
      <c r="S7"/>
      <c r="T7" t="n">
        <v>14.0</v>
      </c>
      <c r="U7" t="inlineStr">
        <is>
          <t>Day(s)</t>
        </is>
      </c>
      <c r="V7" t="inlineStr">
        <is>
          <t>Environmental, unspecified</t>
        </is>
      </c>
      <c r="W7" t="inlineStr">
        <is>
          <t>Artificial soil</t>
        </is>
      </c>
      <c r="X7" t="inlineStr">
        <is>
          <t>Lab</t>
        </is>
      </c>
      <c r="Y7" t="n">
        <v>2.0</v>
      </c>
      <c r="Z7" t="inlineStr">
        <is>
          <t>Active ingredient</t>
        </is>
      </c>
      <c r="AA7"/>
      <c r="AB7"/>
      <c r="AC7"/>
      <c r="AD7" t="n">
        <v>41.0</v>
      </c>
      <c r="AE7"/>
      <c r="AF7" t="n">
        <v>562.0</v>
      </c>
      <c r="AG7" t="inlineStr">
        <is>
          <t>ng/g soil</t>
        </is>
      </c>
      <c r="AH7"/>
      <c r="AI7"/>
      <c r="AJ7"/>
      <c r="AK7"/>
      <c r="AL7"/>
      <c r="AM7"/>
      <c r="AN7"/>
      <c r="AO7"/>
      <c r="AP7"/>
      <c r="AQ7"/>
      <c r="AR7"/>
      <c r="AS7"/>
      <c r="AT7"/>
      <c r="AU7"/>
      <c r="AV7"/>
      <c r="AW7"/>
      <c r="AX7" t="inlineStr">
        <is>
          <t>Accumulation</t>
        </is>
      </c>
      <c r="AY7" t="inlineStr">
        <is>
          <t>Residue</t>
        </is>
      </c>
      <c r="AZ7" t="inlineStr">
        <is>
          <t>BCFD</t>
        </is>
      </c>
      <c r="BA7"/>
      <c r="BB7"/>
      <c r="BC7"/>
      <c r="BD7" t="n">
        <v>41.0</v>
      </c>
      <c r="BE7"/>
      <c r="BF7" t="n">
        <v>562.0</v>
      </c>
      <c r="BG7"/>
      <c r="BH7"/>
      <c r="BI7" t="inlineStr">
        <is>
          <t>ng/g soil</t>
        </is>
      </c>
      <c r="BJ7" t="inlineStr">
        <is>
          <t>Whole organism</t>
        </is>
      </c>
      <c r="BK7"/>
      <c r="BL7"/>
      <c r="BM7"/>
      <c r="BN7" t="n">
        <v>84.0</v>
      </c>
      <c r="BO7"/>
      <c r="BP7" t="n">
        <v>98.0</v>
      </c>
      <c r="BQ7" t="inlineStr">
        <is>
          <t>Day(s)</t>
        </is>
      </c>
      <c r="BR7" t="inlineStr">
        <is>
          <t>Bizkarguenaga,E., I. Zabaleta, L. Mijangos, A. Iparraguirre, L.A. Fernandez, A. Prieto, and O. Zuloaga</t>
        </is>
      </c>
      <c r="BS7" t="n">
        <v>184296.0</v>
      </c>
      <c r="BT7" t="inlineStr">
        <is>
          <t>Uptake of Perfluorooctanoic Acid, Perfluorooctane Sulfonate and Perfluorooctane Sulfonamide by Carrot and Lettuce from Compost Amended Soil</t>
        </is>
      </c>
      <c r="BU7" t="inlineStr">
        <is>
          <t>Sci. Total Environ.571:444-451</t>
        </is>
      </c>
      <c r="BV7" t="n">
        <v>2016.0</v>
      </c>
      <c r="BW7"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8">
      <c r="A8" t="n">
        <v>754916.0</v>
      </c>
      <c r="B8" t="inlineStr">
        <is>
          <t>1,1,2,2,3,3,4,4,5,5,6,6,7,7,8,8,8-Heptadecafluoro-1-octanesulfonamide</t>
        </is>
      </c>
      <c r="C8"/>
      <c r="D8" t="inlineStr">
        <is>
          <t>Measured</t>
        </is>
      </c>
      <c r="E8"/>
      <c r="F8" t="n">
        <v>97.5</v>
      </c>
      <c r="G8"/>
      <c r="H8"/>
      <c r="I8"/>
      <c r="J8"/>
      <c r="K8" t="inlineStr">
        <is>
          <t>Daucus carota ssp. sativus</t>
        </is>
      </c>
      <c r="L8" t="inlineStr">
        <is>
          <t>Carrot</t>
        </is>
      </c>
      <c r="M8" t="inlineStr">
        <is>
          <t>Flowers, Trees, Shrubs, Ferns</t>
        </is>
      </c>
      <c r="N8" t="inlineStr">
        <is>
          <t>Seedling</t>
        </is>
      </c>
      <c r="O8"/>
      <c r="P8"/>
      <c r="Q8"/>
      <c r="R8" t="n">
        <v>12.0</v>
      </c>
      <c r="S8"/>
      <c r="T8" t="n">
        <v>14.0</v>
      </c>
      <c r="U8" t="inlineStr">
        <is>
          <t>Day(s)</t>
        </is>
      </c>
      <c r="V8" t="inlineStr">
        <is>
          <t>Environmental, unspecified</t>
        </is>
      </c>
      <c r="W8" t="inlineStr">
        <is>
          <t>Artificial soil</t>
        </is>
      </c>
      <c r="X8" t="inlineStr">
        <is>
          <t>Lab</t>
        </is>
      </c>
      <c r="Y8" t="n">
        <v>2.0</v>
      </c>
      <c r="Z8" t="inlineStr">
        <is>
          <t>Active ingredient</t>
        </is>
      </c>
      <c r="AA8"/>
      <c r="AB8"/>
      <c r="AC8"/>
      <c r="AD8" t="n">
        <v>132.0</v>
      </c>
      <c r="AE8"/>
      <c r="AF8" t="n">
        <v>530.0</v>
      </c>
      <c r="AG8" t="inlineStr">
        <is>
          <t>ng/g soil</t>
        </is>
      </c>
      <c r="AH8"/>
      <c r="AI8"/>
      <c r="AJ8"/>
      <c r="AK8"/>
      <c r="AL8"/>
      <c r="AM8"/>
      <c r="AN8"/>
      <c r="AO8"/>
      <c r="AP8"/>
      <c r="AQ8"/>
      <c r="AR8"/>
      <c r="AS8"/>
      <c r="AT8"/>
      <c r="AU8"/>
      <c r="AV8"/>
      <c r="AW8"/>
      <c r="AX8" t="inlineStr">
        <is>
          <t>Accumulation</t>
        </is>
      </c>
      <c r="AY8" t="inlineStr">
        <is>
          <t>Residue</t>
        </is>
      </c>
      <c r="AZ8" t="inlineStr">
        <is>
          <t>BCFD</t>
        </is>
      </c>
      <c r="BA8"/>
      <c r="BB8"/>
      <c r="BC8"/>
      <c r="BD8" t="n">
        <v>132.0</v>
      </c>
      <c r="BE8"/>
      <c r="BF8" t="n">
        <v>530.0</v>
      </c>
      <c r="BG8"/>
      <c r="BH8"/>
      <c r="BI8" t="inlineStr">
        <is>
          <t>ng/g soil</t>
        </is>
      </c>
      <c r="BJ8" t="inlineStr">
        <is>
          <t>Whole organism</t>
        </is>
      </c>
      <c r="BK8"/>
      <c r="BL8"/>
      <c r="BM8"/>
      <c r="BN8" t="n">
        <v>84.0</v>
      </c>
      <c r="BO8"/>
      <c r="BP8" t="n">
        <v>98.0</v>
      </c>
      <c r="BQ8" t="inlineStr">
        <is>
          <t>Day(s)</t>
        </is>
      </c>
      <c r="BR8" t="inlineStr">
        <is>
          <t>Bizkarguenaga,E., I. Zabaleta, L. Mijangos, A. Iparraguirre, L.A. Fernandez, A. Prieto, and O. Zuloaga</t>
        </is>
      </c>
      <c r="BS8" t="n">
        <v>184296.0</v>
      </c>
      <c r="BT8" t="inlineStr">
        <is>
          <t>Uptake of Perfluorooctanoic Acid, Perfluorooctane Sulfonate and Perfluorooctane Sulfonamide by Carrot and Lettuce from Compost Amended Soil</t>
        </is>
      </c>
      <c r="BU8" t="inlineStr">
        <is>
          <t>Sci. Total Environ.571:444-451</t>
        </is>
      </c>
      <c r="BV8" t="n">
        <v>2016.0</v>
      </c>
      <c r="BW8"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9">
      <c r="A9" t="n">
        <v>754916.0</v>
      </c>
      <c r="B9" t="inlineStr">
        <is>
          <t>1,1,2,2,3,3,4,4,5,5,6,6,7,7,8,8,8-Heptadecafluoro-1-octanesulfonamide</t>
        </is>
      </c>
      <c r="C9"/>
      <c r="D9" t="inlineStr">
        <is>
          <t>Measured</t>
        </is>
      </c>
      <c r="E9"/>
      <c r="F9" t="n">
        <v>97.5</v>
      </c>
      <c r="G9"/>
      <c r="H9"/>
      <c r="I9"/>
      <c r="J9"/>
      <c r="K9" t="inlineStr">
        <is>
          <t>Daucus carota ssp. sativus</t>
        </is>
      </c>
      <c r="L9" t="inlineStr">
        <is>
          <t>Carrot</t>
        </is>
      </c>
      <c r="M9" t="inlineStr">
        <is>
          <t>Flowers, Trees, Shrubs, Ferns</t>
        </is>
      </c>
      <c r="N9" t="inlineStr">
        <is>
          <t>Seedling</t>
        </is>
      </c>
      <c r="O9"/>
      <c r="P9"/>
      <c r="Q9"/>
      <c r="R9" t="n">
        <v>12.0</v>
      </c>
      <c r="S9"/>
      <c r="T9" t="n">
        <v>14.0</v>
      </c>
      <c r="U9" t="inlineStr">
        <is>
          <t>Day(s)</t>
        </is>
      </c>
      <c r="V9" t="inlineStr">
        <is>
          <t>Environmental, unspecified</t>
        </is>
      </c>
      <c r="W9" t="inlineStr">
        <is>
          <t>Artificial soil</t>
        </is>
      </c>
      <c r="X9" t="inlineStr">
        <is>
          <t>Lab</t>
        </is>
      </c>
      <c r="Y9" t="n">
        <v>2.0</v>
      </c>
      <c r="Z9" t="inlineStr">
        <is>
          <t>Active ingredient</t>
        </is>
      </c>
      <c r="AA9"/>
      <c r="AB9" t="n">
        <v>555.0</v>
      </c>
      <c r="AC9"/>
      <c r="AD9"/>
      <c r="AE9"/>
      <c r="AF9"/>
      <c r="AG9" t="inlineStr">
        <is>
          <t>ng/g soil</t>
        </is>
      </c>
      <c r="AH9"/>
      <c r="AI9"/>
      <c r="AJ9"/>
      <c r="AK9"/>
      <c r="AL9"/>
      <c r="AM9"/>
      <c r="AN9"/>
      <c r="AO9"/>
      <c r="AP9"/>
      <c r="AQ9"/>
      <c r="AR9"/>
      <c r="AS9"/>
      <c r="AT9"/>
      <c r="AU9"/>
      <c r="AV9"/>
      <c r="AW9"/>
      <c r="AX9" t="inlineStr">
        <is>
          <t>Accumulation</t>
        </is>
      </c>
      <c r="AY9" t="inlineStr">
        <is>
          <t>Residue</t>
        </is>
      </c>
      <c r="AZ9"/>
      <c r="BA9"/>
      <c r="BB9" t="n">
        <v>555.0</v>
      </c>
      <c r="BC9"/>
      <c r="BD9"/>
      <c r="BE9"/>
      <c r="BF9"/>
      <c r="BG9"/>
      <c r="BH9"/>
      <c r="BI9" t="inlineStr">
        <is>
          <t>ng/g soil</t>
        </is>
      </c>
      <c r="BJ9" t="inlineStr">
        <is>
          <t>Multiple entries</t>
        </is>
      </c>
      <c r="BK9"/>
      <c r="BL9"/>
      <c r="BM9"/>
      <c r="BN9" t="n">
        <v>84.0</v>
      </c>
      <c r="BO9"/>
      <c r="BP9" t="n">
        <v>98.0</v>
      </c>
      <c r="BQ9" t="inlineStr">
        <is>
          <t>Day(s)</t>
        </is>
      </c>
      <c r="BR9" t="inlineStr">
        <is>
          <t>Bizkarguenaga,E., I. Zabaleta, L. Mijangos, A. Iparraguirre, L.A. Fernandez, A. Prieto, and O. Zuloaga</t>
        </is>
      </c>
      <c r="BS9" t="n">
        <v>184296.0</v>
      </c>
      <c r="BT9" t="inlineStr">
        <is>
          <t>Uptake of Perfluorooctanoic Acid, Perfluorooctane Sulfonate and Perfluorooctane Sulfonamide by Carrot and Lettuce from Compost Amended Soil</t>
        </is>
      </c>
      <c r="BU9" t="inlineStr">
        <is>
          <t>Sci. Total Environ.571:444-451</t>
        </is>
      </c>
      <c r="BV9" t="n">
        <v>2016.0</v>
      </c>
      <c r="BW9"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
      <c r="A10" t="n">
        <v>754916.0</v>
      </c>
      <c r="B10" t="inlineStr">
        <is>
          <t>1,1,2,2,3,3,4,4,5,5,6,6,7,7,8,8,8-Heptadecafluoro-1-octanesulfonamide</t>
        </is>
      </c>
      <c r="C10"/>
      <c r="D10" t="inlineStr">
        <is>
          <t>Measured</t>
        </is>
      </c>
      <c r="E10"/>
      <c r="F10" t="n">
        <v>97.5</v>
      </c>
      <c r="G10"/>
      <c r="H10"/>
      <c r="I10"/>
      <c r="J10"/>
      <c r="K10" t="inlineStr">
        <is>
          <t>Daucus carota ssp. sativus</t>
        </is>
      </c>
      <c r="L10" t="inlineStr">
        <is>
          <t>Carrot</t>
        </is>
      </c>
      <c r="M10" t="inlineStr">
        <is>
          <t>Flowers, Trees, Shrubs, Ferns</t>
        </is>
      </c>
      <c r="N10" t="inlineStr">
        <is>
          <t>Seedling</t>
        </is>
      </c>
      <c r="O10"/>
      <c r="P10"/>
      <c r="Q10"/>
      <c r="R10" t="n">
        <v>12.0</v>
      </c>
      <c r="S10"/>
      <c r="T10" t="n">
        <v>14.0</v>
      </c>
      <c r="U10" t="inlineStr">
        <is>
          <t>Day(s)</t>
        </is>
      </c>
      <c r="V10" t="inlineStr">
        <is>
          <t>Environmental, unspecified</t>
        </is>
      </c>
      <c r="W10" t="inlineStr">
        <is>
          <t>Artificial soil</t>
        </is>
      </c>
      <c r="X10" t="inlineStr">
        <is>
          <t>Lab</t>
        </is>
      </c>
      <c r="Y10" t="n">
        <v>2.0</v>
      </c>
      <c r="Z10" t="inlineStr">
        <is>
          <t>Active ingredient</t>
        </is>
      </c>
      <c r="AA10"/>
      <c r="AB10"/>
      <c r="AC10"/>
      <c r="AD10" t="n">
        <v>26.0</v>
      </c>
      <c r="AE10"/>
      <c r="AF10" t="n">
        <v>544.0</v>
      </c>
      <c r="AG10" t="inlineStr">
        <is>
          <t>ng/g soil</t>
        </is>
      </c>
      <c r="AH10"/>
      <c r="AI10"/>
      <c r="AJ10"/>
      <c r="AK10"/>
      <c r="AL10"/>
      <c r="AM10"/>
      <c r="AN10"/>
      <c r="AO10"/>
      <c r="AP10"/>
      <c r="AQ10"/>
      <c r="AR10"/>
      <c r="AS10"/>
      <c r="AT10"/>
      <c r="AU10"/>
      <c r="AV10"/>
      <c r="AW10"/>
      <c r="AX10" t="inlineStr">
        <is>
          <t>Accumulation</t>
        </is>
      </c>
      <c r="AY10" t="inlineStr">
        <is>
          <t>Residue</t>
        </is>
      </c>
      <c r="AZ10"/>
      <c r="BA10"/>
      <c r="BB10"/>
      <c r="BC10"/>
      <c r="BD10" t="n">
        <v>26.0</v>
      </c>
      <c r="BE10"/>
      <c r="BF10" t="n">
        <v>544.0</v>
      </c>
      <c r="BG10"/>
      <c r="BH10"/>
      <c r="BI10" t="inlineStr">
        <is>
          <t>ng/g soil</t>
        </is>
      </c>
      <c r="BJ10" t="inlineStr">
        <is>
          <t>Multiple entries</t>
        </is>
      </c>
      <c r="BK10"/>
      <c r="BL10"/>
      <c r="BM10"/>
      <c r="BN10" t="n">
        <v>84.0</v>
      </c>
      <c r="BO10"/>
      <c r="BP10" t="n">
        <v>98.0</v>
      </c>
      <c r="BQ10" t="inlineStr">
        <is>
          <t>Day(s)</t>
        </is>
      </c>
      <c r="BR10" t="inlineStr">
        <is>
          <t>Bizkarguenaga,E., I. Zabaleta, L. Mijangos, A. Iparraguirre, L.A. Fernandez, A. Prieto, and O. Zuloaga</t>
        </is>
      </c>
      <c r="BS10" t="n">
        <v>184296.0</v>
      </c>
      <c r="BT10" t="inlineStr">
        <is>
          <t>Uptake of Perfluorooctanoic Acid, Perfluorooctane Sulfonate and Perfluorooctane Sulfonamide by Carrot and Lettuce from Compost Amended Soil</t>
        </is>
      </c>
      <c r="BU10" t="inlineStr">
        <is>
          <t>Sci. Total Environ.571:444-451</t>
        </is>
      </c>
      <c r="BV10" t="n">
        <v>2016.0</v>
      </c>
      <c r="BW10"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1">
      <c r="A11" t="n">
        <v>754916.0</v>
      </c>
      <c r="B11" t="inlineStr">
        <is>
          <t>1,1,2,2,3,3,4,4,5,5,6,6,7,7,8,8,8-Heptadecafluoro-1-octanesulfonamide</t>
        </is>
      </c>
      <c r="C11"/>
      <c r="D11" t="inlineStr">
        <is>
          <t>Measured</t>
        </is>
      </c>
      <c r="E11"/>
      <c r="F11" t="n">
        <v>97.5</v>
      </c>
      <c r="G11"/>
      <c r="H11"/>
      <c r="I11"/>
      <c r="J11"/>
      <c r="K11" t="inlineStr">
        <is>
          <t>Daucus carota ssp. sativus</t>
        </is>
      </c>
      <c r="L11" t="inlineStr">
        <is>
          <t>Carrot</t>
        </is>
      </c>
      <c r="M11" t="inlineStr">
        <is>
          <t>Flowers, Trees, Shrubs, Ferns</t>
        </is>
      </c>
      <c r="N11" t="inlineStr">
        <is>
          <t>Seedling</t>
        </is>
      </c>
      <c r="O11"/>
      <c r="P11"/>
      <c r="Q11"/>
      <c r="R11" t="n">
        <v>12.0</v>
      </c>
      <c r="S11"/>
      <c r="T11" t="n">
        <v>14.0</v>
      </c>
      <c r="U11" t="inlineStr">
        <is>
          <t>Day(s)</t>
        </is>
      </c>
      <c r="V11" t="inlineStr">
        <is>
          <t>Environmental, unspecified</t>
        </is>
      </c>
      <c r="W11" t="inlineStr">
        <is>
          <t>Artificial soil</t>
        </is>
      </c>
      <c r="X11" t="inlineStr">
        <is>
          <t>Lab</t>
        </is>
      </c>
      <c r="Y11" t="n">
        <v>2.0</v>
      </c>
      <c r="Z11" t="inlineStr">
        <is>
          <t>Active ingredient</t>
        </is>
      </c>
      <c r="AA11"/>
      <c r="AB11" t="n">
        <v>565.0</v>
      </c>
      <c r="AC11"/>
      <c r="AD11"/>
      <c r="AE11"/>
      <c r="AF11"/>
      <c r="AG11" t="inlineStr">
        <is>
          <t>ng/g soil</t>
        </is>
      </c>
      <c r="AH11"/>
      <c r="AI11"/>
      <c r="AJ11"/>
      <c r="AK11"/>
      <c r="AL11"/>
      <c r="AM11"/>
      <c r="AN11"/>
      <c r="AO11"/>
      <c r="AP11"/>
      <c r="AQ11"/>
      <c r="AR11"/>
      <c r="AS11"/>
      <c r="AT11"/>
      <c r="AU11"/>
      <c r="AV11"/>
      <c r="AW11"/>
      <c r="AX11" t="inlineStr">
        <is>
          <t>Accumulation</t>
        </is>
      </c>
      <c r="AY11" t="inlineStr">
        <is>
          <t>Residue</t>
        </is>
      </c>
      <c r="AZ11"/>
      <c r="BA11"/>
      <c r="BB11" t="n">
        <v>565.0</v>
      </c>
      <c r="BC11"/>
      <c r="BD11"/>
      <c r="BE11"/>
      <c r="BF11"/>
      <c r="BG11"/>
      <c r="BH11"/>
      <c r="BI11" t="inlineStr">
        <is>
          <t>ng/g soil</t>
        </is>
      </c>
      <c r="BJ11" t="inlineStr">
        <is>
          <t>Multiple entries</t>
        </is>
      </c>
      <c r="BK11"/>
      <c r="BL11"/>
      <c r="BM11"/>
      <c r="BN11" t="n">
        <v>84.0</v>
      </c>
      <c r="BO11"/>
      <c r="BP11" t="n">
        <v>98.0</v>
      </c>
      <c r="BQ11" t="inlineStr">
        <is>
          <t>Day(s)</t>
        </is>
      </c>
      <c r="BR11" t="inlineStr">
        <is>
          <t>Bizkarguenaga,E., I. Zabaleta, L. Mijangos, A. Iparraguirre, L.A. Fernandez, A. Prieto, and O. Zuloaga</t>
        </is>
      </c>
      <c r="BS11" t="n">
        <v>184296.0</v>
      </c>
      <c r="BT11" t="inlineStr">
        <is>
          <t>Uptake of Perfluorooctanoic Acid, Perfluorooctane Sulfonate and Perfluorooctane Sulfonamide by Carrot and Lettuce from Compost Amended Soil</t>
        </is>
      </c>
      <c r="BU11" t="inlineStr">
        <is>
          <t>Sci. Total Environ.571:444-451</t>
        </is>
      </c>
      <c r="BV11" t="n">
        <v>2016.0</v>
      </c>
      <c r="BW11"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2">
      <c r="A12" t="n">
        <v>754916.0</v>
      </c>
      <c r="B12" t="inlineStr">
        <is>
          <t>1,1,2,2,3,3,4,4,5,5,6,6,7,7,8,8,8-Heptadecafluoro-1-octanesulfonamide</t>
        </is>
      </c>
      <c r="C12"/>
      <c r="D12" t="inlineStr">
        <is>
          <t>Measured</t>
        </is>
      </c>
      <c r="E12"/>
      <c r="F12" t="n">
        <v>97.5</v>
      </c>
      <c r="G12"/>
      <c r="H12"/>
      <c r="I12"/>
      <c r="J12"/>
      <c r="K12" t="inlineStr">
        <is>
          <t>Daucus carota ssp. sativus</t>
        </is>
      </c>
      <c r="L12" t="inlineStr">
        <is>
          <t>Carrot</t>
        </is>
      </c>
      <c r="M12" t="inlineStr">
        <is>
          <t>Flowers, Trees, Shrubs, Ferns</t>
        </is>
      </c>
      <c r="N12" t="inlineStr">
        <is>
          <t>Seedling</t>
        </is>
      </c>
      <c r="O12"/>
      <c r="P12"/>
      <c r="Q12"/>
      <c r="R12" t="n">
        <v>12.0</v>
      </c>
      <c r="S12"/>
      <c r="T12" t="n">
        <v>14.0</v>
      </c>
      <c r="U12" t="inlineStr">
        <is>
          <t>Day(s)</t>
        </is>
      </c>
      <c r="V12" t="inlineStr">
        <is>
          <t>Environmental, unspecified</t>
        </is>
      </c>
      <c r="W12" t="inlineStr">
        <is>
          <t>Artificial soil</t>
        </is>
      </c>
      <c r="X12" t="inlineStr">
        <is>
          <t>Lab</t>
        </is>
      </c>
      <c r="Y12" t="n">
        <v>2.0</v>
      </c>
      <c r="Z12" t="inlineStr">
        <is>
          <t>Active ingredient</t>
        </is>
      </c>
      <c r="AA12"/>
      <c r="AB12"/>
      <c r="AC12"/>
      <c r="AD12" t="n">
        <v>30.0</v>
      </c>
      <c r="AE12"/>
      <c r="AF12" t="n">
        <v>550.0</v>
      </c>
      <c r="AG12" t="inlineStr">
        <is>
          <t>ng/g soil</t>
        </is>
      </c>
      <c r="AH12"/>
      <c r="AI12"/>
      <c r="AJ12"/>
      <c r="AK12"/>
      <c r="AL12"/>
      <c r="AM12"/>
      <c r="AN12"/>
      <c r="AO12"/>
      <c r="AP12"/>
      <c r="AQ12"/>
      <c r="AR12"/>
      <c r="AS12"/>
      <c r="AT12"/>
      <c r="AU12"/>
      <c r="AV12"/>
      <c r="AW12"/>
      <c r="AX12" t="inlineStr">
        <is>
          <t>Accumulation</t>
        </is>
      </c>
      <c r="AY12" t="inlineStr">
        <is>
          <t>Residue</t>
        </is>
      </c>
      <c r="AZ12"/>
      <c r="BA12"/>
      <c r="BB12"/>
      <c r="BC12"/>
      <c r="BD12" t="n">
        <v>30.0</v>
      </c>
      <c r="BE12"/>
      <c r="BF12" t="n">
        <v>550.0</v>
      </c>
      <c r="BG12"/>
      <c r="BH12"/>
      <c r="BI12" t="inlineStr">
        <is>
          <t>ng/g soil</t>
        </is>
      </c>
      <c r="BJ12" t="inlineStr">
        <is>
          <t>Multiple entries</t>
        </is>
      </c>
      <c r="BK12"/>
      <c r="BL12"/>
      <c r="BM12"/>
      <c r="BN12" t="n">
        <v>84.0</v>
      </c>
      <c r="BO12"/>
      <c r="BP12" t="n">
        <v>98.0</v>
      </c>
      <c r="BQ12" t="inlineStr">
        <is>
          <t>Day(s)</t>
        </is>
      </c>
      <c r="BR12" t="inlineStr">
        <is>
          <t>Bizkarguenaga,E., I. Zabaleta, L. Mijangos, A. Iparraguirre, L.A. Fernandez, A. Prieto, and O. Zuloaga</t>
        </is>
      </c>
      <c r="BS12" t="n">
        <v>184296.0</v>
      </c>
      <c r="BT12" t="inlineStr">
        <is>
          <t>Uptake of Perfluorooctanoic Acid, Perfluorooctane Sulfonate and Perfluorooctane Sulfonamide by Carrot and Lettuce from Compost Amended Soil</t>
        </is>
      </c>
      <c r="BU12" t="inlineStr">
        <is>
          <t>Sci. Total Environ.571:444-451</t>
        </is>
      </c>
      <c r="BV12" t="n">
        <v>2016.0</v>
      </c>
      <c r="BW12"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3">
      <c r="A13" t="n">
        <v>754916.0</v>
      </c>
      <c r="B13" t="inlineStr">
        <is>
          <t>1,1,2,2,3,3,4,4,5,5,6,6,7,7,8,8,8-Heptadecafluoro-1-octanesulfonamide</t>
        </is>
      </c>
      <c r="C13"/>
      <c r="D13" t="inlineStr">
        <is>
          <t>Measured</t>
        </is>
      </c>
      <c r="E13"/>
      <c r="F13" t="n">
        <v>97.5</v>
      </c>
      <c r="G13"/>
      <c r="H13"/>
      <c r="I13"/>
      <c r="J13"/>
      <c r="K13" t="inlineStr">
        <is>
          <t>Daucus carota ssp. sativus</t>
        </is>
      </c>
      <c r="L13" t="inlineStr">
        <is>
          <t>Carrot</t>
        </is>
      </c>
      <c r="M13" t="inlineStr">
        <is>
          <t>Flowers, Trees, Shrubs, Ferns</t>
        </is>
      </c>
      <c r="N13" t="inlineStr">
        <is>
          <t>Seedling</t>
        </is>
      </c>
      <c r="O13"/>
      <c r="P13"/>
      <c r="Q13"/>
      <c r="R13" t="n">
        <v>12.0</v>
      </c>
      <c r="S13"/>
      <c r="T13" t="n">
        <v>14.0</v>
      </c>
      <c r="U13" t="inlineStr">
        <is>
          <t>Day(s)</t>
        </is>
      </c>
      <c r="V13" t="inlineStr">
        <is>
          <t>Environmental, unspecified</t>
        </is>
      </c>
      <c r="W13" t="inlineStr">
        <is>
          <t>Artificial soil</t>
        </is>
      </c>
      <c r="X13" t="inlineStr">
        <is>
          <t>Lab</t>
        </is>
      </c>
      <c r="Y13" t="n">
        <v>2.0</v>
      </c>
      <c r="Z13" t="inlineStr">
        <is>
          <t>Active ingredient</t>
        </is>
      </c>
      <c r="AA13"/>
      <c r="AB13" t="n">
        <v>547.0</v>
      </c>
      <c r="AC13"/>
      <c r="AD13"/>
      <c r="AE13"/>
      <c r="AF13"/>
      <c r="AG13" t="inlineStr">
        <is>
          <t>ng/g soil</t>
        </is>
      </c>
      <c r="AH13"/>
      <c r="AI13"/>
      <c r="AJ13"/>
      <c r="AK13"/>
      <c r="AL13"/>
      <c r="AM13"/>
      <c r="AN13"/>
      <c r="AO13"/>
      <c r="AP13"/>
      <c r="AQ13"/>
      <c r="AR13"/>
      <c r="AS13"/>
      <c r="AT13"/>
      <c r="AU13"/>
      <c r="AV13"/>
      <c r="AW13"/>
      <c r="AX13" t="inlineStr">
        <is>
          <t>Accumulation</t>
        </is>
      </c>
      <c r="AY13" t="inlineStr">
        <is>
          <t>Residue</t>
        </is>
      </c>
      <c r="AZ13"/>
      <c r="BA13"/>
      <c r="BB13" t="n">
        <v>547.0</v>
      </c>
      <c r="BC13"/>
      <c r="BD13"/>
      <c r="BE13"/>
      <c r="BF13"/>
      <c r="BG13"/>
      <c r="BH13"/>
      <c r="BI13" t="inlineStr">
        <is>
          <t>ng/g soil</t>
        </is>
      </c>
      <c r="BJ13" t="inlineStr">
        <is>
          <t>Multiple entries</t>
        </is>
      </c>
      <c r="BK13"/>
      <c r="BL13"/>
      <c r="BM13"/>
      <c r="BN13" t="n">
        <v>84.0</v>
      </c>
      <c r="BO13"/>
      <c r="BP13" t="n">
        <v>98.0</v>
      </c>
      <c r="BQ13" t="inlineStr">
        <is>
          <t>Day(s)</t>
        </is>
      </c>
      <c r="BR13" t="inlineStr">
        <is>
          <t>Bizkarguenaga,E., I. Zabaleta, L. Mijangos, A. Iparraguirre, L.A. Fernandez, A. Prieto, and O. Zuloaga</t>
        </is>
      </c>
      <c r="BS13" t="n">
        <v>184296.0</v>
      </c>
      <c r="BT13" t="inlineStr">
        <is>
          <t>Uptake of Perfluorooctanoic Acid, Perfluorooctane Sulfonate and Perfluorooctane Sulfonamide by Carrot and Lettuce from Compost Amended Soil</t>
        </is>
      </c>
      <c r="BU13" t="inlineStr">
        <is>
          <t>Sci. Total Environ.571:444-451</t>
        </is>
      </c>
      <c r="BV13" t="n">
        <v>2016.0</v>
      </c>
      <c r="BW13"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4">
      <c r="A14" t="n">
        <v>754916.0</v>
      </c>
      <c r="B14" t="inlineStr">
        <is>
          <t>1,1,2,2,3,3,4,4,5,5,6,6,7,7,8,8,8-Heptadecafluoro-1-octanesulfonamide</t>
        </is>
      </c>
      <c r="C14"/>
      <c r="D14" t="inlineStr">
        <is>
          <t>Measured</t>
        </is>
      </c>
      <c r="E14"/>
      <c r="F14" t="n">
        <v>97.5</v>
      </c>
      <c r="G14"/>
      <c r="H14"/>
      <c r="I14"/>
      <c r="J14"/>
      <c r="K14" t="inlineStr">
        <is>
          <t>Daucus carota ssp. sativus</t>
        </is>
      </c>
      <c r="L14" t="inlineStr">
        <is>
          <t>Carrot</t>
        </is>
      </c>
      <c r="M14" t="inlineStr">
        <is>
          <t>Flowers, Trees, Shrubs, Ferns</t>
        </is>
      </c>
      <c r="N14" t="inlineStr">
        <is>
          <t>Seedling</t>
        </is>
      </c>
      <c r="O14"/>
      <c r="P14"/>
      <c r="Q14"/>
      <c r="R14" t="n">
        <v>12.0</v>
      </c>
      <c r="S14"/>
      <c r="T14" t="n">
        <v>14.0</v>
      </c>
      <c r="U14" t="inlineStr">
        <is>
          <t>Day(s)</t>
        </is>
      </c>
      <c r="V14" t="inlineStr">
        <is>
          <t>Environmental, unspecified</t>
        </is>
      </c>
      <c r="W14" t="inlineStr">
        <is>
          <t>Artificial soil</t>
        </is>
      </c>
      <c r="X14" t="inlineStr">
        <is>
          <t>Lab</t>
        </is>
      </c>
      <c r="Y14" t="n">
        <v>2.0</v>
      </c>
      <c r="Z14" t="inlineStr">
        <is>
          <t>Active ingredient</t>
        </is>
      </c>
      <c r="AA14"/>
      <c r="AB14" t="n">
        <v>551.0</v>
      </c>
      <c r="AC14"/>
      <c r="AD14"/>
      <c r="AE14"/>
      <c r="AF14"/>
      <c r="AG14" t="inlineStr">
        <is>
          <t>ng/g soil</t>
        </is>
      </c>
      <c r="AH14"/>
      <c r="AI14"/>
      <c r="AJ14"/>
      <c r="AK14"/>
      <c r="AL14"/>
      <c r="AM14"/>
      <c r="AN14"/>
      <c r="AO14"/>
      <c r="AP14"/>
      <c r="AQ14"/>
      <c r="AR14"/>
      <c r="AS14"/>
      <c r="AT14"/>
      <c r="AU14"/>
      <c r="AV14"/>
      <c r="AW14"/>
      <c r="AX14" t="inlineStr">
        <is>
          <t>Accumulation</t>
        </is>
      </c>
      <c r="AY14" t="inlineStr">
        <is>
          <t>Residue</t>
        </is>
      </c>
      <c r="AZ14"/>
      <c r="BA14"/>
      <c r="BB14" t="n">
        <v>551.0</v>
      </c>
      <c r="BC14"/>
      <c r="BD14"/>
      <c r="BE14"/>
      <c r="BF14"/>
      <c r="BG14"/>
      <c r="BH14"/>
      <c r="BI14" t="inlineStr">
        <is>
          <t>ng/g soil</t>
        </is>
      </c>
      <c r="BJ14" t="inlineStr">
        <is>
          <t>Multiple entries</t>
        </is>
      </c>
      <c r="BK14"/>
      <c r="BL14"/>
      <c r="BM14"/>
      <c r="BN14" t="n">
        <v>84.0</v>
      </c>
      <c r="BO14"/>
      <c r="BP14" t="n">
        <v>98.0</v>
      </c>
      <c r="BQ14" t="inlineStr">
        <is>
          <t>Day(s)</t>
        </is>
      </c>
      <c r="BR14" t="inlineStr">
        <is>
          <t>Bizkarguenaga,E., I. Zabaleta, L. Mijangos, A. Iparraguirre, L.A. Fernandez, A. Prieto, and O. Zuloaga</t>
        </is>
      </c>
      <c r="BS14" t="n">
        <v>184296.0</v>
      </c>
      <c r="BT14" t="inlineStr">
        <is>
          <t>Uptake of Perfluorooctanoic Acid, Perfluorooctane Sulfonate and Perfluorooctane Sulfonamide by Carrot and Lettuce from Compost Amended Soil</t>
        </is>
      </c>
      <c r="BU14" t="inlineStr">
        <is>
          <t>Sci. Total Environ.571:444-451</t>
        </is>
      </c>
      <c r="BV14" t="n">
        <v>2016.0</v>
      </c>
      <c r="BW14"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5">
      <c r="A15" t="n">
        <v>754916.0</v>
      </c>
      <c r="B15" t="inlineStr">
        <is>
          <t>1,1,2,2,3,3,4,4,5,5,6,6,7,7,8,8,8-Heptadecafluoro-1-octanesulfonamide</t>
        </is>
      </c>
      <c r="C15" t="inlineStr">
        <is>
          <t>Standard</t>
        </is>
      </c>
      <c r="D15" t="inlineStr">
        <is>
          <t>Measured</t>
        </is>
      </c>
      <c r="E15"/>
      <c r="F15"/>
      <c r="G15"/>
      <c r="H15"/>
      <c r="I15"/>
      <c r="J15"/>
      <c r="K15" t="inlineStr">
        <is>
          <t>Eisenia fetida</t>
        </is>
      </c>
      <c r="L15" t="inlineStr">
        <is>
          <t>Earthworm</t>
        </is>
      </c>
      <c r="M15" t="inlineStr">
        <is>
          <t>Worms; Standard Test Species</t>
        </is>
      </c>
      <c r="N15" t="inlineStr">
        <is>
          <t>Mature</t>
        </is>
      </c>
      <c r="O15"/>
      <c r="P15"/>
      <c r="Q15"/>
      <c r="R15"/>
      <c r="S15"/>
      <c r="T15"/>
      <c r="U15"/>
      <c r="V15" t="inlineStr">
        <is>
          <t>Environmental, unspecified</t>
        </is>
      </c>
      <c r="W15" t="inlineStr">
        <is>
          <t>Natural soil</t>
        </is>
      </c>
      <c r="X15" t="inlineStr">
        <is>
          <t>Lab</t>
        </is>
      </c>
      <c r="Y15" t="n">
        <v>2.0</v>
      </c>
      <c r="Z15" t="inlineStr">
        <is>
          <t>Active ingredient</t>
        </is>
      </c>
      <c r="AA15"/>
      <c r="AB15" t="n">
        <v>0.14</v>
      </c>
      <c r="AC15"/>
      <c r="AD15"/>
      <c r="AE15"/>
      <c r="AF15"/>
      <c r="AG15" t="inlineStr">
        <is>
          <t>nmol/g dry wt</t>
        </is>
      </c>
      <c r="AH15"/>
      <c r="AI15"/>
      <c r="AJ15"/>
      <c r="AK15"/>
      <c r="AL15"/>
      <c r="AM15"/>
      <c r="AN15"/>
      <c r="AO15"/>
      <c r="AP15"/>
      <c r="AQ15"/>
      <c r="AR15"/>
      <c r="AS15"/>
      <c r="AT15"/>
      <c r="AU15"/>
      <c r="AV15"/>
      <c r="AW15"/>
      <c r="AX15" t="inlineStr">
        <is>
          <t>Accumulation</t>
        </is>
      </c>
      <c r="AY15" t="inlineStr">
        <is>
          <t>Residue</t>
        </is>
      </c>
      <c r="AZ15" t="inlineStr">
        <is>
          <t>BAF</t>
        </is>
      </c>
      <c r="BA15"/>
      <c r="BB15" t="n">
        <v>5.24</v>
      </c>
      <c r="BC15"/>
      <c r="BD15"/>
      <c r="BE15"/>
      <c r="BF15"/>
      <c r="BG15"/>
      <c r="BH15"/>
      <c r="BI15" t="inlineStr">
        <is>
          <t>RA</t>
        </is>
      </c>
      <c r="BJ15" t="inlineStr">
        <is>
          <t>Whole organism</t>
        </is>
      </c>
      <c r="BK15"/>
      <c r="BL15" t="n">
        <v>31.0</v>
      </c>
      <c r="BM15"/>
      <c r="BN15"/>
      <c r="BO15"/>
      <c r="BP15"/>
      <c r="BQ15" t="inlineStr">
        <is>
          <t>Day(s)</t>
        </is>
      </c>
      <c r="BR15" t="inlineStr">
        <is>
          <t>Zhao,S., T. Zhou, B. Wang, L. Zhu, M. Chen, D. Li, and L. Yang</t>
        </is>
      </c>
      <c r="BS15" t="n">
        <v>177072.0</v>
      </c>
      <c r="BT15" t="inlineStr">
        <is>
          <t>Different Biotransformation Behaviors of Perfluorooctane Sulfonamide in Wheat (Triticum aestivum L.) from Earthworms (Eisenia fetida)</t>
        </is>
      </c>
      <c r="BU15" t="inlineStr">
        <is>
          <t>J. Hazard. Mater.346:191-198</t>
        </is>
      </c>
      <c r="BV15" t="n">
        <v>2018.0</v>
      </c>
      <c r="BW15" t="inlineStr">
        <is>
          <t>Zhao,S., T. Zhou, B. Wang, L. Zhu, M. Chen, D. Li, and L. Yang (2018). Different Biotransformation Behaviors of Perfluorooctane Sulfonamide in Wheat (Triticum aestivum L.) from Earthworms (Eisenia fetida). J. Hazard. Mater., 346, 191-198. doi:10.1016/j.jhazmat.2017.12.018. ECOREF#:177072</t>
        </is>
      </c>
    </row>
    <row r="16">
      <c r="A16" t="n">
        <v>754916.0</v>
      </c>
      <c r="B16" t="inlineStr">
        <is>
          <t>1,1,2,2,3,3,4,4,5,5,6,6,7,7,8,8,8-Heptadecafluoro-1-octanesulfonamide</t>
        </is>
      </c>
      <c r="C16"/>
      <c r="D16" t="inlineStr">
        <is>
          <t>Chemical analysis reported</t>
        </is>
      </c>
      <c r="E16"/>
      <c r="F16" t="n">
        <v>90.0</v>
      </c>
      <c r="G16"/>
      <c r="H16"/>
      <c r="I16"/>
      <c r="J16"/>
      <c r="K16" t="inlineStr">
        <is>
          <t>Eisenia fetida</t>
        </is>
      </c>
      <c r="L16" t="inlineStr">
        <is>
          <t>Earthworm</t>
        </is>
      </c>
      <c r="M16" t="inlineStr">
        <is>
          <t>Worms; Standard Test Species</t>
        </is>
      </c>
      <c r="N16" t="inlineStr">
        <is>
          <t>Adult</t>
        </is>
      </c>
      <c r="O16"/>
      <c r="P16"/>
      <c r="Q16"/>
      <c r="R16"/>
      <c r="S16"/>
      <c r="T16"/>
      <c r="U16"/>
      <c r="V16" t="inlineStr">
        <is>
          <t>Direct application</t>
        </is>
      </c>
      <c r="W16" t="inlineStr">
        <is>
          <t>Natural soil</t>
        </is>
      </c>
      <c r="X16" t="inlineStr">
        <is>
          <t>Lab</t>
        </is>
      </c>
      <c r="Y16" t="n">
        <v>2.0</v>
      </c>
      <c r="Z16" t="inlineStr">
        <is>
          <t>Active ingredient</t>
        </is>
      </c>
      <c r="AA16"/>
      <c r="AB16" t="n">
        <v>1.07</v>
      </c>
      <c r="AC16"/>
      <c r="AD16"/>
      <c r="AE16"/>
      <c r="AF16"/>
      <c r="AG16" t="inlineStr">
        <is>
          <t>nmol/g dry wt</t>
        </is>
      </c>
      <c r="AH16"/>
      <c r="AI16"/>
      <c r="AJ16"/>
      <c r="AK16"/>
      <c r="AL16"/>
      <c r="AM16"/>
      <c r="AN16"/>
      <c r="AO16"/>
      <c r="AP16"/>
      <c r="AQ16"/>
      <c r="AR16"/>
      <c r="AS16"/>
      <c r="AT16"/>
      <c r="AU16"/>
      <c r="AV16"/>
      <c r="AW16"/>
      <c r="AX16" t="inlineStr">
        <is>
          <t>Accumulation</t>
        </is>
      </c>
      <c r="AY16" t="inlineStr">
        <is>
          <t>Residue</t>
        </is>
      </c>
      <c r="AZ16" t="inlineStr">
        <is>
          <t>BAF</t>
        </is>
      </c>
      <c r="BA16"/>
      <c r="BB16" t="n">
        <v>45.8</v>
      </c>
      <c r="BC16"/>
      <c r="BD16"/>
      <c r="BE16"/>
      <c r="BF16"/>
      <c r="BG16"/>
      <c r="BH16"/>
      <c r="BI16" t="inlineStr">
        <is>
          <t>RA</t>
        </is>
      </c>
      <c r="BJ16" t="inlineStr">
        <is>
          <t>Whole organism</t>
        </is>
      </c>
      <c r="BK16" t="inlineStr">
        <is>
          <t>&lt;=</t>
        </is>
      </c>
      <c r="BL16" t="n">
        <v>20.0</v>
      </c>
      <c r="BM16"/>
      <c r="BN16"/>
      <c r="BO16"/>
      <c r="BP16"/>
      <c r="BQ16" t="inlineStr">
        <is>
          <t>Day(s)</t>
        </is>
      </c>
      <c r="BR16" t="inlineStr">
        <is>
          <t>Zhao,S., B. Wang, Z. Zhong, T. Liu, T. Liang, and J. Zhan</t>
        </is>
      </c>
      <c r="BS16" t="n">
        <v>181669.0</v>
      </c>
      <c r="BT16" t="inlineStr">
        <is>
          <t>Contributions of Enzymes and Gut Microbes to Biotransformation of Perfluorooctane Sulfonamide in Earthworms (Eisenia fetida)</t>
        </is>
      </c>
      <c r="BU16" t="inlineStr">
        <is>
          <t>Chemosphere238:9 p.</t>
        </is>
      </c>
      <c r="BV16" t="n">
        <v>2020.0</v>
      </c>
      <c r="BW16" t="inlineStr">
        <is>
          <t>Zhao,S., B. Wang, Z. Zhong, T. Liu, T. Liang, and J. Zhan (2020). Contributions of Enzymes and Gut Microbes to Biotransformation of Perfluorooctane Sulfonamide in Earthworms (Eisenia fetida). Chemosphere, 238, 9 p. ECOREF#:181669</t>
        </is>
      </c>
    </row>
    <row r="17">
      <c r="A17" t="n">
        <v>754916.0</v>
      </c>
      <c r="B17" t="inlineStr">
        <is>
          <t>1,1,2,2,3,3,4,4,5,5,6,6,7,7,8,8,8-Heptadecafluoro-1-octanesulfonamide</t>
        </is>
      </c>
      <c r="C17"/>
      <c r="D17" t="inlineStr">
        <is>
          <t>Measured</t>
        </is>
      </c>
      <c r="E17"/>
      <c r="F17" t="n">
        <v>90.0</v>
      </c>
      <c r="G17"/>
      <c r="H17"/>
      <c r="I17"/>
      <c r="J17"/>
      <c r="K17" t="inlineStr">
        <is>
          <t>Glycine max</t>
        </is>
      </c>
      <c r="L17" t="inlineStr">
        <is>
          <t>Soybean</t>
        </is>
      </c>
      <c r="M17" t="inlineStr">
        <is>
          <t>Flowers, Trees, Shrubs, Ferns; Standard Test Species</t>
        </is>
      </c>
      <c r="N17" t="inlineStr">
        <is>
          <t>Seedling</t>
        </is>
      </c>
      <c r="O17" t="inlineStr">
        <is>
          <t>&gt;</t>
        </is>
      </c>
      <c r="P17" t="n">
        <v>7.0</v>
      </c>
      <c r="Q17"/>
      <c r="R17"/>
      <c r="S17"/>
      <c r="T17"/>
      <c r="U17" t="inlineStr">
        <is>
          <t>Day(s)</t>
        </is>
      </c>
      <c r="V17" t="inlineStr">
        <is>
          <t>Hydroponic</t>
        </is>
      </c>
      <c r="W17" t="inlineStr">
        <is>
          <t>Hydroponic</t>
        </is>
      </c>
      <c r="X17" t="inlineStr">
        <is>
          <t>Lab</t>
        </is>
      </c>
      <c r="Y17" t="n">
        <v>2.0</v>
      </c>
      <c r="Z17" t="inlineStr">
        <is>
          <t>Active ingredient</t>
        </is>
      </c>
      <c r="AA17"/>
      <c r="AB17" t="n">
        <v>1.856</v>
      </c>
      <c r="AC17"/>
      <c r="AD17"/>
      <c r="AE17"/>
      <c r="AF17"/>
      <c r="AG17" t="inlineStr">
        <is>
          <t>nmol/ml</t>
        </is>
      </c>
      <c r="AH17"/>
      <c r="AI17"/>
      <c r="AJ17"/>
      <c r="AK17"/>
      <c r="AL17"/>
      <c r="AM17"/>
      <c r="AN17"/>
      <c r="AO17"/>
      <c r="AP17"/>
      <c r="AQ17"/>
      <c r="AR17"/>
      <c r="AS17"/>
      <c r="AT17"/>
      <c r="AU17"/>
      <c r="AV17"/>
      <c r="AW17"/>
      <c r="AX17" t="inlineStr">
        <is>
          <t>Accumulation</t>
        </is>
      </c>
      <c r="AY17" t="inlineStr">
        <is>
          <t>Residue</t>
        </is>
      </c>
      <c r="AZ17" t="inlineStr">
        <is>
          <t>LOEL</t>
        </is>
      </c>
      <c r="BA17"/>
      <c r="BB17" t="n">
        <v>1.856</v>
      </c>
      <c r="BC17"/>
      <c r="BD17"/>
      <c r="BE17"/>
      <c r="BF17"/>
      <c r="BG17"/>
      <c r="BH17"/>
      <c r="BI17" t="inlineStr">
        <is>
          <t>nmol/ml</t>
        </is>
      </c>
      <c r="BJ17" t="inlineStr">
        <is>
          <t>Root</t>
        </is>
      </c>
      <c r="BK17"/>
      <c r="BL17" t="n">
        <v>12.0</v>
      </c>
      <c r="BM17"/>
      <c r="BN17"/>
      <c r="BO17"/>
      <c r="BP17"/>
      <c r="BQ17" t="inlineStr">
        <is>
          <t>Day(s)</t>
        </is>
      </c>
      <c r="BR17" t="inlineStr">
        <is>
          <t>Zhao,S., T. Liang, T. Zhou, D. Li, B. Wang, J. Zhan, and L. Liu</t>
        </is>
      </c>
      <c r="BS17" t="n">
        <v>178036.0</v>
      </c>
      <c r="BT17" t="inlineStr">
        <is>
          <t>Biotransformation and Responses of Antioxidant Enzymes in Hydroponically Cultured Soybean and Pumpkin Exposed to Perfluorooctane Sulfonamide (FOSA)</t>
        </is>
      </c>
      <c r="BU17" t="inlineStr">
        <is>
          <t>Ecotoxicol. Environ. Saf.161:669-675</t>
        </is>
      </c>
      <c r="BV17" t="n">
        <v>2018.0</v>
      </c>
      <c r="BW17" t="inlineStr">
        <is>
          <t>Zhao,S., T. Liang, T. Zhou, D. Li, B. Wang, J. Zhan, and L. Liu (2018). Biotransformation and Responses of Antioxidant Enzymes in Hydroponically Cultured Soybean and Pumpkin Exposed to Perfluorooctane Sulfonamide (FOSA). Ecotoxicol. Environ. Saf., 161, 669-675. doi:10.1016/j.ecoenv.2018.06.048. ECOREF#:178036</t>
        </is>
      </c>
    </row>
    <row r="18">
      <c r="A18" t="n">
        <v>754916.0</v>
      </c>
      <c r="B18" t="inlineStr">
        <is>
          <t>1,1,2,2,3,3,4,4,5,5,6,6,7,7,8,8,8-Heptadecafluoro-1-octanesulfonamide</t>
        </is>
      </c>
      <c r="C18"/>
      <c r="D18" t="inlineStr">
        <is>
          <t>Measured</t>
        </is>
      </c>
      <c r="E18"/>
      <c r="F18" t="n">
        <v>90.0</v>
      </c>
      <c r="G18"/>
      <c r="H18"/>
      <c r="I18"/>
      <c r="J18"/>
      <c r="K18" t="inlineStr">
        <is>
          <t>Glycine max</t>
        </is>
      </c>
      <c r="L18" t="inlineStr">
        <is>
          <t>Soybean</t>
        </is>
      </c>
      <c r="M18" t="inlineStr">
        <is>
          <t>Flowers, Trees, Shrubs, Ferns; Standard Test Species</t>
        </is>
      </c>
      <c r="N18" t="inlineStr">
        <is>
          <t>Seedling</t>
        </is>
      </c>
      <c r="O18" t="inlineStr">
        <is>
          <t>&gt;</t>
        </is>
      </c>
      <c r="P18" t="n">
        <v>7.0</v>
      </c>
      <c r="Q18"/>
      <c r="R18"/>
      <c r="S18"/>
      <c r="T18"/>
      <c r="U18" t="inlineStr">
        <is>
          <t>Day(s)</t>
        </is>
      </c>
      <c r="V18" t="inlineStr">
        <is>
          <t>Hydroponic</t>
        </is>
      </c>
      <c r="W18" t="inlineStr">
        <is>
          <t>Hydroponic</t>
        </is>
      </c>
      <c r="X18" t="inlineStr">
        <is>
          <t>Lab</t>
        </is>
      </c>
      <c r="Y18" t="n">
        <v>2.0</v>
      </c>
      <c r="Z18" t="inlineStr">
        <is>
          <t>Active ingredient</t>
        </is>
      </c>
      <c r="AA18"/>
      <c r="AB18" t="n">
        <v>1.856</v>
      </c>
      <c r="AC18"/>
      <c r="AD18"/>
      <c r="AE18"/>
      <c r="AF18"/>
      <c r="AG18" t="inlineStr">
        <is>
          <t>nmol/ml</t>
        </is>
      </c>
      <c r="AH18"/>
      <c r="AI18"/>
      <c r="AJ18"/>
      <c r="AK18"/>
      <c r="AL18"/>
      <c r="AM18"/>
      <c r="AN18"/>
      <c r="AO18"/>
      <c r="AP18"/>
      <c r="AQ18"/>
      <c r="AR18"/>
      <c r="AS18"/>
      <c r="AT18"/>
      <c r="AU18"/>
      <c r="AV18"/>
      <c r="AW18"/>
      <c r="AX18" t="inlineStr">
        <is>
          <t>Accumulation</t>
        </is>
      </c>
      <c r="AY18" t="inlineStr">
        <is>
          <t>Residue</t>
        </is>
      </c>
      <c r="AZ18" t="inlineStr">
        <is>
          <t>LOEL</t>
        </is>
      </c>
      <c r="BA18"/>
      <c r="BB18" t="n">
        <v>1.856</v>
      </c>
      <c r="BC18"/>
      <c r="BD18"/>
      <c r="BE18"/>
      <c r="BF18"/>
      <c r="BG18"/>
      <c r="BH18"/>
      <c r="BI18" t="inlineStr">
        <is>
          <t>nmol/ml</t>
        </is>
      </c>
      <c r="BJ18" t="inlineStr">
        <is>
          <t>Shoot</t>
        </is>
      </c>
      <c r="BK18"/>
      <c r="BL18" t="n">
        <v>12.0</v>
      </c>
      <c r="BM18"/>
      <c r="BN18"/>
      <c r="BO18"/>
      <c r="BP18"/>
      <c r="BQ18" t="inlineStr">
        <is>
          <t>Day(s)</t>
        </is>
      </c>
      <c r="BR18" t="inlineStr">
        <is>
          <t>Zhao,S., T. Liang, T. Zhou, D. Li, B. Wang, J. Zhan, and L. Liu</t>
        </is>
      </c>
      <c r="BS18" t="n">
        <v>178036.0</v>
      </c>
      <c r="BT18" t="inlineStr">
        <is>
          <t>Biotransformation and Responses of Antioxidant Enzymes in Hydroponically Cultured Soybean and Pumpkin Exposed to Perfluorooctane Sulfonamide (FOSA)</t>
        </is>
      </c>
      <c r="BU18" t="inlineStr">
        <is>
          <t>Ecotoxicol. Environ. Saf.161:669-675</t>
        </is>
      </c>
      <c r="BV18" t="n">
        <v>2018.0</v>
      </c>
      <c r="BW18" t="inlineStr">
        <is>
          <t>Zhao,S., T. Liang, T. Zhou, D. Li, B. Wang, J. Zhan, and L. Liu (2018). Biotransformation and Responses of Antioxidant Enzymes in Hydroponically Cultured Soybean and Pumpkin Exposed to Perfluorooctane Sulfonamide (FOSA). Ecotoxicol. Environ. Saf., 161, 669-675. doi:10.1016/j.ecoenv.2018.06.048. ECOREF#:178036</t>
        </is>
      </c>
    </row>
    <row r="19">
      <c r="A19" t="n">
        <v>754916.0</v>
      </c>
      <c r="B19" t="inlineStr">
        <is>
          <t>1,1,2,2,3,3,4,4,5,5,6,6,7,7,8,8,8-Heptadecafluoro-1-octanesulfonamide</t>
        </is>
      </c>
      <c r="C19"/>
      <c r="D19" t="inlineStr">
        <is>
          <t>Measured</t>
        </is>
      </c>
      <c r="E19"/>
      <c r="F19" t="n">
        <v>97.5</v>
      </c>
      <c r="G19"/>
      <c r="H19"/>
      <c r="I19"/>
      <c r="J19"/>
      <c r="K19" t="inlineStr">
        <is>
          <t>Lactuca sativa</t>
        </is>
      </c>
      <c r="L19" t="inlineStr">
        <is>
          <t>Lettuce</t>
        </is>
      </c>
      <c r="M19" t="inlineStr">
        <is>
          <t>Flowers, Trees, Shrubs, Ferns; Standard Test Species; U.S. Invasive Species</t>
        </is>
      </c>
      <c r="N19" t="inlineStr">
        <is>
          <t>Seedling</t>
        </is>
      </c>
      <c r="O19"/>
      <c r="P19"/>
      <c r="Q19"/>
      <c r="R19" t="n">
        <v>12.0</v>
      </c>
      <c r="S19"/>
      <c r="T19" t="n">
        <v>14.0</v>
      </c>
      <c r="U19" t="inlineStr">
        <is>
          <t>Day(s)</t>
        </is>
      </c>
      <c r="V19" t="inlineStr">
        <is>
          <t>Environmental, unspecified</t>
        </is>
      </c>
      <c r="W19" t="inlineStr">
        <is>
          <t>Artificial soil</t>
        </is>
      </c>
      <c r="X19" t="inlineStr">
        <is>
          <t>Lab</t>
        </is>
      </c>
      <c r="Y19" t="n">
        <v>2.0</v>
      </c>
      <c r="Z19" t="inlineStr">
        <is>
          <t>Active ingredient</t>
        </is>
      </c>
      <c r="AA19"/>
      <c r="AB19"/>
      <c r="AC19"/>
      <c r="AD19" t="n">
        <v>520.0</v>
      </c>
      <c r="AE19"/>
      <c r="AF19" t="n">
        <v>530.0</v>
      </c>
      <c r="AG19" t="inlineStr">
        <is>
          <t>ng/g soil</t>
        </is>
      </c>
      <c r="AH19"/>
      <c r="AI19"/>
      <c r="AJ19"/>
      <c r="AK19"/>
      <c r="AL19"/>
      <c r="AM19"/>
      <c r="AN19"/>
      <c r="AO19"/>
      <c r="AP19"/>
      <c r="AQ19"/>
      <c r="AR19"/>
      <c r="AS19"/>
      <c r="AT19"/>
      <c r="AU19"/>
      <c r="AV19"/>
      <c r="AW19"/>
      <c r="AX19" t="inlineStr">
        <is>
          <t>Accumulation</t>
        </is>
      </c>
      <c r="AY19" t="inlineStr">
        <is>
          <t>Residue</t>
        </is>
      </c>
      <c r="AZ19" t="inlineStr">
        <is>
          <t>BCFD</t>
        </is>
      </c>
      <c r="BA19"/>
      <c r="BB19"/>
      <c r="BC19"/>
      <c r="BD19" t="n">
        <v>520.0</v>
      </c>
      <c r="BE19"/>
      <c r="BF19" t="n">
        <v>530.0</v>
      </c>
      <c r="BG19"/>
      <c r="BH19"/>
      <c r="BI19" t="inlineStr">
        <is>
          <t>ng/g soil</t>
        </is>
      </c>
      <c r="BJ19" t="inlineStr">
        <is>
          <t>Whole organism</t>
        </is>
      </c>
      <c r="BK19"/>
      <c r="BL19"/>
      <c r="BM19"/>
      <c r="BN19" t="n">
        <v>28.0</v>
      </c>
      <c r="BO19"/>
      <c r="BP19" t="n">
        <v>35.0</v>
      </c>
      <c r="BQ19" t="inlineStr">
        <is>
          <t>Day(s)</t>
        </is>
      </c>
      <c r="BR19" t="inlineStr">
        <is>
          <t>Bizkarguenaga,E., I. Zabaleta, L. Mijangos, A. Iparraguirre, L.A. Fernandez, A. Prieto, and O. Zuloaga</t>
        </is>
      </c>
      <c r="BS19" t="n">
        <v>184296.0</v>
      </c>
      <c r="BT19" t="inlineStr">
        <is>
          <t>Uptake of Perfluorooctanoic Acid, Perfluorooctane Sulfonate and Perfluorooctane Sulfonamide by Carrot and Lettuce from Compost Amended Soil</t>
        </is>
      </c>
      <c r="BU19" t="inlineStr">
        <is>
          <t>Sci. Total Environ.571:444-451</t>
        </is>
      </c>
      <c r="BV19" t="n">
        <v>2016.0</v>
      </c>
      <c r="BW19"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0">
      <c r="A20" t="n">
        <v>754916.0</v>
      </c>
      <c r="B20" t="inlineStr">
        <is>
          <t>1,1,2,2,3,3,4,4,5,5,6,6,7,7,8,8,8-Heptadecafluoro-1-octanesulfonamide</t>
        </is>
      </c>
      <c r="C20"/>
      <c r="D20" t="inlineStr">
        <is>
          <t>Measured</t>
        </is>
      </c>
      <c r="E20"/>
      <c r="F20" t="n">
        <v>97.5</v>
      </c>
      <c r="G20"/>
      <c r="H20"/>
      <c r="I20"/>
      <c r="J20"/>
      <c r="K20" t="inlineStr">
        <is>
          <t>Lactuca sativa</t>
        </is>
      </c>
      <c r="L20" t="inlineStr">
        <is>
          <t>Lettuce</t>
        </is>
      </c>
      <c r="M20" t="inlineStr">
        <is>
          <t>Flowers, Trees, Shrubs, Ferns; Standard Test Species; U.S. Invasive Species</t>
        </is>
      </c>
      <c r="N20" t="inlineStr">
        <is>
          <t>Seedling</t>
        </is>
      </c>
      <c r="O20"/>
      <c r="P20"/>
      <c r="Q20"/>
      <c r="R20" t="n">
        <v>12.0</v>
      </c>
      <c r="S20"/>
      <c r="T20" t="n">
        <v>14.0</v>
      </c>
      <c r="U20" t="inlineStr">
        <is>
          <t>Day(s)</t>
        </is>
      </c>
      <c r="V20" t="inlineStr">
        <is>
          <t>Environmental, unspecified</t>
        </is>
      </c>
      <c r="W20" t="inlineStr">
        <is>
          <t>Artificial soil</t>
        </is>
      </c>
      <c r="X20" t="inlineStr">
        <is>
          <t>Lab</t>
        </is>
      </c>
      <c r="Y20" t="n">
        <v>2.0</v>
      </c>
      <c r="Z20" t="inlineStr">
        <is>
          <t>Active ingredient</t>
        </is>
      </c>
      <c r="AA20"/>
      <c r="AB20"/>
      <c r="AC20"/>
      <c r="AD20" t="n">
        <v>354.0</v>
      </c>
      <c r="AE20"/>
      <c r="AF20" t="n">
        <v>496.0</v>
      </c>
      <c r="AG20" t="inlineStr">
        <is>
          <t>ng/g soil</t>
        </is>
      </c>
      <c r="AH20"/>
      <c r="AI20"/>
      <c r="AJ20"/>
      <c r="AK20"/>
      <c r="AL20"/>
      <c r="AM20"/>
      <c r="AN20"/>
      <c r="AO20"/>
      <c r="AP20"/>
      <c r="AQ20"/>
      <c r="AR20"/>
      <c r="AS20"/>
      <c r="AT20"/>
      <c r="AU20"/>
      <c r="AV20"/>
      <c r="AW20"/>
      <c r="AX20" t="inlineStr">
        <is>
          <t>Accumulation</t>
        </is>
      </c>
      <c r="AY20" t="inlineStr">
        <is>
          <t>Residue</t>
        </is>
      </c>
      <c r="AZ20" t="inlineStr">
        <is>
          <t>BCFD</t>
        </is>
      </c>
      <c r="BA20"/>
      <c r="BB20"/>
      <c r="BC20"/>
      <c r="BD20" t="n">
        <v>354.0</v>
      </c>
      <c r="BE20"/>
      <c r="BF20" t="n">
        <v>496.0</v>
      </c>
      <c r="BG20"/>
      <c r="BH20"/>
      <c r="BI20" t="inlineStr">
        <is>
          <t>ng/g soil</t>
        </is>
      </c>
      <c r="BJ20" t="inlineStr">
        <is>
          <t>Whole organism</t>
        </is>
      </c>
      <c r="BK20"/>
      <c r="BL20"/>
      <c r="BM20"/>
      <c r="BN20" t="n">
        <v>28.0</v>
      </c>
      <c r="BO20"/>
      <c r="BP20" t="n">
        <v>35.0</v>
      </c>
      <c r="BQ20" t="inlineStr">
        <is>
          <t>Day(s)</t>
        </is>
      </c>
      <c r="BR20" t="inlineStr">
        <is>
          <t>Bizkarguenaga,E., I. Zabaleta, L. Mijangos, A. Iparraguirre, L.A. Fernandez, A. Prieto, and O. Zuloaga</t>
        </is>
      </c>
      <c r="BS20" t="n">
        <v>184296.0</v>
      </c>
      <c r="BT20" t="inlineStr">
        <is>
          <t>Uptake of Perfluorooctanoic Acid, Perfluorooctane Sulfonate and Perfluorooctane Sulfonamide by Carrot and Lettuce from Compost Amended Soil</t>
        </is>
      </c>
      <c r="BU20" t="inlineStr">
        <is>
          <t>Sci. Total Environ.571:444-451</t>
        </is>
      </c>
      <c r="BV20" t="n">
        <v>2016.0</v>
      </c>
      <c r="BW20"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1">
      <c r="A21" t="n">
        <v>754916.0</v>
      </c>
      <c r="B21" t="inlineStr">
        <is>
          <t>1,1,2,2,3,3,4,4,5,5,6,6,7,7,8,8,8-Heptadecafluoro-1-octanesulfonamide</t>
        </is>
      </c>
      <c r="C21"/>
      <c r="D21" t="inlineStr">
        <is>
          <t>Measured</t>
        </is>
      </c>
      <c r="E21"/>
      <c r="F21" t="n">
        <v>97.5</v>
      </c>
      <c r="G21"/>
      <c r="H21"/>
      <c r="I21"/>
      <c r="J21"/>
      <c r="K21" t="inlineStr">
        <is>
          <t>Lactuca sativa</t>
        </is>
      </c>
      <c r="L21" t="inlineStr">
        <is>
          <t>Lettuce</t>
        </is>
      </c>
      <c r="M21" t="inlineStr">
        <is>
          <t>Flowers, Trees, Shrubs, Ferns; Standard Test Species; U.S. Invasive Species</t>
        </is>
      </c>
      <c r="N21" t="inlineStr">
        <is>
          <t>Seedling</t>
        </is>
      </c>
      <c r="O21"/>
      <c r="P21"/>
      <c r="Q21"/>
      <c r="R21" t="n">
        <v>12.0</v>
      </c>
      <c r="S21"/>
      <c r="T21" t="n">
        <v>14.0</v>
      </c>
      <c r="U21" t="inlineStr">
        <is>
          <t>Day(s)</t>
        </is>
      </c>
      <c r="V21" t="inlineStr">
        <is>
          <t>Environmental, unspecified</t>
        </is>
      </c>
      <c r="W21" t="inlineStr">
        <is>
          <t>Artificial soil</t>
        </is>
      </c>
      <c r="X21" t="inlineStr">
        <is>
          <t>Lab</t>
        </is>
      </c>
      <c r="Y21" t="n">
        <v>2.0</v>
      </c>
      <c r="Z21" t="inlineStr">
        <is>
          <t>Active ingredient</t>
        </is>
      </c>
      <c r="AA21"/>
      <c r="AB21"/>
      <c r="AC21"/>
      <c r="AD21" t="n">
        <v>89.0</v>
      </c>
      <c r="AE21"/>
      <c r="AF21" t="n">
        <v>530.0</v>
      </c>
      <c r="AG21" t="inlineStr">
        <is>
          <t>ng/g soil</t>
        </is>
      </c>
      <c r="AH21"/>
      <c r="AI21"/>
      <c r="AJ21"/>
      <c r="AK21"/>
      <c r="AL21"/>
      <c r="AM21"/>
      <c r="AN21"/>
      <c r="AO21"/>
      <c r="AP21"/>
      <c r="AQ21"/>
      <c r="AR21"/>
      <c r="AS21"/>
      <c r="AT21"/>
      <c r="AU21"/>
      <c r="AV21"/>
      <c r="AW21"/>
      <c r="AX21" t="inlineStr">
        <is>
          <t>Accumulation</t>
        </is>
      </c>
      <c r="AY21" t="inlineStr">
        <is>
          <t>Residue</t>
        </is>
      </c>
      <c r="AZ21" t="inlineStr">
        <is>
          <t>BCFD</t>
        </is>
      </c>
      <c r="BA21"/>
      <c r="BB21"/>
      <c r="BC21"/>
      <c r="BD21" t="n">
        <v>89.0</v>
      </c>
      <c r="BE21"/>
      <c r="BF21" t="n">
        <v>530.0</v>
      </c>
      <c r="BG21"/>
      <c r="BH21"/>
      <c r="BI21" t="inlineStr">
        <is>
          <t>ng/g soil</t>
        </is>
      </c>
      <c r="BJ21" t="inlineStr">
        <is>
          <t>Heart</t>
        </is>
      </c>
      <c r="BK21"/>
      <c r="BL21"/>
      <c r="BM21"/>
      <c r="BN21" t="n">
        <v>28.0</v>
      </c>
      <c r="BO21"/>
      <c r="BP21" t="n">
        <v>35.0</v>
      </c>
      <c r="BQ21" t="inlineStr">
        <is>
          <t>Day(s)</t>
        </is>
      </c>
      <c r="BR21" t="inlineStr">
        <is>
          <t>Bizkarguenaga,E., I. Zabaleta, L. Mijangos, A. Iparraguirre, L.A. Fernandez, A. Prieto, and O. Zuloaga</t>
        </is>
      </c>
      <c r="BS21" t="n">
        <v>184296.0</v>
      </c>
      <c r="BT21" t="inlineStr">
        <is>
          <t>Uptake of Perfluorooctanoic Acid, Perfluorooctane Sulfonate and Perfluorooctane Sulfonamide by Carrot and Lettuce from Compost Amended Soil</t>
        </is>
      </c>
      <c r="BU21" t="inlineStr">
        <is>
          <t>Sci. Total Environ.571:444-451</t>
        </is>
      </c>
      <c r="BV21" t="n">
        <v>2016.0</v>
      </c>
      <c r="BW21"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2">
      <c r="A22" t="n">
        <v>754916.0</v>
      </c>
      <c r="B22" t="inlineStr">
        <is>
          <t>1,1,2,2,3,3,4,4,5,5,6,6,7,7,8,8,8-Heptadecafluoro-1-octanesulfonamide</t>
        </is>
      </c>
      <c r="C22"/>
      <c r="D22" t="inlineStr">
        <is>
          <t>Measured</t>
        </is>
      </c>
      <c r="E22"/>
      <c r="F22" t="n">
        <v>97.5</v>
      </c>
      <c r="G22"/>
      <c r="H22"/>
      <c r="I22"/>
      <c r="J22"/>
      <c r="K22" t="inlineStr">
        <is>
          <t>Lactuca sativa</t>
        </is>
      </c>
      <c r="L22" t="inlineStr">
        <is>
          <t>Lettuce</t>
        </is>
      </c>
      <c r="M22" t="inlineStr">
        <is>
          <t>Flowers, Trees, Shrubs, Ferns; Standard Test Species; U.S. Invasive Species</t>
        </is>
      </c>
      <c r="N22" t="inlineStr">
        <is>
          <t>Seedling</t>
        </is>
      </c>
      <c r="O22"/>
      <c r="P22"/>
      <c r="Q22"/>
      <c r="R22" t="n">
        <v>12.0</v>
      </c>
      <c r="S22"/>
      <c r="T22" t="n">
        <v>14.0</v>
      </c>
      <c r="U22" t="inlineStr">
        <is>
          <t>Day(s)</t>
        </is>
      </c>
      <c r="V22" t="inlineStr">
        <is>
          <t>Environmental, unspecified</t>
        </is>
      </c>
      <c r="W22" t="inlineStr">
        <is>
          <t>Artificial soil</t>
        </is>
      </c>
      <c r="X22" t="inlineStr">
        <is>
          <t>Lab</t>
        </is>
      </c>
      <c r="Y22" t="n">
        <v>2.0</v>
      </c>
      <c r="Z22" t="inlineStr">
        <is>
          <t>Active ingredient</t>
        </is>
      </c>
      <c r="AA22"/>
      <c r="AB22"/>
      <c r="AC22"/>
      <c r="AD22" t="n">
        <v>89.0</v>
      </c>
      <c r="AE22"/>
      <c r="AF22" t="n">
        <v>500.0</v>
      </c>
      <c r="AG22" t="inlineStr">
        <is>
          <t>ng/g soil</t>
        </is>
      </c>
      <c r="AH22"/>
      <c r="AI22"/>
      <c r="AJ22"/>
      <c r="AK22"/>
      <c r="AL22"/>
      <c r="AM22"/>
      <c r="AN22"/>
      <c r="AO22"/>
      <c r="AP22"/>
      <c r="AQ22"/>
      <c r="AR22"/>
      <c r="AS22"/>
      <c r="AT22"/>
      <c r="AU22"/>
      <c r="AV22"/>
      <c r="AW22"/>
      <c r="AX22" t="inlineStr">
        <is>
          <t>Accumulation</t>
        </is>
      </c>
      <c r="AY22" t="inlineStr">
        <is>
          <t>Residue</t>
        </is>
      </c>
      <c r="AZ22" t="inlineStr">
        <is>
          <t>BCFD</t>
        </is>
      </c>
      <c r="BA22"/>
      <c r="BB22"/>
      <c r="BC22"/>
      <c r="BD22" t="n">
        <v>89.0</v>
      </c>
      <c r="BE22"/>
      <c r="BF22" t="n">
        <v>500.0</v>
      </c>
      <c r="BG22"/>
      <c r="BH22"/>
      <c r="BI22" t="inlineStr">
        <is>
          <t>ng/g soil</t>
        </is>
      </c>
      <c r="BJ22" t="inlineStr">
        <is>
          <t>Whole organism</t>
        </is>
      </c>
      <c r="BK22"/>
      <c r="BL22"/>
      <c r="BM22"/>
      <c r="BN22" t="n">
        <v>28.0</v>
      </c>
      <c r="BO22"/>
      <c r="BP22" t="n">
        <v>35.0</v>
      </c>
      <c r="BQ22" t="inlineStr">
        <is>
          <t>Day(s)</t>
        </is>
      </c>
      <c r="BR22" t="inlineStr">
        <is>
          <t>Bizkarguenaga,E., I. Zabaleta, L. Mijangos, A. Iparraguirre, L.A. Fernandez, A. Prieto, and O. Zuloaga</t>
        </is>
      </c>
      <c r="BS22" t="n">
        <v>184296.0</v>
      </c>
      <c r="BT22" t="inlineStr">
        <is>
          <t>Uptake of Perfluorooctanoic Acid, Perfluorooctane Sulfonate and Perfluorooctane Sulfonamide by Carrot and Lettuce from Compost Amended Soil</t>
        </is>
      </c>
      <c r="BU22" t="inlineStr">
        <is>
          <t>Sci. Total Environ.571:444-451</t>
        </is>
      </c>
      <c r="BV22" t="n">
        <v>2016.0</v>
      </c>
      <c r="BW22"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3">
      <c r="A23" t="n">
        <v>754916.0</v>
      </c>
      <c r="B23" t="inlineStr">
        <is>
          <t>1,1,2,2,3,3,4,4,5,5,6,6,7,7,8,8,8-Heptadecafluoro-1-octanesulfonamide</t>
        </is>
      </c>
      <c r="C23"/>
      <c r="D23" t="inlineStr">
        <is>
          <t>Measured</t>
        </is>
      </c>
      <c r="E23"/>
      <c r="F23" t="n">
        <v>97.5</v>
      </c>
      <c r="G23"/>
      <c r="H23"/>
      <c r="I23"/>
      <c r="J23"/>
      <c r="K23" t="inlineStr">
        <is>
          <t>Lactuca sativa</t>
        </is>
      </c>
      <c r="L23" t="inlineStr">
        <is>
          <t>Lettuce</t>
        </is>
      </c>
      <c r="M23" t="inlineStr">
        <is>
          <t>Flowers, Trees, Shrubs, Ferns; Standard Test Species; U.S. Invasive Species</t>
        </is>
      </c>
      <c r="N23" t="inlineStr">
        <is>
          <t>Seedling</t>
        </is>
      </c>
      <c r="O23"/>
      <c r="P23"/>
      <c r="Q23"/>
      <c r="R23" t="n">
        <v>12.0</v>
      </c>
      <c r="S23"/>
      <c r="T23" t="n">
        <v>14.0</v>
      </c>
      <c r="U23" t="inlineStr">
        <is>
          <t>Day(s)</t>
        </is>
      </c>
      <c r="V23" t="inlineStr">
        <is>
          <t>Environmental, unspecified</t>
        </is>
      </c>
      <c r="W23" t="inlineStr">
        <is>
          <t>Artificial soil</t>
        </is>
      </c>
      <c r="X23" t="inlineStr">
        <is>
          <t>Lab</t>
        </is>
      </c>
      <c r="Y23" t="n">
        <v>2.0</v>
      </c>
      <c r="Z23" t="inlineStr">
        <is>
          <t>Active ingredient</t>
        </is>
      </c>
      <c r="AA23"/>
      <c r="AB23"/>
      <c r="AC23"/>
      <c r="AD23" t="n">
        <v>134.0</v>
      </c>
      <c r="AE23"/>
      <c r="AF23" t="n">
        <v>510.0</v>
      </c>
      <c r="AG23" t="inlineStr">
        <is>
          <t>ng/g soil</t>
        </is>
      </c>
      <c r="AH23"/>
      <c r="AI23"/>
      <c r="AJ23"/>
      <c r="AK23"/>
      <c r="AL23"/>
      <c r="AM23"/>
      <c r="AN23"/>
      <c r="AO23"/>
      <c r="AP23"/>
      <c r="AQ23"/>
      <c r="AR23"/>
      <c r="AS23"/>
      <c r="AT23"/>
      <c r="AU23"/>
      <c r="AV23"/>
      <c r="AW23"/>
      <c r="AX23" t="inlineStr">
        <is>
          <t>Accumulation</t>
        </is>
      </c>
      <c r="AY23" t="inlineStr">
        <is>
          <t>Residue</t>
        </is>
      </c>
      <c r="AZ23" t="inlineStr">
        <is>
          <t>BCFD</t>
        </is>
      </c>
      <c r="BA23"/>
      <c r="BB23"/>
      <c r="BC23"/>
      <c r="BD23" t="n">
        <v>134.0</v>
      </c>
      <c r="BE23"/>
      <c r="BF23" t="n">
        <v>510.0</v>
      </c>
      <c r="BG23"/>
      <c r="BH23"/>
      <c r="BI23" t="inlineStr">
        <is>
          <t>ng/g soil</t>
        </is>
      </c>
      <c r="BJ23" t="inlineStr">
        <is>
          <t>Whole organism</t>
        </is>
      </c>
      <c r="BK23"/>
      <c r="BL23"/>
      <c r="BM23"/>
      <c r="BN23" t="n">
        <v>28.0</v>
      </c>
      <c r="BO23"/>
      <c r="BP23" t="n">
        <v>35.0</v>
      </c>
      <c r="BQ23" t="inlineStr">
        <is>
          <t>Day(s)</t>
        </is>
      </c>
      <c r="BR23" t="inlineStr">
        <is>
          <t>Bizkarguenaga,E., I. Zabaleta, L. Mijangos, A. Iparraguirre, L.A. Fernandez, A. Prieto, and O. Zuloaga</t>
        </is>
      </c>
      <c r="BS23" t="n">
        <v>184296.0</v>
      </c>
      <c r="BT23" t="inlineStr">
        <is>
          <t>Uptake of Perfluorooctanoic Acid, Perfluorooctane Sulfonate and Perfluorooctane Sulfonamide by Carrot and Lettuce from Compost Amended Soil</t>
        </is>
      </c>
      <c r="BU23" t="inlineStr">
        <is>
          <t>Sci. Total Environ.571:444-451</t>
        </is>
      </c>
      <c r="BV23" t="n">
        <v>2016.0</v>
      </c>
      <c r="BW23"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4">
      <c r="A24" t="n">
        <v>754916.0</v>
      </c>
      <c r="B24" t="inlineStr">
        <is>
          <t>1,1,2,2,3,3,4,4,5,5,6,6,7,7,8,8,8-Heptadecafluoro-1-octanesulfonamide</t>
        </is>
      </c>
      <c r="C24" t="inlineStr">
        <is>
          <t>Standard</t>
        </is>
      </c>
      <c r="D24" t="inlineStr">
        <is>
          <t>Measured</t>
        </is>
      </c>
      <c r="E24"/>
      <c r="F24"/>
      <c r="G24"/>
      <c r="H24"/>
      <c r="I24"/>
      <c r="J24"/>
      <c r="K24" t="inlineStr">
        <is>
          <t>Triticum aestivum</t>
        </is>
      </c>
      <c r="L24" t="inlineStr">
        <is>
          <t>Bread Wheat</t>
        </is>
      </c>
      <c r="M24" t="inlineStr">
        <is>
          <t>Flowers, Trees, Shrubs, Ferns</t>
        </is>
      </c>
      <c r="N24" t="inlineStr">
        <is>
          <t>Seed</t>
        </is>
      </c>
      <c r="O24"/>
      <c r="P24" t="n">
        <v>3.0</v>
      </c>
      <c r="Q24"/>
      <c r="R24"/>
      <c r="S24"/>
      <c r="T24"/>
      <c r="U24" t="inlineStr">
        <is>
          <t>Day(s)</t>
        </is>
      </c>
      <c r="V24" t="inlineStr">
        <is>
          <t>Hydroponic</t>
        </is>
      </c>
      <c r="W24" t="inlineStr">
        <is>
          <t>Hydroponic</t>
        </is>
      </c>
      <c r="X24" t="inlineStr">
        <is>
          <t>Lab</t>
        </is>
      </c>
      <c r="Y24" t="n">
        <v>2.0</v>
      </c>
      <c r="Z24" t="inlineStr">
        <is>
          <t>Active ingredient</t>
        </is>
      </c>
      <c r="AA24"/>
      <c r="AB24" t="n">
        <v>1.9</v>
      </c>
      <c r="AC24"/>
      <c r="AD24"/>
      <c r="AE24"/>
      <c r="AF24"/>
      <c r="AG24" t="inlineStr">
        <is>
          <t>nmol/ml</t>
        </is>
      </c>
      <c r="AH24"/>
      <c r="AI24"/>
      <c r="AJ24"/>
      <c r="AK24"/>
      <c r="AL24"/>
      <c r="AM24"/>
      <c r="AN24"/>
      <c r="AO24"/>
      <c r="AP24"/>
      <c r="AQ24"/>
      <c r="AR24"/>
      <c r="AS24"/>
      <c r="AT24"/>
      <c r="AU24"/>
      <c r="AV24"/>
      <c r="AW24"/>
      <c r="AX24" t="inlineStr">
        <is>
          <t>Accumulation</t>
        </is>
      </c>
      <c r="AY24" t="inlineStr">
        <is>
          <t>Residue</t>
        </is>
      </c>
      <c r="AZ24"/>
      <c r="BA24"/>
      <c r="BB24" t="n">
        <v>1.9</v>
      </c>
      <c r="BC24"/>
      <c r="BD24"/>
      <c r="BE24"/>
      <c r="BF24"/>
      <c r="BG24"/>
      <c r="BH24"/>
      <c r="BI24" t="inlineStr">
        <is>
          <t>nmol/ml</t>
        </is>
      </c>
      <c r="BJ24" t="inlineStr">
        <is>
          <t>Multiple entries</t>
        </is>
      </c>
      <c r="BK24"/>
      <c r="BL24" t="n">
        <v>12.0</v>
      </c>
      <c r="BM24"/>
      <c r="BN24"/>
      <c r="BO24"/>
      <c r="BP24"/>
      <c r="BQ24" t="inlineStr">
        <is>
          <t>Day(s)</t>
        </is>
      </c>
      <c r="BR24" t="inlineStr">
        <is>
          <t>Zhao,S., T. Zhou, B. Wang, L. Zhu, M. Chen, D. Li, and L. Yang</t>
        </is>
      </c>
      <c r="BS24" t="n">
        <v>177072.0</v>
      </c>
      <c r="BT24" t="inlineStr">
        <is>
          <t>Different Biotransformation Behaviors of Perfluorooctane Sulfonamide in Wheat (Triticum aestivum L.) from Earthworms (Eisenia fetida)</t>
        </is>
      </c>
      <c r="BU24" t="inlineStr">
        <is>
          <t>J. Hazard. Mater.346:191-198</t>
        </is>
      </c>
      <c r="BV24" t="n">
        <v>2018.0</v>
      </c>
      <c r="BW24" t="inlineStr">
        <is>
          <t>Zhao,S., T. Zhou, B. Wang, L. Zhu, M. Chen, D. Li, and L. Yang (2018). Different Biotransformation Behaviors of Perfluorooctane Sulfonamide in Wheat (Triticum aestivum L.) from Earthworms (Eisenia fetida). J. Hazard. Mater., 346, 191-198. doi:10.1016/j.jhazmat.2017.12.018. ECOREF#:177072</t>
        </is>
      </c>
    </row>
    <row r="25">
      <c r="A25" t="n">
        <v>754916.0</v>
      </c>
      <c r="B25" t="inlineStr">
        <is>
          <t>1,1,2,2,3,3,4,4,5,5,6,6,7,7,8,8,8-Heptadecafluoro-1-octanesulfonamide</t>
        </is>
      </c>
      <c r="C25" t="inlineStr">
        <is>
          <t>Standard</t>
        </is>
      </c>
      <c r="D25" t="inlineStr">
        <is>
          <t>Measured</t>
        </is>
      </c>
      <c r="E25"/>
      <c r="F25"/>
      <c r="G25"/>
      <c r="H25"/>
      <c r="I25"/>
      <c r="J25"/>
      <c r="K25" t="inlineStr">
        <is>
          <t>Triticum aestivum</t>
        </is>
      </c>
      <c r="L25" t="inlineStr">
        <is>
          <t>Bread Wheat</t>
        </is>
      </c>
      <c r="M25" t="inlineStr">
        <is>
          <t>Flowers, Trees, Shrubs, Ferns</t>
        </is>
      </c>
      <c r="N25" t="inlineStr">
        <is>
          <t>Seed</t>
        </is>
      </c>
      <c r="O25"/>
      <c r="P25" t="n">
        <v>3.0</v>
      </c>
      <c r="Q25"/>
      <c r="R25"/>
      <c r="S25"/>
      <c r="T25"/>
      <c r="U25" t="inlineStr">
        <is>
          <t>Day(s)</t>
        </is>
      </c>
      <c r="V25" t="inlineStr">
        <is>
          <t>Environmental, unspecified</t>
        </is>
      </c>
      <c r="W25" t="inlineStr">
        <is>
          <t>Natural soil</t>
        </is>
      </c>
      <c r="X25" t="inlineStr">
        <is>
          <t>Lab</t>
        </is>
      </c>
      <c r="Y25" t="n">
        <v>2.0</v>
      </c>
      <c r="Z25" t="inlineStr">
        <is>
          <t>Active ingredient</t>
        </is>
      </c>
      <c r="AA25"/>
      <c r="AB25" t="n">
        <v>2.128</v>
      </c>
      <c r="AC25"/>
      <c r="AD25"/>
      <c r="AE25"/>
      <c r="AF25"/>
      <c r="AG25" t="inlineStr">
        <is>
          <t>nmol/g dry wt</t>
        </is>
      </c>
      <c r="AH25"/>
      <c r="AI25"/>
      <c r="AJ25"/>
      <c r="AK25"/>
      <c r="AL25"/>
      <c r="AM25"/>
      <c r="AN25"/>
      <c r="AO25"/>
      <c r="AP25"/>
      <c r="AQ25"/>
      <c r="AR25"/>
      <c r="AS25"/>
      <c r="AT25"/>
      <c r="AU25"/>
      <c r="AV25"/>
      <c r="AW25"/>
      <c r="AX25" t="inlineStr">
        <is>
          <t>Accumulation</t>
        </is>
      </c>
      <c r="AY25" t="inlineStr">
        <is>
          <t>Residue</t>
        </is>
      </c>
      <c r="AZ25"/>
      <c r="BA25"/>
      <c r="BB25" t="n">
        <v>2.128</v>
      </c>
      <c r="BC25"/>
      <c r="BD25"/>
      <c r="BE25"/>
      <c r="BF25"/>
      <c r="BG25"/>
      <c r="BH25"/>
      <c r="BI25" t="inlineStr">
        <is>
          <t>nmol/g dry wt</t>
        </is>
      </c>
      <c r="BJ25" t="inlineStr">
        <is>
          <t>Multiple entries</t>
        </is>
      </c>
      <c r="BK25"/>
      <c r="BL25" t="n">
        <v>30.0</v>
      </c>
      <c r="BM25"/>
      <c r="BN25"/>
      <c r="BO25"/>
      <c r="BP25"/>
      <c r="BQ25" t="inlineStr">
        <is>
          <t>Day(s)</t>
        </is>
      </c>
      <c r="BR25" t="inlineStr">
        <is>
          <t>Zhao,S., T. Zhou, B. Wang, L. Zhu, M. Chen, D. Li, and L. Yang</t>
        </is>
      </c>
      <c r="BS25" t="n">
        <v>177072.0</v>
      </c>
      <c r="BT25" t="inlineStr">
        <is>
          <t>Different Biotransformation Behaviors of Perfluorooctane Sulfonamide in Wheat (Triticum aestivum L.) from Earthworms (Eisenia fetida)</t>
        </is>
      </c>
      <c r="BU25" t="inlineStr">
        <is>
          <t>J. Hazard. Mater.346:191-198</t>
        </is>
      </c>
      <c r="BV25" t="n">
        <v>2018.0</v>
      </c>
      <c r="BW25" t="inlineStr">
        <is>
          <t>Zhao,S., T. Zhou, B. Wang, L. Zhu, M. Chen, D. Li, and L. Yang (2018). Different Biotransformation Behaviors of Perfluorooctane Sulfonamide in Wheat (Triticum aestivum L.) from Earthworms (Eisenia fetida). J. Hazard. Mater., 346, 191-198. doi:10.1016/j.jhazmat.2017.12.018. ECOREF#:177072</t>
        </is>
      </c>
    </row>
    <row r="26">
      <c r="A26" t="n">
        <v>1763231.0</v>
      </c>
      <c r="B26" t="inlineStr">
        <is>
          <t>1,1,2,2,3,3,4,4,5,5,6,6,7,7,8,8,8-Heptadecafluoro-1-octanesulfonic acid</t>
        </is>
      </c>
      <c r="C26"/>
      <c r="D26" t="inlineStr">
        <is>
          <t>Measured</t>
        </is>
      </c>
      <c r="E26"/>
      <c r="F26"/>
      <c r="G26"/>
      <c r="H26"/>
      <c r="I26"/>
      <c r="J26"/>
      <c r="K26" t="inlineStr">
        <is>
          <t>Abutilon theophrasti</t>
        </is>
      </c>
      <c r="L26" t="inlineStr">
        <is>
          <t>Butter Print</t>
        </is>
      </c>
      <c r="M26" t="inlineStr">
        <is>
          <t>Flowers, Trees, Shrubs, Ferns; U.S. Invasive Species</t>
        </is>
      </c>
      <c r="N26" t="inlineStr">
        <is>
          <t>Seedling</t>
        </is>
      </c>
      <c r="O26"/>
      <c r="P26" t="n">
        <v>2.0</v>
      </c>
      <c r="Q26"/>
      <c r="R26"/>
      <c r="S26"/>
      <c r="T26"/>
      <c r="U26" t="inlineStr">
        <is>
          <t>Leaf stage</t>
        </is>
      </c>
      <c r="V26" t="inlineStr">
        <is>
          <t>Environmental, unspecified</t>
        </is>
      </c>
      <c r="W26" t="inlineStr">
        <is>
          <t>Natural soil</t>
        </is>
      </c>
      <c r="X26" t="inlineStr">
        <is>
          <t>Lab</t>
        </is>
      </c>
      <c r="Y26" t="n">
        <v>3.0</v>
      </c>
      <c r="Z26" t="inlineStr">
        <is>
          <t>Active ingredient</t>
        </is>
      </c>
      <c r="AA26"/>
      <c r="AB26" t="n">
        <v>24.5</v>
      </c>
      <c r="AC26"/>
      <c r="AD26"/>
      <c r="AE26"/>
      <c r="AF26"/>
      <c r="AG26" t="inlineStr">
        <is>
          <t>mg/kg soil</t>
        </is>
      </c>
      <c r="AH26"/>
      <c r="AI26"/>
      <c r="AJ26"/>
      <c r="AK26"/>
      <c r="AL26"/>
      <c r="AM26"/>
      <c r="AN26"/>
      <c r="AO26"/>
      <c r="AP26"/>
      <c r="AQ26"/>
      <c r="AR26"/>
      <c r="AS26"/>
      <c r="AT26"/>
      <c r="AU26"/>
      <c r="AV26"/>
      <c r="AW26"/>
      <c r="AX26" t="inlineStr">
        <is>
          <t>Accumulation</t>
        </is>
      </c>
      <c r="AY26" t="inlineStr">
        <is>
          <t>Residue</t>
        </is>
      </c>
      <c r="AZ26" t="inlineStr">
        <is>
          <t>LOEL</t>
        </is>
      </c>
      <c r="BA26"/>
      <c r="BB26" t="n">
        <v>24.5</v>
      </c>
      <c r="BC26"/>
      <c r="BD26"/>
      <c r="BE26"/>
      <c r="BF26"/>
      <c r="BG26"/>
      <c r="BH26"/>
      <c r="BI26" t="inlineStr">
        <is>
          <t>mg/kg soil</t>
        </is>
      </c>
      <c r="BJ26" t="inlineStr">
        <is>
          <t>Root</t>
        </is>
      </c>
      <c r="BK26"/>
      <c r="BL26" t="n">
        <v>60.0</v>
      </c>
      <c r="BM26"/>
      <c r="BN26"/>
      <c r="BO26"/>
      <c r="BP26"/>
      <c r="BQ26" t="inlineStr">
        <is>
          <t>Day(s)</t>
        </is>
      </c>
      <c r="BR26" t="inlineStr">
        <is>
          <t>Rico,C.M., D.C. Wagner, P.C. Ofoegbu, N.J. Kirwa, P. Clubb, K. Coates, J.E. Zenobio, and A.S. Adeleye</t>
        </is>
      </c>
      <c r="BS26" t="n">
        <v>193550.0</v>
      </c>
      <c r="BT26" t="inlineStr">
        <is>
          <t>Toxicity Assessment of Perfluorooctanesulfonic Acid (PFOS) on a Spontaneous Plant, velvetleaf (Abutilon theophrasti), via Metabolomics</t>
        </is>
      </c>
      <c r="BU26" t="inlineStr">
        <is>
          <t>Sci. Total Environ.907:13 p.</t>
        </is>
      </c>
      <c r="BV26" t="n">
        <v>2024.0</v>
      </c>
      <c r="BW26" t="inlineStr">
        <is>
          <t>Rico,C.M., D.C. Wagner, P.C. Ofoegbu, N.J. Kirwa, P. Clubb, K. Coates, J.E. Zenobio, and A.S. Adeleye (2024). Toxicity Assessment of Perfluorooctanesulfonic Acid (PFOS) on a Spontaneous Plant, velvetleaf (Abutilon theophrasti), via Metabolomics. Sci. Total Environ., 907, 13 p. doi:10.1016/j.scitotenv.2023.167894. ECOREF#:193550</t>
        </is>
      </c>
    </row>
    <row r="27">
      <c r="A27" t="n">
        <v>1763231.0</v>
      </c>
      <c r="B27" t="inlineStr">
        <is>
          <t>1,1,2,2,3,3,4,4,5,5,6,6,7,7,8,8,8-Heptadecafluoro-1-octanesulfonic acid</t>
        </is>
      </c>
      <c r="C27"/>
      <c r="D27" t="inlineStr">
        <is>
          <t>Measured</t>
        </is>
      </c>
      <c r="E27"/>
      <c r="F27"/>
      <c r="G27"/>
      <c r="H27"/>
      <c r="I27"/>
      <c r="J27"/>
      <c r="K27" t="inlineStr">
        <is>
          <t>Abutilon theophrasti</t>
        </is>
      </c>
      <c r="L27" t="inlineStr">
        <is>
          <t>Butter Print</t>
        </is>
      </c>
      <c r="M27" t="inlineStr">
        <is>
          <t>Flowers, Trees, Shrubs, Ferns; U.S. Invasive Species</t>
        </is>
      </c>
      <c r="N27" t="inlineStr">
        <is>
          <t>Seedling</t>
        </is>
      </c>
      <c r="O27"/>
      <c r="P27" t="n">
        <v>2.0</v>
      </c>
      <c r="Q27"/>
      <c r="R27"/>
      <c r="S27"/>
      <c r="T27"/>
      <c r="U27" t="inlineStr">
        <is>
          <t>Leaf stage</t>
        </is>
      </c>
      <c r="V27" t="inlineStr">
        <is>
          <t>Environmental, unspecified</t>
        </is>
      </c>
      <c r="W27" t="inlineStr">
        <is>
          <t>Natural soil</t>
        </is>
      </c>
      <c r="X27" t="inlineStr">
        <is>
          <t>Lab</t>
        </is>
      </c>
      <c r="Y27" t="n">
        <v>3.0</v>
      </c>
      <c r="Z27" t="inlineStr">
        <is>
          <t>Active ingredient</t>
        </is>
      </c>
      <c r="AA27"/>
      <c r="AB27" t="n">
        <v>24.5</v>
      </c>
      <c r="AC27"/>
      <c r="AD27"/>
      <c r="AE27"/>
      <c r="AF27"/>
      <c r="AG27" t="inlineStr">
        <is>
          <t>mg/kg soil</t>
        </is>
      </c>
      <c r="AH27"/>
      <c r="AI27"/>
      <c r="AJ27"/>
      <c r="AK27"/>
      <c r="AL27"/>
      <c r="AM27"/>
      <c r="AN27"/>
      <c r="AO27"/>
      <c r="AP27"/>
      <c r="AQ27"/>
      <c r="AR27"/>
      <c r="AS27"/>
      <c r="AT27"/>
      <c r="AU27"/>
      <c r="AV27"/>
      <c r="AW27"/>
      <c r="AX27" t="inlineStr">
        <is>
          <t>Accumulation</t>
        </is>
      </c>
      <c r="AY27" t="inlineStr">
        <is>
          <t>Residue</t>
        </is>
      </c>
      <c r="AZ27" t="inlineStr">
        <is>
          <t>LOEL</t>
        </is>
      </c>
      <c r="BA27"/>
      <c r="BB27" t="n">
        <v>24.5</v>
      </c>
      <c r="BC27"/>
      <c r="BD27"/>
      <c r="BE27"/>
      <c r="BF27"/>
      <c r="BG27"/>
      <c r="BH27"/>
      <c r="BI27" t="inlineStr">
        <is>
          <t>mg/kg soil</t>
        </is>
      </c>
      <c r="BJ27" t="inlineStr">
        <is>
          <t>Shoot</t>
        </is>
      </c>
      <c r="BK27"/>
      <c r="BL27" t="n">
        <v>60.0</v>
      </c>
      <c r="BM27"/>
      <c r="BN27"/>
      <c r="BO27"/>
      <c r="BP27"/>
      <c r="BQ27" t="inlineStr">
        <is>
          <t>Day(s)</t>
        </is>
      </c>
      <c r="BR27" t="inlineStr">
        <is>
          <t>Rico,C.M., D.C. Wagner, P.C. Ofoegbu, N.J. Kirwa, P. Clubb, K. Coates, J.E. Zenobio, and A.S. Adeleye</t>
        </is>
      </c>
      <c r="BS27" t="n">
        <v>193550.0</v>
      </c>
      <c r="BT27" t="inlineStr">
        <is>
          <t>Toxicity Assessment of Perfluorooctanesulfonic Acid (PFOS) on a Spontaneous Plant, velvetleaf (Abutilon theophrasti), via Metabolomics</t>
        </is>
      </c>
      <c r="BU27" t="inlineStr">
        <is>
          <t>Sci. Total Environ.907:13 p.</t>
        </is>
      </c>
      <c r="BV27" t="n">
        <v>2024.0</v>
      </c>
      <c r="BW27" t="inlineStr">
        <is>
          <t>Rico,C.M., D.C. Wagner, P.C. Ofoegbu, N.J. Kirwa, P. Clubb, K. Coates, J.E. Zenobio, and A.S. Adeleye (2024). Toxicity Assessment of Perfluorooctanesulfonic Acid (PFOS) on a Spontaneous Plant, velvetleaf (Abutilon theophrasti), via Metabolomics. Sci. Total Environ., 907, 13 p. doi:10.1016/j.scitotenv.2023.167894. ECOREF#:193550</t>
        </is>
      </c>
    </row>
    <row r="28">
      <c r="A28" t="n">
        <v>1763231.0</v>
      </c>
      <c r="B28" t="inlineStr">
        <is>
          <t>1,1,2,2,3,3,4,4,5,5,6,6,7,7,8,8,8-Heptadecafluoro-1-octanesulfonic acid</t>
        </is>
      </c>
      <c r="C28"/>
      <c r="D28" t="inlineStr">
        <is>
          <t>Chemical analysis reported</t>
        </is>
      </c>
      <c r="E28" t="inlineStr">
        <is>
          <t>&gt;=</t>
        </is>
      </c>
      <c r="F28" t="n">
        <v>98.0</v>
      </c>
      <c r="G28"/>
      <c r="H28"/>
      <c r="I28"/>
      <c r="J28"/>
      <c r="K28" t="inlineStr">
        <is>
          <t>Ambystoma tigrinum</t>
        </is>
      </c>
      <c r="L28" t="inlineStr">
        <is>
          <t>Tiger Salamander</t>
        </is>
      </c>
      <c r="M28" t="inlineStr">
        <is>
          <t>Amphibians</t>
        </is>
      </c>
      <c r="N28" t="inlineStr">
        <is>
          <t>Juvenile</t>
        </is>
      </c>
      <c r="O28" t="inlineStr">
        <is>
          <t>&gt;</t>
        </is>
      </c>
      <c r="P28" t="n">
        <v>35.0</v>
      </c>
      <c r="Q28"/>
      <c r="R28"/>
      <c r="S28"/>
      <c r="T28"/>
      <c r="U28" t="inlineStr">
        <is>
          <t>Day(s)</t>
        </is>
      </c>
      <c r="V28" t="inlineStr">
        <is>
          <t>Environmental, unspecified</t>
        </is>
      </c>
      <c r="W28" t="inlineStr">
        <is>
          <t>Natural soil</t>
        </is>
      </c>
      <c r="X28" t="inlineStr">
        <is>
          <t>Lab</t>
        </is>
      </c>
      <c r="Y28" t="n">
        <v>4.0</v>
      </c>
      <c r="Z28" t="inlineStr">
        <is>
          <t>Active ingredient</t>
        </is>
      </c>
      <c r="AA28"/>
      <c r="AB28"/>
      <c r="AC28"/>
      <c r="AD28" t="n">
        <v>80.0</v>
      </c>
      <c r="AE28"/>
      <c r="AF28" t="n">
        <v>8000.0</v>
      </c>
      <c r="AG28" t="inlineStr">
        <is>
          <t xml:space="preserve">ppb dry wt </t>
        </is>
      </c>
      <c r="AH28"/>
      <c r="AI28"/>
      <c r="AJ28"/>
      <c r="AK28"/>
      <c r="AL28"/>
      <c r="AM28"/>
      <c r="AN28"/>
      <c r="AO28"/>
      <c r="AP28"/>
      <c r="AQ28"/>
      <c r="AR28"/>
      <c r="AS28"/>
      <c r="AT28"/>
      <c r="AU28"/>
      <c r="AV28"/>
      <c r="AW28"/>
      <c r="AX28" t="inlineStr">
        <is>
          <t>Accumulation</t>
        </is>
      </c>
      <c r="AY28" t="inlineStr">
        <is>
          <t>Residue</t>
        </is>
      </c>
      <c r="AZ28"/>
      <c r="BA28"/>
      <c r="BB28"/>
      <c r="BC28"/>
      <c r="BD28" t="n">
        <v>80.0</v>
      </c>
      <c r="BE28"/>
      <c r="BF28" t="n">
        <v>8000.0</v>
      </c>
      <c r="BG28"/>
      <c r="BH28"/>
      <c r="BI28" t="inlineStr">
        <is>
          <t xml:space="preserve">ppb dry wt </t>
        </is>
      </c>
      <c r="BJ28" t="inlineStr">
        <is>
          <t>Whole organism</t>
        </is>
      </c>
      <c r="BK28"/>
      <c r="BL28" t="n">
        <v>30.0</v>
      </c>
      <c r="BM28"/>
      <c r="BN28"/>
      <c r="BO28"/>
      <c r="BP28"/>
      <c r="BQ28" t="inlineStr">
        <is>
          <t>Day(s)</t>
        </is>
      </c>
      <c r="BR28" t="inlineStr">
        <is>
          <t>Abercrombie,S.A., C. De Perre, M. Iacchetta, R.W. Flynn, M.S. Sepulveda, L.S. Lee, and J.T. Hoverman</t>
        </is>
      </c>
      <c r="BS28" t="n">
        <v>182571.0</v>
      </c>
      <c r="BT28" t="inlineStr">
        <is>
          <t>Sublethal Effects of Dermal Exposure to Poly- and Perfluoroalkyl Substances on Postmetamorphic Amphibians</t>
        </is>
      </c>
      <c r="BU28" t="inlineStr">
        <is>
          <t>Environ. Toxicol. Chem.40(3): 717-726</t>
        </is>
      </c>
      <c r="BV28" t="n">
        <v>2021.0</v>
      </c>
      <c r="BW28"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29">
      <c r="A29" t="n">
        <v>1763231.0</v>
      </c>
      <c r="B29" t="inlineStr">
        <is>
          <t>1,1,2,2,3,3,4,4,5,5,6,6,7,7,8,8,8-Heptadecafluoro-1-octanesulfonic acid</t>
        </is>
      </c>
      <c r="C29" t="inlineStr">
        <is>
          <t>Technical grade, technical product, technical formulation</t>
        </is>
      </c>
      <c r="D29" t="inlineStr">
        <is>
          <t>Unmeasured</t>
        </is>
      </c>
      <c r="E29" t="inlineStr">
        <is>
          <t>&gt;=</t>
        </is>
      </c>
      <c r="F29" t="n">
        <v>98.0</v>
      </c>
      <c r="G29"/>
      <c r="H29"/>
      <c r="I29"/>
      <c r="J29"/>
      <c r="K29" t="inlineStr">
        <is>
          <t>Ambystoma tigrinum</t>
        </is>
      </c>
      <c r="L29" t="inlineStr">
        <is>
          <t>Tiger Salamander</t>
        </is>
      </c>
      <c r="M29" t="inlineStr">
        <is>
          <t>Amphibians</t>
        </is>
      </c>
      <c r="N29" t="inlineStr">
        <is>
          <t>Post-larva</t>
        </is>
      </c>
      <c r="O29"/>
      <c r="P29"/>
      <c r="Q29"/>
      <c r="R29"/>
      <c r="S29"/>
      <c r="T29"/>
      <c r="U29"/>
      <c r="V29" t="inlineStr">
        <is>
          <t>Food</t>
        </is>
      </c>
      <c r="W29" t="inlineStr">
        <is>
          <t>No substrate</t>
        </is>
      </c>
      <c r="X29" t="inlineStr">
        <is>
          <t>Lab</t>
        </is>
      </c>
      <c r="Y29" t="n">
        <v>4.0</v>
      </c>
      <c r="Z29" t="inlineStr">
        <is>
          <t>Active ingredient</t>
        </is>
      </c>
      <c r="AA29"/>
      <c r="AB29"/>
      <c r="AC29"/>
      <c r="AD29" t="n">
        <v>0.767</v>
      </c>
      <c r="AE29"/>
      <c r="AF29" t="n">
        <v>27.0</v>
      </c>
      <c r="AG29" t="inlineStr">
        <is>
          <t>ng/g wet bdwt/d</t>
        </is>
      </c>
      <c r="AH29"/>
      <c r="AI29"/>
      <c r="AJ29"/>
      <c r="AK29"/>
      <c r="AL29"/>
      <c r="AM29"/>
      <c r="AN29"/>
      <c r="AO29"/>
      <c r="AP29"/>
      <c r="AQ29"/>
      <c r="AR29"/>
      <c r="AS29"/>
      <c r="AT29"/>
      <c r="AU29"/>
      <c r="AV29"/>
      <c r="AW29"/>
      <c r="AX29" t="inlineStr">
        <is>
          <t>Accumulation</t>
        </is>
      </c>
      <c r="AY29" t="inlineStr">
        <is>
          <t>Residue</t>
        </is>
      </c>
      <c r="AZ29"/>
      <c r="BA29"/>
      <c r="BB29"/>
      <c r="BC29"/>
      <c r="BD29" t="n">
        <v>0.767</v>
      </c>
      <c r="BE29"/>
      <c r="BF29" t="n">
        <v>27.0</v>
      </c>
      <c r="BG29"/>
      <c r="BH29"/>
      <c r="BI29" t="inlineStr">
        <is>
          <t>ng/g wet bdwt/d</t>
        </is>
      </c>
      <c r="BJ29" t="inlineStr">
        <is>
          <t>Multiple entries</t>
        </is>
      </c>
      <c r="BK29"/>
      <c r="BL29" t="n">
        <v>30.0</v>
      </c>
      <c r="BM29"/>
      <c r="BN29"/>
      <c r="BO29"/>
      <c r="BP29"/>
      <c r="BQ29" t="inlineStr">
        <is>
          <t>Day(s)</t>
        </is>
      </c>
      <c r="BR29" t="inlineStr">
        <is>
          <t>Flynn,R.W.</t>
        </is>
      </c>
      <c r="BS29" t="n">
        <v>185604.0</v>
      </c>
      <c r="BT29" t="inlineStr">
        <is>
          <t>Dietary Exposure and Accumulation of Per- and Polyfluoroalkyl Substances Alters Growth and Reduces Body Condition of Post-Metamorphic Salamanders</t>
        </is>
      </c>
      <c r="BU29" t="inlineStr">
        <is>
          <t>Sci. Total Environ.765:10 p.</t>
        </is>
      </c>
      <c r="BV29" t="n">
        <v>2021.0</v>
      </c>
      <c r="BW29" t="inlineStr">
        <is>
          <t>Flynn,R.W. (2021). Dietary Exposure and Accumulation of Per- and Polyfluoroalkyl Substances Alters Growth and Reduces Body Condition of Post-Metamorphic Salamanders. Sci. Total Environ., 765, 10 p. doi:10.1016/j.scitotenv.2020.142730. ECOREF#:185604</t>
        </is>
      </c>
    </row>
    <row r="30">
      <c r="A30" t="n">
        <v>1763231.0</v>
      </c>
      <c r="B30" t="inlineStr">
        <is>
          <t>1,1,2,2,3,3,4,4,5,5,6,6,7,7,8,8,8-Heptadecafluoro-1-octanesulfonic acid</t>
        </is>
      </c>
      <c r="C30"/>
      <c r="D30" t="inlineStr">
        <is>
          <t>Unmeasured</t>
        </is>
      </c>
      <c r="E30"/>
      <c r="F30" t="n">
        <v>94.6</v>
      </c>
      <c r="G30"/>
      <c r="H30"/>
      <c r="I30"/>
      <c r="J30"/>
      <c r="K30" t="inlineStr">
        <is>
          <t>Anas platyrhynchos</t>
        </is>
      </c>
      <c r="L30" t="inlineStr">
        <is>
          <t>Mallard Duck</t>
        </is>
      </c>
      <c r="M30" t="inlineStr">
        <is>
          <t>Birds; Standard Test Species</t>
        </is>
      </c>
      <c r="N30" t="inlineStr">
        <is>
          <t>Embryo</t>
        </is>
      </c>
      <c r="O30"/>
      <c r="P30"/>
      <c r="Q30"/>
      <c r="R30" t="n">
        <v>4.0</v>
      </c>
      <c r="S30"/>
      <c r="T30" t="n">
        <v>6.0</v>
      </c>
      <c r="U30" t="inlineStr">
        <is>
          <t>Days post egg laying</t>
        </is>
      </c>
      <c r="V30" t="inlineStr">
        <is>
          <t>Yolk</t>
        </is>
      </c>
      <c r="W30" t="inlineStr">
        <is>
          <t>No substrate</t>
        </is>
      </c>
      <c r="X30" t="inlineStr">
        <is>
          <t>Lab</t>
        </is>
      </c>
      <c r="Y30" t="n">
        <v>2.0</v>
      </c>
      <c r="Z30" t="inlineStr">
        <is>
          <t>Active ingredient</t>
        </is>
      </c>
      <c r="AA30"/>
      <c r="AB30" t="n">
        <v>80.0</v>
      </c>
      <c r="AC30"/>
      <c r="AD30"/>
      <c r="AE30"/>
      <c r="AF30"/>
      <c r="AG30" t="inlineStr">
        <is>
          <t>ng/g egg</t>
        </is>
      </c>
      <c r="AH30"/>
      <c r="AI30"/>
      <c r="AJ30"/>
      <c r="AK30"/>
      <c r="AL30"/>
      <c r="AM30"/>
      <c r="AN30"/>
      <c r="AO30"/>
      <c r="AP30"/>
      <c r="AQ30"/>
      <c r="AR30"/>
      <c r="AS30"/>
      <c r="AT30"/>
      <c r="AU30"/>
      <c r="AV30"/>
      <c r="AW30"/>
      <c r="AX30" t="inlineStr">
        <is>
          <t>Accumulation</t>
        </is>
      </c>
      <c r="AY30" t="inlineStr">
        <is>
          <t>Residue</t>
        </is>
      </c>
      <c r="AZ30"/>
      <c r="BA30"/>
      <c r="BB30" t="n">
        <v>80.0</v>
      </c>
      <c r="BC30"/>
      <c r="BD30"/>
      <c r="BE30"/>
      <c r="BF30"/>
      <c r="BG30"/>
      <c r="BH30"/>
      <c r="BI30" t="inlineStr">
        <is>
          <t>ng/g egg</t>
        </is>
      </c>
      <c r="BJ30" t="inlineStr">
        <is>
          <t>Liver</t>
        </is>
      </c>
      <c r="BK30"/>
      <c r="BL30"/>
      <c r="BM30"/>
      <c r="BN30" t="n">
        <v>32.0</v>
      </c>
      <c r="BO30"/>
      <c r="BP30" t="n">
        <v>34.0</v>
      </c>
      <c r="BQ30" t="inlineStr">
        <is>
          <t>Day(s)</t>
        </is>
      </c>
      <c r="BR30" t="inlineStr">
        <is>
          <t>Brand,A.F., S. Peterson, L.M.S. Gunzel, K.N. Yap, T.M. Ciesielski, C. Arzel, and V.L.B. Jaspers</t>
        </is>
      </c>
      <c r="BS30" t="n">
        <v>195258.0</v>
      </c>
      <c r="BT30" t="inlineStr">
        <is>
          <t>Gene Expression Changes in Ducklings Exposed In Ovo to Emerging and Legacy Per-/Poly-Fluoroalkyl Substances</t>
        </is>
      </c>
      <c r="BU30" t="inlineStr">
        <is>
          <t>Environ. Toxicol. Chem.44(12): 3477-3491</t>
        </is>
      </c>
      <c r="BV30" t="n">
        <v>2025.0</v>
      </c>
      <c r="BW30" t="inlineStr">
        <is>
          <t>Brand,A.F., S. Peterson, L.M.S. Gunzel, K.N. Yap, T.M. Ciesielski, C. Arzel, and V.L.B. Jaspers (2025). Gene Expression Changes in Ducklings Exposed In Ovo to Emerging and Legacy Per-/Poly-Fluoroalkyl Substances. Environ. Toxicol. Chem., 44, (12), 3477-3491. doi:10.1093/etojnl/vgaf213. ECOREF#:195258</t>
        </is>
      </c>
    </row>
    <row r="31">
      <c r="A31" t="n">
        <v>1763231.0</v>
      </c>
      <c r="B31" t="inlineStr">
        <is>
          <t>1,1,2,2,3,3,4,4,5,5,6,6,7,7,8,8,8-Heptadecafluoro-1-octanesulfonic acid</t>
        </is>
      </c>
      <c r="C31"/>
      <c r="D31" t="inlineStr">
        <is>
          <t>Unmeasured</t>
        </is>
      </c>
      <c r="E31"/>
      <c r="F31"/>
      <c r="G31"/>
      <c r="H31" t="n">
        <v>94.3</v>
      </c>
      <c r="I31"/>
      <c r="J31" t="n">
        <v>98.9</v>
      </c>
      <c r="K31" t="inlineStr">
        <is>
          <t>Anas platyrhynchos</t>
        </is>
      </c>
      <c r="L31" t="inlineStr">
        <is>
          <t>Mallard Duck</t>
        </is>
      </c>
      <c r="M31" t="inlineStr">
        <is>
          <t>Birds; Standard Test Species</t>
        </is>
      </c>
      <c r="N31" t="inlineStr">
        <is>
          <t>Embryo</t>
        </is>
      </c>
      <c r="O31"/>
      <c r="P31"/>
      <c r="Q31"/>
      <c r="R31" t="n">
        <v>5.0</v>
      </c>
      <c r="S31"/>
      <c r="T31" t="n">
        <v>7.0</v>
      </c>
      <c r="U31" t="inlineStr">
        <is>
          <t>Days post egg laying</t>
        </is>
      </c>
      <c r="V31" t="inlineStr">
        <is>
          <t>Yolk</t>
        </is>
      </c>
      <c r="W31" t="inlineStr">
        <is>
          <t>No substrate</t>
        </is>
      </c>
      <c r="X31" t="inlineStr">
        <is>
          <t>Lab</t>
        </is>
      </c>
      <c r="Y31" t="n">
        <v>3.0</v>
      </c>
      <c r="Z31" t="inlineStr">
        <is>
          <t>Active ingredient</t>
        </is>
      </c>
      <c r="AA31"/>
      <c r="AB31"/>
      <c r="AC31"/>
      <c r="AD31" t="n">
        <v>72.2</v>
      </c>
      <c r="AE31"/>
      <c r="AF31" t="n">
        <v>600.0</v>
      </c>
      <c r="AG31" t="inlineStr">
        <is>
          <t>ng/g egg</t>
        </is>
      </c>
      <c r="AH31"/>
      <c r="AI31"/>
      <c r="AJ31"/>
      <c r="AK31"/>
      <c r="AL31"/>
      <c r="AM31"/>
      <c r="AN31"/>
      <c r="AO31"/>
      <c r="AP31"/>
      <c r="AQ31"/>
      <c r="AR31"/>
      <c r="AS31"/>
      <c r="AT31"/>
      <c r="AU31"/>
      <c r="AV31"/>
      <c r="AW31"/>
      <c r="AX31" t="inlineStr">
        <is>
          <t>Accumulation</t>
        </is>
      </c>
      <c r="AY31" t="inlineStr">
        <is>
          <t>Residue</t>
        </is>
      </c>
      <c r="AZ31"/>
      <c r="BA31"/>
      <c r="BB31"/>
      <c r="BC31"/>
      <c r="BD31" t="n">
        <v>72.2</v>
      </c>
      <c r="BE31"/>
      <c r="BF31" t="n">
        <v>600.0</v>
      </c>
      <c r="BG31"/>
      <c r="BH31"/>
      <c r="BI31" t="inlineStr">
        <is>
          <t>ng/g egg</t>
        </is>
      </c>
      <c r="BJ31" t="inlineStr">
        <is>
          <t>Liver</t>
        </is>
      </c>
      <c r="BK31"/>
      <c r="BL31"/>
      <c r="BM31"/>
      <c r="BN31" t="n">
        <v>33.0</v>
      </c>
      <c r="BO31"/>
      <c r="BP31" t="n">
        <v>35.0</v>
      </c>
      <c r="BQ31" t="inlineStr">
        <is>
          <t>Day(s)</t>
        </is>
      </c>
      <c r="BR31" t="inlineStr">
        <is>
          <t>Peterson,S.</t>
        </is>
      </c>
      <c r="BS31" t="n">
        <v>195273.0</v>
      </c>
      <c r="BT31" t="inlineStr">
        <is>
          <t>Developmental Effects and Endocrine Disrupting Potential of In Ovo Exposure to per- and Polyfluoroalkyl Substances (PFASs) in Mallard Ducklings (Anas platyrhynchos)</t>
        </is>
      </c>
      <c r="BU31" t="inlineStr">
        <is>
          <t>M.S. Thesis, Norwegian University of Science and Technology, Trondheim, Norway:71 p.</t>
        </is>
      </c>
      <c r="BV31" t="n">
        <v>2024.0</v>
      </c>
      <c r="BW31" t="inlineStr">
        <is>
          <t>Peterson,S. (2024). Developmental Effects and Endocrine Disrupting Potential of In Ovo Exposure to per- and Polyfluoroalkyl Substances (PFASs) in Mallard Ducklings (Anas platyrhynchos). M.S. Thesis, Norwegian University of Science and Technology, Trondheim, Norway, 71 p. ECOREF#:195273</t>
        </is>
      </c>
    </row>
    <row r="32">
      <c r="A32" t="n">
        <v>1763231.0</v>
      </c>
      <c r="B32" t="inlineStr">
        <is>
          <t>1,1,2,2,3,3,4,4,5,5,6,6,7,7,8,8,8-Heptadecafluoro-1-octanesulfonic acid</t>
        </is>
      </c>
      <c r="C32"/>
      <c r="D32" t="inlineStr">
        <is>
          <t>Chemical analysis reported</t>
        </is>
      </c>
      <c r="E32" t="inlineStr">
        <is>
          <t>&gt;=</t>
        </is>
      </c>
      <c r="F32" t="n">
        <v>98.0</v>
      </c>
      <c r="G32"/>
      <c r="H32"/>
      <c r="I32"/>
      <c r="J32"/>
      <c r="K32" t="inlineStr">
        <is>
          <t>Anaxyrus americanus</t>
        </is>
      </c>
      <c r="L32" t="inlineStr">
        <is>
          <t xml:space="preserve">American Toad </t>
        </is>
      </c>
      <c r="M32" t="inlineStr">
        <is>
          <t>Amphibians</t>
        </is>
      </c>
      <c r="N32" t="inlineStr">
        <is>
          <t>Juvenile</t>
        </is>
      </c>
      <c r="O32" t="inlineStr">
        <is>
          <t>&gt;</t>
        </is>
      </c>
      <c r="P32" t="n">
        <v>55.0</v>
      </c>
      <c r="Q32"/>
      <c r="R32"/>
      <c r="S32"/>
      <c r="T32"/>
      <c r="U32" t="inlineStr">
        <is>
          <t>Day(s)</t>
        </is>
      </c>
      <c r="V32" t="inlineStr">
        <is>
          <t>Environmental, unspecified</t>
        </is>
      </c>
      <c r="W32" t="inlineStr">
        <is>
          <t>Natural soil</t>
        </is>
      </c>
      <c r="X32" t="inlineStr">
        <is>
          <t>Lab</t>
        </is>
      </c>
      <c r="Y32" t="n">
        <v>4.0</v>
      </c>
      <c r="Z32" t="inlineStr">
        <is>
          <t>Active ingredient</t>
        </is>
      </c>
      <c r="AA32"/>
      <c r="AB32"/>
      <c r="AC32"/>
      <c r="AD32" t="n">
        <v>80.0</v>
      </c>
      <c r="AE32"/>
      <c r="AF32" t="n">
        <v>8000.0</v>
      </c>
      <c r="AG32" t="inlineStr">
        <is>
          <t xml:space="preserve">ppb dry wt </t>
        </is>
      </c>
      <c r="AH32"/>
      <c r="AI32"/>
      <c r="AJ32"/>
      <c r="AK32"/>
      <c r="AL32"/>
      <c r="AM32"/>
      <c r="AN32"/>
      <c r="AO32"/>
      <c r="AP32"/>
      <c r="AQ32"/>
      <c r="AR32"/>
      <c r="AS32"/>
      <c r="AT32"/>
      <c r="AU32"/>
      <c r="AV32"/>
      <c r="AW32"/>
      <c r="AX32" t="inlineStr">
        <is>
          <t>Accumulation</t>
        </is>
      </c>
      <c r="AY32" t="inlineStr">
        <is>
          <t>Residue</t>
        </is>
      </c>
      <c r="AZ32"/>
      <c r="BA32"/>
      <c r="BB32"/>
      <c r="BC32"/>
      <c r="BD32" t="n">
        <v>80.0</v>
      </c>
      <c r="BE32"/>
      <c r="BF32" t="n">
        <v>8000.0</v>
      </c>
      <c r="BG32"/>
      <c r="BH32"/>
      <c r="BI32" t="inlineStr">
        <is>
          <t xml:space="preserve">ppb dry wt </t>
        </is>
      </c>
      <c r="BJ32" t="inlineStr">
        <is>
          <t>Whole organism</t>
        </is>
      </c>
      <c r="BK32"/>
      <c r="BL32" t="n">
        <v>30.0</v>
      </c>
      <c r="BM32"/>
      <c r="BN32"/>
      <c r="BO32"/>
      <c r="BP32"/>
      <c r="BQ32" t="inlineStr">
        <is>
          <t>Day(s)</t>
        </is>
      </c>
      <c r="BR32" t="inlineStr">
        <is>
          <t>Abercrombie,S.A., C. De Perre, M. Iacchetta, R.W. Flynn, M.S. Sepulveda, L.S. Lee, and J.T. Hoverman</t>
        </is>
      </c>
      <c r="BS32" t="n">
        <v>182571.0</v>
      </c>
      <c r="BT32" t="inlineStr">
        <is>
          <t>Sublethal Effects of Dermal Exposure to Poly- and Perfluoroalkyl Substances on Postmetamorphic Amphibians</t>
        </is>
      </c>
      <c r="BU32" t="inlineStr">
        <is>
          <t>Environ. Toxicol. Chem.40(3): 717-726</t>
        </is>
      </c>
      <c r="BV32" t="n">
        <v>2021.0</v>
      </c>
      <c r="BW32"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33">
      <c r="A33" t="n">
        <v>1763231.0</v>
      </c>
      <c r="B33" t="inlineStr">
        <is>
          <t>1,1,2,2,3,3,4,4,5,5,6,6,7,7,8,8,8-Heptadecafluoro-1-octanesulfonic acid</t>
        </is>
      </c>
      <c r="C33"/>
      <c r="D33" t="inlineStr">
        <is>
          <t>Unmeasured</t>
        </is>
      </c>
      <c r="E33"/>
      <c r="F33"/>
      <c r="G33"/>
      <c r="H33"/>
      <c r="I33"/>
      <c r="J33"/>
      <c r="K33" t="inlineStr">
        <is>
          <t>Apis mellifera</t>
        </is>
      </c>
      <c r="L33" t="inlineStr">
        <is>
          <t>Honey Bee</t>
        </is>
      </c>
      <c r="M33" t="inlineStr">
        <is>
          <t>Insects/Spiders; Standard Test Species</t>
        </is>
      </c>
      <c r="N33" t="inlineStr">
        <is>
          <t>Multiple</t>
        </is>
      </c>
      <c r="O33"/>
      <c r="P33"/>
      <c r="Q33"/>
      <c r="R33"/>
      <c r="S33"/>
      <c r="T33"/>
      <c r="U33"/>
      <c r="V33" t="inlineStr">
        <is>
          <t>Drinking water</t>
        </is>
      </c>
      <c r="W33" t="inlineStr">
        <is>
          <t>No substrate</t>
        </is>
      </c>
      <c r="X33" t="inlineStr">
        <is>
          <t>Lab</t>
        </is>
      </c>
      <c r="Y33" t="n">
        <v>7.0</v>
      </c>
      <c r="Z33" t="inlineStr">
        <is>
          <t>Formulation</t>
        </is>
      </c>
      <c r="AA33"/>
      <c r="AB33" t="n">
        <v>0.02</v>
      </c>
      <c r="AC33"/>
      <c r="AD33"/>
      <c r="AE33"/>
      <c r="AF33"/>
      <c r="AG33" t="inlineStr">
        <is>
          <t>mg/L diet</t>
        </is>
      </c>
      <c r="AH33"/>
      <c r="AI33"/>
      <c r="AJ33"/>
      <c r="AK33"/>
      <c r="AL33"/>
      <c r="AM33"/>
      <c r="AN33"/>
      <c r="AO33"/>
      <c r="AP33"/>
      <c r="AQ33"/>
      <c r="AR33"/>
      <c r="AS33"/>
      <c r="AT33"/>
      <c r="AU33"/>
      <c r="AV33"/>
      <c r="AW33"/>
      <c r="AX33" t="inlineStr">
        <is>
          <t>Accumulation</t>
        </is>
      </c>
      <c r="AY33" t="inlineStr">
        <is>
          <t>Residue</t>
        </is>
      </c>
      <c r="AZ33" t="inlineStr">
        <is>
          <t>BAF</t>
        </is>
      </c>
      <c r="BA33"/>
      <c r="BB33" t="n">
        <v>0.3</v>
      </c>
      <c r="BC33"/>
      <c r="BD33"/>
      <c r="BE33"/>
      <c r="BF33"/>
      <c r="BG33"/>
      <c r="BH33"/>
      <c r="BI33" t="inlineStr">
        <is>
          <t>RA</t>
        </is>
      </c>
      <c r="BJ33"/>
      <c r="BK33"/>
      <c r="BL33" t="n">
        <v>28.0</v>
      </c>
      <c r="BM33"/>
      <c r="BN33"/>
      <c r="BO33"/>
      <c r="BP33"/>
      <c r="BQ33" t="inlineStr">
        <is>
          <t>Day(s)</t>
        </is>
      </c>
      <c r="BR33" t="inlineStr">
        <is>
          <t>Sonter,C.A., R. Rader, G. Stevenson, J.R. Stavert, and S.C. Wilson</t>
        </is>
      </c>
      <c r="BS33" t="n">
        <v>187362.0</v>
      </c>
      <c r="BT33" t="inlineStr">
        <is>
          <t>Biological and Behavioral Responses of European Honey Bee (Apis mellifera) Colonies to Perfluorooctane Sulfonate Exposure</t>
        </is>
      </c>
      <c r="BU33" t="inlineStr">
        <is>
          <t>Integr. Environ. Assess. Manag.:673-683</t>
        </is>
      </c>
      <c r="BV33" t="n">
        <v>2021.0</v>
      </c>
      <c r="BW33" t="inlineStr">
        <is>
          <t>Sonter,C.A., R. Rader, G. Stevenson, J.R. Stavert, and S.C. Wilson (2021). Biological and Behavioral Responses of European Honey Bee (Apis mellifera) Colonies to Perfluorooctane Sulfonate Exposure. Integr. Environ. Assess. Manag., 673-683. doi:10.1002/ieam.4421. ECOREF#:187362</t>
        </is>
      </c>
    </row>
    <row r="34">
      <c r="A34" t="n">
        <v>1763231.0</v>
      </c>
      <c r="B34" t="inlineStr">
        <is>
          <t>1,1,2,2,3,3,4,4,5,5,6,6,7,7,8,8,8-Heptadecafluoro-1-octanesulfonic acid</t>
        </is>
      </c>
      <c r="C34"/>
      <c r="D34" t="inlineStr">
        <is>
          <t>Unmeasured</t>
        </is>
      </c>
      <c r="E34"/>
      <c r="F34"/>
      <c r="G34"/>
      <c r="H34"/>
      <c r="I34"/>
      <c r="J34"/>
      <c r="K34" t="inlineStr">
        <is>
          <t>Apis mellifera</t>
        </is>
      </c>
      <c r="L34" t="inlineStr">
        <is>
          <t>Honey Bee</t>
        </is>
      </c>
      <c r="M34" t="inlineStr">
        <is>
          <t>Insects/Spiders; Standard Test Species</t>
        </is>
      </c>
      <c r="N34" t="inlineStr">
        <is>
          <t>Multiple</t>
        </is>
      </c>
      <c r="O34"/>
      <c r="P34"/>
      <c r="Q34"/>
      <c r="R34"/>
      <c r="S34"/>
      <c r="T34"/>
      <c r="U34"/>
      <c r="V34" t="inlineStr">
        <is>
          <t>Drinking water</t>
        </is>
      </c>
      <c r="W34" t="inlineStr">
        <is>
          <t>No substrate</t>
        </is>
      </c>
      <c r="X34" t="inlineStr">
        <is>
          <t>Lab</t>
        </is>
      </c>
      <c r="Y34" t="n">
        <v>7.0</v>
      </c>
      <c r="Z34" t="inlineStr">
        <is>
          <t>Formulation</t>
        </is>
      </c>
      <c r="AA34"/>
      <c r="AB34" t="n">
        <v>1.6</v>
      </c>
      <c r="AC34"/>
      <c r="AD34"/>
      <c r="AE34"/>
      <c r="AF34"/>
      <c r="AG34" t="inlineStr">
        <is>
          <t>mg/L diet</t>
        </is>
      </c>
      <c r="AH34"/>
      <c r="AI34"/>
      <c r="AJ34"/>
      <c r="AK34"/>
      <c r="AL34"/>
      <c r="AM34"/>
      <c r="AN34"/>
      <c r="AO34"/>
      <c r="AP34"/>
      <c r="AQ34"/>
      <c r="AR34"/>
      <c r="AS34"/>
      <c r="AT34"/>
      <c r="AU34"/>
      <c r="AV34"/>
      <c r="AW34"/>
      <c r="AX34" t="inlineStr">
        <is>
          <t>Accumulation</t>
        </is>
      </c>
      <c r="AY34" t="inlineStr">
        <is>
          <t>Residue</t>
        </is>
      </c>
      <c r="AZ34" t="inlineStr">
        <is>
          <t>BAF</t>
        </is>
      </c>
      <c r="BA34"/>
      <c r="BB34" t="n">
        <v>0.3</v>
      </c>
      <c r="BC34"/>
      <c r="BD34"/>
      <c r="BE34"/>
      <c r="BF34"/>
      <c r="BG34"/>
      <c r="BH34"/>
      <c r="BI34" t="inlineStr">
        <is>
          <t>RA</t>
        </is>
      </c>
      <c r="BJ34"/>
      <c r="BK34"/>
      <c r="BL34" t="n">
        <v>28.0</v>
      </c>
      <c r="BM34"/>
      <c r="BN34"/>
      <c r="BO34"/>
      <c r="BP34"/>
      <c r="BQ34" t="inlineStr">
        <is>
          <t>Day(s)</t>
        </is>
      </c>
      <c r="BR34" t="inlineStr">
        <is>
          <t>Sonter,C.A., R. Rader, G. Stevenson, J.R. Stavert, and S.C. Wilson</t>
        </is>
      </c>
      <c r="BS34" t="n">
        <v>187362.0</v>
      </c>
      <c r="BT34" t="inlineStr">
        <is>
          <t>Biological and Behavioral Responses of European Honey Bee (Apis mellifera) Colonies to Perfluorooctane Sulfonate Exposure</t>
        </is>
      </c>
      <c r="BU34" t="inlineStr">
        <is>
          <t>Integr. Environ. Assess. Manag.:673-683</t>
        </is>
      </c>
      <c r="BV34" t="n">
        <v>2021.0</v>
      </c>
      <c r="BW34" t="inlineStr">
        <is>
          <t>Sonter,C.A., R. Rader, G. Stevenson, J.R. Stavert, and S.C. Wilson (2021). Biological and Behavioral Responses of European Honey Bee (Apis mellifera) Colonies to Perfluorooctane Sulfonate Exposure. Integr. Environ. Assess. Manag., 673-683. doi:10.1002/ieam.4421. ECOREF#:187362</t>
        </is>
      </c>
    </row>
    <row r="35">
      <c r="A35" t="n">
        <v>1763231.0</v>
      </c>
      <c r="B35" t="inlineStr">
        <is>
          <t>1,1,2,2,3,3,4,4,5,5,6,6,7,7,8,8,8-Heptadecafluoro-1-octanesulfonic acid</t>
        </is>
      </c>
      <c r="C35"/>
      <c r="D35" t="inlineStr">
        <is>
          <t>Unmeasured</t>
        </is>
      </c>
      <c r="E35"/>
      <c r="F35"/>
      <c r="G35"/>
      <c r="H35"/>
      <c r="I35"/>
      <c r="J35"/>
      <c r="K35" t="inlineStr">
        <is>
          <t>Arabidopsis thaliana</t>
        </is>
      </c>
      <c r="L35" t="inlineStr">
        <is>
          <t>Mouse-Ear Cress</t>
        </is>
      </c>
      <c r="M35" t="inlineStr">
        <is>
          <t>Flowers, Trees, Shrubs, Ferns; Standard Test Species</t>
        </is>
      </c>
      <c r="N35" t="inlineStr">
        <is>
          <t>Seed</t>
        </is>
      </c>
      <c r="O35"/>
      <c r="P35"/>
      <c r="Q35"/>
      <c r="R35"/>
      <c r="S35"/>
      <c r="T35"/>
      <c r="U35"/>
      <c r="V35" t="inlineStr">
        <is>
          <t>Culture medium</t>
        </is>
      </c>
      <c r="W35" t="inlineStr">
        <is>
          <t>Agar</t>
        </is>
      </c>
      <c r="X35" t="inlineStr">
        <is>
          <t>Lab</t>
        </is>
      </c>
      <c r="Y35" t="n">
        <v>4.0</v>
      </c>
      <c r="Z35" t="inlineStr">
        <is>
          <t>Formulation</t>
        </is>
      </c>
      <c r="AA35"/>
      <c r="AB35" t="n">
        <v>0.01</v>
      </c>
      <c r="AC35"/>
      <c r="AD35"/>
      <c r="AE35"/>
      <c r="AF35"/>
      <c r="AG35" t="inlineStr">
        <is>
          <t>mg/L</t>
        </is>
      </c>
      <c r="AH35"/>
      <c r="AI35"/>
      <c r="AJ35"/>
      <c r="AK35"/>
      <c r="AL35"/>
      <c r="AM35"/>
      <c r="AN35"/>
      <c r="AO35"/>
      <c r="AP35"/>
      <c r="AQ35"/>
      <c r="AR35"/>
      <c r="AS35"/>
      <c r="AT35"/>
      <c r="AU35"/>
      <c r="AV35"/>
      <c r="AW35"/>
      <c r="AX35" t="inlineStr">
        <is>
          <t>Accumulation</t>
        </is>
      </c>
      <c r="AY35" t="inlineStr">
        <is>
          <t>Residue</t>
        </is>
      </c>
      <c r="AZ35" t="inlineStr">
        <is>
          <t>LOEL</t>
        </is>
      </c>
      <c r="BA35"/>
      <c r="BB35" t="n">
        <v>0.01</v>
      </c>
      <c r="BC35"/>
      <c r="BD35"/>
      <c r="BE35"/>
      <c r="BF35"/>
      <c r="BG35"/>
      <c r="BH35"/>
      <c r="BI35" t="inlineStr">
        <is>
          <t>mg/L</t>
        </is>
      </c>
      <c r="BJ35" t="inlineStr">
        <is>
          <t>Leafneedle</t>
        </is>
      </c>
      <c r="BK35"/>
      <c r="BL35" t="n">
        <v>30.0</v>
      </c>
      <c r="BM35"/>
      <c r="BN35"/>
      <c r="BO35"/>
      <c r="BP35"/>
      <c r="BQ35" t="inlineStr">
        <is>
          <t>Day(s)</t>
        </is>
      </c>
      <c r="BR35" t="inlineStr">
        <is>
          <t>Guo,Q., Z. He, X. Liu, B. Liu, and Y. Zhang</t>
        </is>
      </c>
      <c r="BS35" t="n">
        <v>182538.0</v>
      </c>
      <c r="BT35" t="inlineStr">
        <is>
          <t>High-Throughput Non-Targeted Metabolomics Study of the Effects of Perfluorooctane Sulfonate (PFOS) on the Metabolic Characteristics of A. thaliana Leaves</t>
        </is>
      </c>
      <c r="BU35" t="inlineStr">
        <is>
          <t>J. Agric. Food Chem.710:10 p.</t>
        </is>
      </c>
      <c r="BV35" t="n">
        <v>2020.0</v>
      </c>
      <c r="BW35" t="inlineStr">
        <is>
          <t>Guo,Q., Z. He, X. Liu, B. Liu, and Y. Zhang (2020). High-Throughput Non-Targeted Metabolomics Study of the Effects of Perfluorooctane Sulfonate (PFOS) on the Metabolic Characteristics of A. thaliana Leaves. J. Agric. Food Chem., 710, 10 p. ECOREF#:182538</t>
        </is>
      </c>
    </row>
    <row r="36">
      <c r="A36" t="n">
        <v>1763231.0</v>
      </c>
      <c r="B36" t="inlineStr">
        <is>
          <t>1,1,2,2,3,3,4,4,5,5,6,6,7,7,8,8,8-Heptadecafluoro-1-octanesulfonic acid</t>
        </is>
      </c>
      <c r="C36"/>
      <c r="D36" t="inlineStr">
        <is>
          <t>Unmeasured</t>
        </is>
      </c>
      <c r="E36"/>
      <c r="F36"/>
      <c r="G36"/>
      <c r="H36"/>
      <c r="I36"/>
      <c r="J36"/>
      <c r="K36" t="inlineStr">
        <is>
          <t>Arabidopsis thaliana</t>
        </is>
      </c>
      <c r="L36" t="inlineStr">
        <is>
          <t>Mouse-Ear Cress</t>
        </is>
      </c>
      <c r="M36" t="inlineStr">
        <is>
          <t>Flowers, Trees, Shrubs, Ferns; Standard Test Species</t>
        </is>
      </c>
      <c r="N36" t="inlineStr">
        <is>
          <t>Seed</t>
        </is>
      </c>
      <c r="O36"/>
      <c r="P36"/>
      <c r="Q36"/>
      <c r="R36"/>
      <c r="S36"/>
      <c r="T36"/>
      <c r="U36"/>
      <c r="V36" t="inlineStr">
        <is>
          <t>Culture medium</t>
        </is>
      </c>
      <c r="W36" t="inlineStr">
        <is>
          <t>Filter paper</t>
        </is>
      </c>
      <c r="X36" t="inlineStr">
        <is>
          <t>Lab</t>
        </is>
      </c>
      <c r="Y36" t="n">
        <v>3.0</v>
      </c>
      <c r="Z36" t="inlineStr">
        <is>
          <t>Formulation</t>
        </is>
      </c>
      <c r="AA36"/>
      <c r="AB36" t="n">
        <v>10.0</v>
      </c>
      <c r="AC36"/>
      <c r="AD36"/>
      <c r="AE36"/>
      <c r="AF36"/>
      <c r="AG36" t="inlineStr">
        <is>
          <t>ug/L</t>
        </is>
      </c>
      <c r="AH36"/>
      <c r="AI36"/>
      <c r="AJ36"/>
      <c r="AK36"/>
      <c r="AL36"/>
      <c r="AM36"/>
      <c r="AN36"/>
      <c r="AO36"/>
      <c r="AP36"/>
      <c r="AQ36"/>
      <c r="AR36"/>
      <c r="AS36"/>
      <c r="AT36"/>
      <c r="AU36"/>
      <c r="AV36"/>
      <c r="AW36"/>
      <c r="AX36" t="inlineStr">
        <is>
          <t>Accumulation</t>
        </is>
      </c>
      <c r="AY36" t="inlineStr">
        <is>
          <t>Residue</t>
        </is>
      </c>
      <c r="AZ36" t="inlineStr">
        <is>
          <t>LOEL</t>
        </is>
      </c>
      <c r="BA36"/>
      <c r="BB36" t="n">
        <v>10.0</v>
      </c>
      <c r="BC36"/>
      <c r="BD36"/>
      <c r="BE36"/>
      <c r="BF36"/>
      <c r="BG36"/>
      <c r="BH36"/>
      <c r="BI36" t="inlineStr">
        <is>
          <t>ug/L</t>
        </is>
      </c>
      <c r="BJ36" t="inlineStr">
        <is>
          <t>Leafneedle</t>
        </is>
      </c>
      <c r="BK36"/>
      <c r="BL36" t="n">
        <v>30.0</v>
      </c>
      <c r="BM36"/>
      <c r="BN36"/>
      <c r="BO36"/>
      <c r="BP36"/>
      <c r="BQ36" t="inlineStr">
        <is>
          <t>Day(s)</t>
        </is>
      </c>
      <c r="BR36" t="inlineStr">
        <is>
          <t>Zhang,Y., L. Zhao, Z. He, J. Zhang, B. Liu, X. Liu, and Y. Zhang</t>
        </is>
      </c>
      <c r="BS36" t="n">
        <v>191420.0</v>
      </c>
      <c r="BT36" t="inlineStr">
        <is>
          <t>Effect Mechanism of Low-Level PFOS Isomers to A. thaliana Leaves Using High-Throughput Untargeted Metabolomics</t>
        </is>
      </c>
      <c r="BU36" t="inlineStr">
        <is>
          <t>Chem. Res. Chin. Univ.:472-480</t>
        </is>
      </c>
      <c r="BV36" t="n">
        <v>2023.0</v>
      </c>
      <c r="BW36" t="inlineStr">
        <is>
          <t>Zhang,Y., L. Zhao, Z. He, J. Zhang, B. Liu, X. Liu, and Y. Zhang (2023). Effect Mechanism of Low-Level PFOS Isomers to A. thaliana Leaves Using High-Throughput Untargeted Metabolomics. Chem. Res. Chin. Univ., 472-480. doi:10.1007/s40242-023-3046-9. ECOREF#:191420</t>
        </is>
      </c>
    </row>
    <row r="37">
      <c r="A37" t="n">
        <v>1763231.0</v>
      </c>
      <c r="B37" t="inlineStr">
        <is>
          <t>1,1,2,2,3,3,4,4,5,5,6,6,7,7,8,8,8-Heptadecafluoro-1-octanesulfonic acid</t>
        </is>
      </c>
      <c r="C37"/>
      <c r="D37" t="inlineStr">
        <is>
          <t>Unmeasured</t>
        </is>
      </c>
      <c r="E37"/>
      <c r="F37"/>
      <c r="G37"/>
      <c r="H37"/>
      <c r="I37"/>
      <c r="J37"/>
      <c r="K37" t="inlineStr">
        <is>
          <t>Caenorhabditis elegans</t>
        </is>
      </c>
      <c r="L37" t="inlineStr">
        <is>
          <t>Nematode</t>
        </is>
      </c>
      <c r="M37" t="inlineStr">
        <is>
          <t>Worms; Standard Test Species</t>
        </is>
      </c>
      <c r="N37"/>
      <c r="O37"/>
      <c r="P37"/>
      <c r="Q37"/>
      <c r="R37"/>
      <c r="S37"/>
      <c r="T37"/>
      <c r="U37"/>
      <c r="V37" t="inlineStr">
        <is>
          <t>Culture medium</t>
        </is>
      </c>
      <c r="W37" t="inlineStr">
        <is>
          <t>Culture</t>
        </is>
      </c>
      <c r="X37" t="inlineStr">
        <is>
          <t>Lab</t>
        </is>
      </c>
      <c r="Y37" t="n">
        <v>3.0</v>
      </c>
      <c r="Z37" t="inlineStr">
        <is>
          <t>Formulation</t>
        </is>
      </c>
      <c r="AA37"/>
      <c r="AB37" t="n">
        <v>5.0</v>
      </c>
      <c r="AC37"/>
      <c r="AD37"/>
      <c r="AE37"/>
      <c r="AF37"/>
      <c r="AG37" t="inlineStr">
        <is>
          <t>ppm</t>
        </is>
      </c>
      <c r="AH37"/>
      <c r="AI37"/>
      <c r="AJ37"/>
      <c r="AK37"/>
      <c r="AL37"/>
      <c r="AM37"/>
      <c r="AN37"/>
      <c r="AO37"/>
      <c r="AP37"/>
      <c r="AQ37"/>
      <c r="AR37"/>
      <c r="AS37"/>
      <c r="AT37"/>
      <c r="AU37"/>
      <c r="AV37"/>
      <c r="AW37"/>
      <c r="AX37" t="inlineStr">
        <is>
          <t>Accumulation</t>
        </is>
      </c>
      <c r="AY37" t="inlineStr">
        <is>
          <t>Residue</t>
        </is>
      </c>
      <c r="AZ37" t="inlineStr">
        <is>
          <t>BCF</t>
        </is>
      </c>
      <c r="BA37"/>
      <c r="BB37" t="n">
        <v>10.4</v>
      </c>
      <c r="BC37"/>
      <c r="BD37"/>
      <c r="BE37"/>
      <c r="BF37"/>
      <c r="BG37"/>
      <c r="BH37"/>
      <c r="BI37" t="inlineStr">
        <is>
          <t>RA</t>
        </is>
      </c>
      <c r="BJ37" t="inlineStr">
        <is>
          <t>Whole organism</t>
        </is>
      </c>
      <c r="BK37"/>
      <c r="BL37" t="n">
        <v>3.0</v>
      </c>
      <c r="BM37"/>
      <c r="BN37"/>
      <c r="BO37"/>
      <c r="BP37"/>
      <c r="BQ37" t="inlineStr">
        <is>
          <t>Day(s)</t>
        </is>
      </c>
      <c r="BR37" t="inlineStr">
        <is>
          <t>Sammi,S.R., R.M. Foguth, C.S. Nieves, C. De Perre, P. Wipf, C.T. Mcmurray, L.S. Lee, and J.R. Cannon</t>
        </is>
      </c>
      <c r="BS37" t="n">
        <v>184505.0</v>
      </c>
      <c r="BT37" t="inlineStr">
        <is>
          <t>Perfluorooctane Sulfonate (PFOS) Produces Dopaminergic Neuropathology in Caenorhabditis elegans</t>
        </is>
      </c>
      <c r="BU37" t="inlineStr">
        <is>
          <t>Toxicol. Sci.(2): 417-434</t>
        </is>
      </c>
      <c r="BV37" t="n">
        <v>2019.0</v>
      </c>
      <c r="BW37" t="inlineStr">
        <is>
          <t>Sammi,S.R., R.M. Foguth, C.S. Nieves, C. De Perre, P. Wipf, C.T. Mcmurray, L.S. Lee, and J.R. Cannon (2019). Perfluorooctane Sulfonate (PFOS) Produces Dopaminergic Neuropathology in Caenorhabditis elegans. Toxicol. Sci., (2), 417-434. doi:10.1093/toxsci/kfz191. ECOREF#:184505</t>
        </is>
      </c>
    </row>
    <row r="38">
      <c r="A38" t="n">
        <v>1763231.0</v>
      </c>
      <c r="B38" t="inlineStr">
        <is>
          <t>1,1,2,2,3,3,4,4,5,5,6,6,7,7,8,8,8-Heptadecafluoro-1-octanesulfonic acid</t>
        </is>
      </c>
      <c r="C38" t="inlineStr">
        <is>
          <t>Analytical grade</t>
        </is>
      </c>
      <c r="D38" t="inlineStr">
        <is>
          <t>Unmeasured</t>
        </is>
      </c>
      <c r="E38"/>
      <c r="F38" t="n">
        <v>98.0</v>
      </c>
      <c r="G38"/>
      <c r="H38"/>
      <c r="I38"/>
      <c r="J38"/>
      <c r="K38" t="inlineStr">
        <is>
          <t>Caenorhabditis elegans</t>
        </is>
      </c>
      <c r="L38" t="inlineStr">
        <is>
          <t>Nematode</t>
        </is>
      </c>
      <c r="M38" t="inlineStr">
        <is>
          <t>Worms; Standard Test Species</t>
        </is>
      </c>
      <c r="N38" t="inlineStr">
        <is>
          <t>Larva</t>
        </is>
      </c>
      <c r="O38"/>
      <c r="P38" t="n">
        <v>1.0</v>
      </c>
      <c r="Q38"/>
      <c r="R38"/>
      <c r="S38"/>
      <c r="T38"/>
      <c r="U38" t="inlineStr">
        <is>
          <t>Stage</t>
        </is>
      </c>
      <c r="V38" t="inlineStr">
        <is>
          <t>Culture medium</t>
        </is>
      </c>
      <c r="W38" t="inlineStr">
        <is>
          <t>Culture</t>
        </is>
      </c>
      <c r="X38" t="inlineStr">
        <is>
          <t>Lab</t>
        </is>
      </c>
      <c r="Y38" t="n">
        <v>3.0</v>
      </c>
      <c r="Z38" t="inlineStr">
        <is>
          <t>Active ingredient</t>
        </is>
      </c>
      <c r="AA38"/>
      <c r="AB38" t="n">
        <v>5.0</v>
      </c>
      <c r="AC38"/>
      <c r="AD38"/>
      <c r="AE38"/>
      <c r="AF38"/>
      <c r="AG38" t="inlineStr">
        <is>
          <t>ppm</t>
        </is>
      </c>
      <c r="AH38"/>
      <c r="AI38"/>
      <c r="AJ38"/>
      <c r="AK38"/>
      <c r="AL38"/>
      <c r="AM38"/>
      <c r="AN38"/>
      <c r="AO38"/>
      <c r="AP38"/>
      <c r="AQ38"/>
      <c r="AR38"/>
      <c r="AS38"/>
      <c r="AT38"/>
      <c r="AU38"/>
      <c r="AV38"/>
      <c r="AW38"/>
      <c r="AX38" t="inlineStr">
        <is>
          <t>Accumulation</t>
        </is>
      </c>
      <c r="AY38" t="inlineStr">
        <is>
          <t>Residue</t>
        </is>
      </c>
      <c r="AZ38" t="inlineStr">
        <is>
          <t>BCF</t>
        </is>
      </c>
      <c r="BA38"/>
      <c r="BB38" t="n">
        <v>20.41</v>
      </c>
      <c r="BC38"/>
      <c r="BD38"/>
      <c r="BE38"/>
      <c r="BF38"/>
      <c r="BG38"/>
      <c r="BH38"/>
      <c r="BI38" t="inlineStr">
        <is>
          <t>RA</t>
        </is>
      </c>
      <c r="BJ38" t="inlineStr">
        <is>
          <t>Whole organism</t>
        </is>
      </c>
      <c r="BK38"/>
      <c r="BL38" t="n">
        <v>2.0</v>
      </c>
      <c r="BM38"/>
      <c r="BN38"/>
      <c r="BO38"/>
      <c r="BP38"/>
      <c r="BQ38" t="inlineStr">
        <is>
          <t>Day(s)</t>
        </is>
      </c>
      <c r="BR38" t="inlineStr">
        <is>
          <t>Currie,S.D., Y. Ji, Q. Huang, J.S. Wang, and L. Tang</t>
        </is>
      </c>
      <c r="BS38" t="n">
        <v>194013.0</v>
      </c>
      <c r="BT38" t="inlineStr">
        <is>
          <t>The Impact of Early Life Exposure to Individual and Combined PFAS on Learning, Memory, and Bioaccumulation in C. elegans</t>
        </is>
      </c>
      <c r="BU38" t="inlineStr">
        <is>
          <t>Environ. Pollut.363(2): 13 p.</t>
        </is>
      </c>
      <c r="BV38" t="n">
        <v>2024.0</v>
      </c>
      <c r="BW38" t="inlineStr">
        <is>
          <t>Currie,S.D., Y. Ji, Q. Huang, J.S. Wang, and L. Tang (2024). The Impact of Early Life Exposure to Individual and Combined PFAS on Learning, Memory, and Bioaccumulation in C. elegans. Environ. Pollut., 363, (2), 13 p. doi:10.1016/j.envpol.2024.125257. ECOREF#:194013</t>
        </is>
      </c>
    </row>
    <row r="39">
      <c r="A39" t="n">
        <v>1763231.0</v>
      </c>
      <c r="B39" t="inlineStr">
        <is>
          <t>1,1,2,2,3,3,4,4,5,5,6,6,7,7,8,8,8-Heptadecafluoro-1-octanesulfonic acid</t>
        </is>
      </c>
      <c r="C39" t="inlineStr">
        <is>
          <t>Analytical grade</t>
        </is>
      </c>
      <c r="D39" t="inlineStr">
        <is>
          <t>Unmeasured</t>
        </is>
      </c>
      <c r="E39"/>
      <c r="F39" t="n">
        <v>98.0</v>
      </c>
      <c r="G39"/>
      <c r="H39"/>
      <c r="I39"/>
      <c r="J39"/>
      <c r="K39" t="inlineStr">
        <is>
          <t>Caenorhabditis elegans</t>
        </is>
      </c>
      <c r="L39" t="inlineStr">
        <is>
          <t>Nematode</t>
        </is>
      </c>
      <c r="M39" t="inlineStr">
        <is>
          <t>Worms; Standard Test Species</t>
        </is>
      </c>
      <c r="N39" t="inlineStr">
        <is>
          <t>Larva</t>
        </is>
      </c>
      <c r="O39"/>
      <c r="P39" t="n">
        <v>1.0</v>
      </c>
      <c r="Q39"/>
      <c r="R39"/>
      <c r="S39"/>
      <c r="T39"/>
      <c r="U39" t="inlineStr">
        <is>
          <t>Stage</t>
        </is>
      </c>
      <c r="V39" t="inlineStr">
        <is>
          <t>Culture medium</t>
        </is>
      </c>
      <c r="W39" t="inlineStr">
        <is>
          <t>Culture</t>
        </is>
      </c>
      <c r="X39" t="inlineStr">
        <is>
          <t>Lab</t>
        </is>
      </c>
      <c r="Y39" t="n">
        <v>3.0</v>
      </c>
      <c r="Z39" t="inlineStr">
        <is>
          <t>Active ingredient</t>
        </is>
      </c>
      <c r="AA39"/>
      <c r="AB39" t="n">
        <v>10.0</v>
      </c>
      <c r="AC39"/>
      <c r="AD39"/>
      <c r="AE39"/>
      <c r="AF39"/>
      <c r="AG39" t="inlineStr">
        <is>
          <t>ppm</t>
        </is>
      </c>
      <c r="AH39"/>
      <c r="AI39"/>
      <c r="AJ39"/>
      <c r="AK39"/>
      <c r="AL39"/>
      <c r="AM39"/>
      <c r="AN39"/>
      <c r="AO39"/>
      <c r="AP39"/>
      <c r="AQ39"/>
      <c r="AR39"/>
      <c r="AS39"/>
      <c r="AT39"/>
      <c r="AU39"/>
      <c r="AV39"/>
      <c r="AW39"/>
      <c r="AX39" t="inlineStr">
        <is>
          <t>Accumulation</t>
        </is>
      </c>
      <c r="AY39" t="inlineStr">
        <is>
          <t>Residue</t>
        </is>
      </c>
      <c r="AZ39" t="inlineStr">
        <is>
          <t>BCF</t>
        </is>
      </c>
      <c r="BA39"/>
      <c r="BB39" t="n">
        <v>35.54</v>
      </c>
      <c r="BC39"/>
      <c r="BD39"/>
      <c r="BE39"/>
      <c r="BF39"/>
      <c r="BG39"/>
      <c r="BH39"/>
      <c r="BI39" t="inlineStr">
        <is>
          <t>RA</t>
        </is>
      </c>
      <c r="BJ39" t="inlineStr">
        <is>
          <t>Whole organism</t>
        </is>
      </c>
      <c r="BK39"/>
      <c r="BL39" t="n">
        <v>2.0</v>
      </c>
      <c r="BM39"/>
      <c r="BN39"/>
      <c r="BO39"/>
      <c r="BP39"/>
      <c r="BQ39" t="inlineStr">
        <is>
          <t>Day(s)</t>
        </is>
      </c>
      <c r="BR39" t="inlineStr">
        <is>
          <t>Currie,S.D., Y. Ji, Q. Huang, J.S. Wang, and L. Tang</t>
        </is>
      </c>
      <c r="BS39" t="n">
        <v>194013.0</v>
      </c>
      <c r="BT39" t="inlineStr">
        <is>
          <t>The Impact of Early Life Exposure to Individual and Combined PFAS on Learning, Memory, and Bioaccumulation in C. elegans</t>
        </is>
      </c>
      <c r="BU39" t="inlineStr">
        <is>
          <t>Environ. Pollut.363(2): 13 p.</t>
        </is>
      </c>
      <c r="BV39" t="n">
        <v>2024.0</v>
      </c>
      <c r="BW39" t="inlineStr">
        <is>
          <t>Currie,S.D., Y. Ji, Q. Huang, J.S. Wang, and L. Tang (2024). The Impact of Early Life Exposure to Individual and Combined PFAS on Learning, Memory, and Bioaccumulation in C. elegans. Environ. Pollut., 363, (2), 13 p. doi:10.1016/j.envpol.2024.125257. ECOREF#:194013</t>
        </is>
      </c>
    </row>
    <row r="40">
      <c r="A40" t="n">
        <v>1763231.0</v>
      </c>
      <c r="B40" t="inlineStr">
        <is>
          <t>1,1,2,2,3,3,4,4,5,5,6,6,7,7,8,8,8-Heptadecafluoro-1-octanesulfonic acid</t>
        </is>
      </c>
      <c r="C40"/>
      <c r="D40" t="inlineStr">
        <is>
          <t>Unmeasured</t>
        </is>
      </c>
      <c r="E40"/>
      <c r="F40"/>
      <c r="G40"/>
      <c r="H40"/>
      <c r="I40"/>
      <c r="J40"/>
      <c r="K40" t="inlineStr">
        <is>
          <t>Caenorhabditis elegans</t>
        </is>
      </c>
      <c r="L40" t="inlineStr">
        <is>
          <t>Nematode</t>
        </is>
      </c>
      <c r="M40" t="inlineStr">
        <is>
          <t>Worms; Standard Test Species</t>
        </is>
      </c>
      <c r="N40"/>
      <c r="O40"/>
      <c r="P40"/>
      <c r="Q40"/>
      <c r="R40"/>
      <c r="S40"/>
      <c r="T40"/>
      <c r="U40"/>
      <c r="V40" t="inlineStr">
        <is>
          <t>Culture medium</t>
        </is>
      </c>
      <c r="W40" t="inlineStr">
        <is>
          <t>Culture</t>
        </is>
      </c>
      <c r="X40" t="inlineStr">
        <is>
          <t>Lab</t>
        </is>
      </c>
      <c r="Y40" t="n">
        <v>3.0</v>
      </c>
      <c r="Z40" t="inlineStr">
        <is>
          <t>Formulation</t>
        </is>
      </c>
      <c r="AA40"/>
      <c r="AB40" t="n">
        <v>1.0</v>
      </c>
      <c r="AC40"/>
      <c r="AD40"/>
      <c r="AE40"/>
      <c r="AF40"/>
      <c r="AG40" t="inlineStr">
        <is>
          <t>ppm</t>
        </is>
      </c>
      <c r="AH40"/>
      <c r="AI40"/>
      <c r="AJ40"/>
      <c r="AK40"/>
      <c r="AL40"/>
      <c r="AM40"/>
      <c r="AN40"/>
      <c r="AO40"/>
      <c r="AP40"/>
      <c r="AQ40"/>
      <c r="AR40"/>
      <c r="AS40"/>
      <c r="AT40"/>
      <c r="AU40"/>
      <c r="AV40"/>
      <c r="AW40"/>
      <c r="AX40" t="inlineStr">
        <is>
          <t>Accumulation</t>
        </is>
      </c>
      <c r="AY40" t="inlineStr">
        <is>
          <t>Residue</t>
        </is>
      </c>
      <c r="AZ40" t="inlineStr">
        <is>
          <t>BCF</t>
        </is>
      </c>
      <c r="BA40"/>
      <c r="BB40" t="n">
        <v>13.01</v>
      </c>
      <c r="BC40"/>
      <c r="BD40"/>
      <c r="BE40"/>
      <c r="BF40"/>
      <c r="BG40"/>
      <c r="BH40"/>
      <c r="BI40" t="inlineStr">
        <is>
          <t>RA</t>
        </is>
      </c>
      <c r="BJ40" t="inlineStr">
        <is>
          <t>Whole organism</t>
        </is>
      </c>
      <c r="BK40"/>
      <c r="BL40" t="n">
        <v>3.0</v>
      </c>
      <c r="BM40"/>
      <c r="BN40"/>
      <c r="BO40"/>
      <c r="BP40"/>
      <c r="BQ40" t="inlineStr">
        <is>
          <t>Day(s)</t>
        </is>
      </c>
      <c r="BR40" t="inlineStr">
        <is>
          <t>Sammi,S.R., R.M. Foguth, C.S. Nieves, C. De Perre, P. Wipf, C.T. Mcmurray, L.S. Lee, and J.R. Cannon</t>
        </is>
      </c>
      <c r="BS40" t="n">
        <v>184505.0</v>
      </c>
      <c r="BT40" t="inlineStr">
        <is>
          <t>Perfluorooctane Sulfonate (PFOS) Produces Dopaminergic Neuropathology in Caenorhabditis elegans</t>
        </is>
      </c>
      <c r="BU40" t="inlineStr">
        <is>
          <t>Toxicol. Sci.(2): 417-434</t>
        </is>
      </c>
      <c r="BV40" t="n">
        <v>2019.0</v>
      </c>
      <c r="BW40" t="inlineStr">
        <is>
          <t>Sammi,S.R., R.M. Foguth, C.S. Nieves, C. De Perre, P. Wipf, C.T. Mcmurray, L.S. Lee, and J.R. Cannon (2019). Perfluorooctane Sulfonate (PFOS) Produces Dopaminergic Neuropathology in Caenorhabditis elegans. Toxicol. Sci., (2), 417-434. doi:10.1093/toxsci/kfz191. ECOREF#:184505</t>
        </is>
      </c>
    </row>
    <row r="41">
      <c r="A41" t="n">
        <v>1763231.0</v>
      </c>
      <c r="B41" t="inlineStr">
        <is>
          <t>1,1,2,2,3,3,4,4,5,5,6,6,7,7,8,8,8-Heptadecafluoro-1-octanesulfonic acid</t>
        </is>
      </c>
      <c r="C41"/>
      <c r="D41" t="inlineStr">
        <is>
          <t>Unmeasured</t>
        </is>
      </c>
      <c r="E41"/>
      <c r="F41"/>
      <c r="G41"/>
      <c r="H41"/>
      <c r="I41"/>
      <c r="J41"/>
      <c r="K41" t="inlineStr">
        <is>
          <t>Caenorhabditis elegans</t>
        </is>
      </c>
      <c r="L41" t="inlineStr">
        <is>
          <t>Nematode</t>
        </is>
      </c>
      <c r="M41" t="inlineStr">
        <is>
          <t>Worms; Standard Test Species</t>
        </is>
      </c>
      <c r="N41"/>
      <c r="O41"/>
      <c r="P41"/>
      <c r="Q41"/>
      <c r="R41"/>
      <c r="S41"/>
      <c r="T41"/>
      <c r="U41"/>
      <c r="V41" t="inlineStr">
        <is>
          <t>Culture medium</t>
        </is>
      </c>
      <c r="W41" t="inlineStr">
        <is>
          <t>Culture</t>
        </is>
      </c>
      <c r="X41" t="inlineStr">
        <is>
          <t>Lab</t>
        </is>
      </c>
      <c r="Y41" t="n">
        <v>3.0</v>
      </c>
      <c r="Z41" t="inlineStr">
        <is>
          <t>Formulation</t>
        </is>
      </c>
      <c r="AA41"/>
      <c r="AB41" t="n">
        <v>5.0</v>
      </c>
      <c r="AC41"/>
      <c r="AD41"/>
      <c r="AE41"/>
      <c r="AF41"/>
      <c r="AG41" t="inlineStr">
        <is>
          <t>ppm</t>
        </is>
      </c>
      <c r="AH41"/>
      <c r="AI41"/>
      <c r="AJ41"/>
      <c r="AK41"/>
      <c r="AL41"/>
      <c r="AM41"/>
      <c r="AN41"/>
      <c r="AO41"/>
      <c r="AP41"/>
      <c r="AQ41"/>
      <c r="AR41"/>
      <c r="AS41"/>
      <c r="AT41"/>
      <c r="AU41"/>
      <c r="AV41"/>
      <c r="AW41"/>
      <c r="AX41" t="inlineStr">
        <is>
          <t>Accumulation</t>
        </is>
      </c>
      <c r="AY41" t="inlineStr">
        <is>
          <t>Residue</t>
        </is>
      </c>
      <c r="AZ41" t="inlineStr">
        <is>
          <t>LOEL</t>
        </is>
      </c>
      <c r="BA41"/>
      <c r="BB41" t="n">
        <v>5.0</v>
      </c>
      <c r="BC41"/>
      <c r="BD41"/>
      <c r="BE41"/>
      <c r="BF41"/>
      <c r="BG41"/>
      <c r="BH41"/>
      <c r="BI41" t="inlineStr">
        <is>
          <t>ppm</t>
        </is>
      </c>
      <c r="BJ41" t="inlineStr">
        <is>
          <t>Whole organism</t>
        </is>
      </c>
      <c r="BK41"/>
      <c r="BL41" t="n">
        <v>3.0</v>
      </c>
      <c r="BM41"/>
      <c r="BN41"/>
      <c r="BO41"/>
      <c r="BP41"/>
      <c r="BQ41" t="inlineStr">
        <is>
          <t>Day(s)</t>
        </is>
      </c>
      <c r="BR41" t="inlineStr">
        <is>
          <t>Sammi,S.R., R.M. Foguth, C.S. Nieves, C. De Perre, P. Wipf, C.T. Mcmurray, L.S. Lee, and J.R. Cannon</t>
        </is>
      </c>
      <c r="BS41" t="n">
        <v>184505.0</v>
      </c>
      <c r="BT41" t="inlineStr">
        <is>
          <t>Perfluorooctane Sulfonate (PFOS) Produces Dopaminergic Neuropathology in Caenorhabditis elegans</t>
        </is>
      </c>
      <c r="BU41" t="inlineStr">
        <is>
          <t>Toxicol. Sci.(2): 417-434</t>
        </is>
      </c>
      <c r="BV41" t="n">
        <v>2019.0</v>
      </c>
      <c r="BW41" t="inlineStr">
        <is>
          <t>Sammi,S.R., R.M. Foguth, C.S. Nieves, C. De Perre, P. Wipf, C.T. Mcmurray, L.S. Lee, and J.R. Cannon (2019). Perfluorooctane Sulfonate (PFOS) Produces Dopaminergic Neuropathology in Caenorhabditis elegans. Toxicol. Sci., (2), 417-434. doi:10.1093/toxsci/kfz191. ECOREF#:184505</t>
        </is>
      </c>
    </row>
    <row r="42">
      <c r="A42" t="n">
        <v>1763231.0</v>
      </c>
      <c r="B42" t="inlineStr">
        <is>
          <t>1,1,2,2,3,3,4,4,5,5,6,6,7,7,8,8,8-Heptadecafluoro-1-octanesulfonic acid</t>
        </is>
      </c>
      <c r="C42" t="inlineStr">
        <is>
          <t>Analytical grade</t>
        </is>
      </c>
      <c r="D42" t="inlineStr">
        <is>
          <t>Unmeasured</t>
        </is>
      </c>
      <c r="E42"/>
      <c r="F42" t="n">
        <v>98.0</v>
      </c>
      <c r="G42"/>
      <c r="H42"/>
      <c r="I42"/>
      <c r="J42"/>
      <c r="K42" t="inlineStr">
        <is>
          <t>Caenorhabditis elegans</t>
        </is>
      </c>
      <c r="L42" t="inlineStr">
        <is>
          <t>Nematode</t>
        </is>
      </c>
      <c r="M42" t="inlineStr">
        <is>
          <t>Worms; Standard Test Species</t>
        </is>
      </c>
      <c r="N42" t="inlineStr">
        <is>
          <t>Larva</t>
        </is>
      </c>
      <c r="O42"/>
      <c r="P42" t="n">
        <v>1.0</v>
      </c>
      <c r="Q42"/>
      <c r="R42"/>
      <c r="S42"/>
      <c r="T42"/>
      <c r="U42" t="inlineStr">
        <is>
          <t>Stage</t>
        </is>
      </c>
      <c r="V42" t="inlineStr">
        <is>
          <t>Culture medium</t>
        </is>
      </c>
      <c r="W42" t="inlineStr">
        <is>
          <t>Culture</t>
        </is>
      </c>
      <c r="X42" t="inlineStr">
        <is>
          <t>Lab</t>
        </is>
      </c>
      <c r="Y42" t="n">
        <v>3.0</v>
      </c>
      <c r="Z42" t="inlineStr">
        <is>
          <t>Active ingredient</t>
        </is>
      </c>
      <c r="AA42"/>
      <c r="AB42" t="n">
        <v>5.0</v>
      </c>
      <c r="AC42"/>
      <c r="AD42"/>
      <c r="AE42"/>
      <c r="AF42"/>
      <c r="AG42" t="inlineStr">
        <is>
          <t>ppm</t>
        </is>
      </c>
      <c r="AH42"/>
      <c r="AI42"/>
      <c r="AJ42"/>
      <c r="AK42"/>
      <c r="AL42"/>
      <c r="AM42"/>
      <c r="AN42"/>
      <c r="AO42"/>
      <c r="AP42"/>
      <c r="AQ42"/>
      <c r="AR42"/>
      <c r="AS42"/>
      <c r="AT42"/>
      <c r="AU42"/>
      <c r="AV42"/>
      <c r="AW42"/>
      <c r="AX42" t="inlineStr">
        <is>
          <t>Accumulation</t>
        </is>
      </c>
      <c r="AY42" t="inlineStr">
        <is>
          <t>Residue</t>
        </is>
      </c>
      <c r="AZ42" t="inlineStr">
        <is>
          <t>LOEL</t>
        </is>
      </c>
      <c r="BA42"/>
      <c r="BB42" t="n">
        <v>5.0</v>
      </c>
      <c r="BC42"/>
      <c r="BD42"/>
      <c r="BE42"/>
      <c r="BF42"/>
      <c r="BG42"/>
      <c r="BH42"/>
      <c r="BI42" t="inlineStr">
        <is>
          <t>ppm</t>
        </is>
      </c>
      <c r="BJ42" t="inlineStr">
        <is>
          <t>Whole organism</t>
        </is>
      </c>
      <c r="BK42"/>
      <c r="BL42" t="n">
        <v>2.0</v>
      </c>
      <c r="BM42"/>
      <c r="BN42"/>
      <c r="BO42"/>
      <c r="BP42"/>
      <c r="BQ42" t="inlineStr">
        <is>
          <t>Day(s)</t>
        </is>
      </c>
      <c r="BR42" t="inlineStr">
        <is>
          <t>Currie,S.D., Y. Ji, Q. Huang, J.S. Wang, and L. Tang</t>
        </is>
      </c>
      <c r="BS42" t="n">
        <v>194013.0</v>
      </c>
      <c r="BT42" t="inlineStr">
        <is>
          <t>The Impact of Early Life Exposure to Individual and Combined PFAS on Learning, Memory, and Bioaccumulation in C. elegans</t>
        </is>
      </c>
      <c r="BU42" t="inlineStr">
        <is>
          <t>Environ. Pollut.363(2): 13 p.</t>
        </is>
      </c>
      <c r="BV42" t="n">
        <v>2024.0</v>
      </c>
      <c r="BW42" t="inlineStr">
        <is>
          <t>Currie,S.D., Y. Ji, Q. Huang, J.S. Wang, and L. Tang (2024). The Impact of Early Life Exposure to Individual and Combined PFAS on Learning, Memory, and Bioaccumulation in C. elegans. Environ. Pollut., 363, (2), 13 p. doi:10.1016/j.envpol.2024.125257. ECOREF#:194013</t>
        </is>
      </c>
    </row>
    <row r="43">
      <c r="A43" t="n">
        <v>1763231.0</v>
      </c>
      <c r="B43" t="inlineStr">
        <is>
          <t>1,1,2,2,3,3,4,4,5,5,6,6,7,7,8,8,8-Heptadecafluoro-1-octanesulfonic acid</t>
        </is>
      </c>
      <c r="C43"/>
      <c r="D43" t="inlineStr">
        <is>
          <t>Unmeasured</t>
        </is>
      </c>
      <c r="E43"/>
      <c r="F43"/>
      <c r="G43"/>
      <c r="H43"/>
      <c r="I43"/>
      <c r="J43"/>
      <c r="K43" t="inlineStr">
        <is>
          <t>Caenorhabditis elegans</t>
        </is>
      </c>
      <c r="L43" t="inlineStr">
        <is>
          <t>Nematode</t>
        </is>
      </c>
      <c r="M43" t="inlineStr">
        <is>
          <t>Worms; Standard Test Species</t>
        </is>
      </c>
      <c r="N43"/>
      <c r="O43"/>
      <c r="P43"/>
      <c r="Q43"/>
      <c r="R43"/>
      <c r="S43"/>
      <c r="T43"/>
      <c r="U43"/>
      <c r="V43" t="inlineStr">
        <is>
          <t>Culture medium</t>
        </is>
      </c>
      <c r="W43" t="inlineStr">
        <is>
          <t>Culture</t>
        </is>
      </c>
      <c r="X43" t="inlineStr">
        <is>
          <t>Lab</t>
        </is>
      </c>
      <c r="Y43" t="n">
        <v>3.0</v>
      </c>
      <c r="Z43" t="inlineStr">
        <is>
          <t>Formulation</t>
        </is>
      </c>
      <c r="AA43"/>
      <c r="AB43" t="n">
        <v>1.0</v>
      </c>
      <c r="AC43"/>
      <c r="AD43"/>
      <c r="AE43"/>
      <c r="AF43"/>
      <c r="AG43" t="inlineStr">
        <is>
          <t>ppm</t>
        </is>
      </c>
      <c r="AH43"/>
      <c r="AI43"/>
      <c r="AJ43"/>
      <c r="AK43"/>
      <c r="AL43"/>
      <c r="AM43"/>
      <c r="AN43"/>
      <c r="AO43"/>
      <c r="AP43"/>
      <c r="AQ43"/>
      <c r="AR43"/>
      <c r="AS43"/>
      <c r="AT43"/>
      <c r="AU43"/>
      <c r="AV43"/>
      <c r="AW43"/>
      <c r="AX43" t="inlineStr">
        <is>
          <t>Accumulation</t>
        </is>
      </c>
      <c r="AY43" t="inlineStr">
        <is>
          <t>Residue</t>
        </is>
      </c>
      <c r="AZ43" t="inlineStr">
        <is>
          <t>NOEL</t>
        </is>
      </c>
      <c r="BA43"/>
      <c r="BB43" t="n">
        <v>1.0</v>
      </c>
      <c r="BC43"/>
      <c r="BD43"/>
      <c r="BE43"/>
      <c r="BF43"/>
      <c r="BG43"/>
      <c r="BH43"/>
      <c r="BI43" t="inlineStr">
        <is>
          <t>ppm</t>
        </is>
      </c>
      <c r="BJ43" t="inlineStr">
        <is>
          <t>Whole organism</t>
        </is>
      </c>
      <c r="BK43"/>
      <c r="BL43" t="n">
        <v>3.0</v>
      </c>
      <c r="BM43"/>
      <c r="BN43"/>
      <c r="BO43"/>
      <c r="BP43"/>
      <c r="BQ43" t="inlineStr">
        <is>
          <t>Day(s)</t>
        </is>
      </c>
      <c r="BR43" t="inlineStr">
        <is>
          <t>Sammi,S.R., R.M. Foguth, C.S. Nieves, C. De Perre, P. Wipf, C.T. Mcmurray, L.S. Lee, and J.R. Cannon</t>
        </is>
      </c>
      <c r="BS43" t="n">
        <v>184505.0</v>
      </c>
      <c r="BT43" t="inlineStr">
        <is>
          <t>Perfluorooctane Sulfonate (PFOS) Produces Dopaminergic Neuropathology in Caenorhabditis elegans</t>
        </is>
      </c>
      <c r="BU43" t="inlineStr">
        <is>
          <t>Toxicol. Sci.(2): 417-434</t>
        </is>
      </c>
      <c r="BV43" t="n">
        <v>2019.0</v>
      </c>
      <c r="BW43" t="inlineStr">
        <is>
          <t>Sammi,S.R., R.M. Foguth, C.S. Nieves, C. De Perre, P. Wipf, C.T. Mcmurray, L.S. Lee, and J.R. Cannon (2019). Perfluorooctane Sulfonate (PFOS) Produces Dopaminergic Neuropathology in Caenorhabditis elegans. Toxicol. Sci., (2), 417-434. doi:10.1093/toxsci/kfz191. ECOREF#:184505</t>
        </is>
      </c>
    </row>
    <row r="44">
      <c r="A44" t="n">
        <v>1763231.0</v>
      </c>
      <c r="B44" t="inlineStr">
        <is>
          <t>1,1,2,2,3,3,4,4,5,5,6,6,7,7,8,8,8-Heptadecafluoro-1-octanesulfonic acid</t>
        </is>
      </c>
      <c r="C44"/>
      <c r="D44" t="inlineStr">
        <is>
          <t>Measured</t>
        </is>
      </c>
      <c r="E44" t="inlineStr">
        <is>
          <t>&gt;=</t>
        </is>
      </c>
      <c r="F44" t="n">
        <v>98.0</v>
      </c>
      <c r="G44"/>
      <c r="H44"/>
      <c r="I44"/>
      <c r="J44"/>
      <c r="K44" t="inlineStr">
        <is>
          <t>Caenorhabditis elegans</t>
        </is>
      </c>
      <c r="L44" t="inlineStr">
        <is>
          <t>Nematode</t>
        </is>
      </c>
      <c r="M44" t="inlineStr">
        <is>
          <t>Worms; Standard Test Species</t>
        </is>
      </c>
      <c r="N44" t="inlineStr">
        <is>
          <t>Larva</t>
        </is>
      </c>
      <c r="O44"/>
      <c r="P44" t="n">
        <v>40.0</v>
      </c>
      <c r="Q44"/>
      <c r="R44"/>
      <c r="S44"/>
      <c r="T44"/>
      <c r="U44" t="inlineStr">
        <is>
          <t>Hour(s)</t>
        </is>
      </c>
      <c r="V44" t="inlineStr">
        <is>
          <t>Culture medium</t>
        </is>
      </c>
      <c r="W44" t="inlineStr">
        <is>
          <t>Culture</t>
        </is>
      </c>
      <c r="X44" t="inlineStr">
        <is>
          <t>Lab</t>
        </is>
      </c>
      <c r="Y44" t="n">
        <v>3.0</v>
      </c>
      <c r="Z44" t="inlineStr">
        <is>
          <t>Active ingredient</t>
        </is>
      </c>
      <c r="AA44"/>
      <c r="AB44"/>
      <c r="AC44"/>
      <c r="AD44" t="n">
        <v>0.1</v>
      </c>
      <c r="AE44"/>
      <c r="AF44" t="n">
        <v>1.0</v>
      </c>
      <c r="AG44" t="inlineStr">
        <is>
          <t>uM</t>
        </is>
      </c>
      <c r="AH44"/>
      <c r="AI44"/>
      <c r="AJ44"/>
      <c r="AK44"/>
      <c r="AL44"/>
      <c r="AM44"/>
      <c r="AN44"/>
      <c r="AO44"/>
      <c r="AP44"/>
      <c r="AQ44"/>
      <c r="AR44"/>
      <c r="AS44"/>
      <c r="AT44"/>
      <c r="AU44"/>
      <c r="AV44"/>
      <c r="AW44"/>
      <c r="AX44" t="inlineStr">
        <is>
          <t>Accumulation</t>
        </is>
      </c>
      <c r="AY44" t="inlineStr">
        <is>
          <t>Residue</t>
        </is>
      </c>
      <c r="AZ44"/>
      <c r="BA44"/>
      <c r="BB44"/>
      <c r="BC44"/>
      <c r="BD44" t="n">
        <v>0.1</v>
      </c>
      <c r="BE44"/>
      <c r="BF44" t="n">
        <v>1.0</v>
      </c>
      <c r="BG44"/>
      <c r="BH44"/>
      <c r="BI44" t="inlineStr">
        <is>
          <t>uM</t>
        </is>
      </c>
      <c r="BJ44" t="inlineStr">
        <is>
          <t>Whole organism</t>
        </is>
      </c>
      <c r="BK44"/>
      <c r="BL44" t="n">
        <v>2.0</v>
      </c>
      <c r="BM44"/>
      <c r="BN44"/>
      <c r="BO44"/>
      <c r="BP44"/>
      <c r="BQ44" t="inlineStr">
        <is>
          <t>Day(s)</t>
        </is>
      </c>
      <c r="BR44" t="inlineStr">
        <is>
          <t>Chen,F., C. Wei, Q. Chen, J. Zhang, L. Wang, Z. Zhou, M. Chen, and Y. Liang</t>
        </is>
      </c>
      <c r="BS44" t="n">
        <v>178025.0</v>
      </c>
      <c r="BT44" t="inlineStr">
        <is>
          <t>Internal Concentrations of Perfluorobutane Sulfonate (PFBS) Comparable to Those of Perfluorooctane Sulfonate (PFOS) Induce Reproductive Toxicity in Caenorhabditis elegans</t>
        </is>
      </c>
      <c r="BU44" t="inlineStr">
        <is>
          <t>Ecotoxicol. Environ. Saf.158:223-229</t>
        </is>
      </c>
      <c r="BV44" t="n">
        <v>2018.0</v>
      </c>
      <c r="BW44" t="inlineStr">
        <is>
          <t>Chen,F., C. Wei, Q. Chen, J. Zhang, L. Wang, Z. Zhou, M. Chen, and Y. Liang (2018). Internal Concentrations of Perfluorobutane Sulfonate (PFBS) Comparable to Those of Perfluorooctane Sulfonate (PFOS) Induce Reproductive Toxicity in Caenorhabditis elegans. Ecotoxicol. Environ. Saf., 158, 223-229. doi:10.1016/j.ecoenv.2018.04.032. ECOREF#:178025</t>
        </is>
      </c>
    </row>
    <row r="45">
      <c r="A45" t="n">
        <v>1763231.0</v>
      </c>
      <c r="B45" t="inlineStr">
        <is>
          <t>1,1,2,2,3,3,4,4,5,5,6,6,7,7,8,8,8-Heptadecafluoro-1-octanesulfonic acid</t>
        </is>
      </c>
      <c r="C45"/>
      <c r="D45" t="inlineStr">
        <is>
          <t>Unmeasured</t>
        </is>
      </c>
      <c r="E45"/>
      <c r="F45"/>
      <c r="G45"/>
      <c r="H45"/>
      <c r="I45"/>
      <c r="J45"/>
      <c r="K45" t="inlineStr">
        <is>
          <t>Caenorhabditis elegans</t>
        </is>
      </c>
      <c r="L45" t="inlineStr">
        <is>
          <t>Nematode</t>
        </is>
      </c>
      <c r="M45" t="inlineStr">
        <is>
          <t>Worms; Standard Test Species</t>
        </is>
      </c>
      <c r="N45"/>
      <c r="O45"/>
      <c r="P45"/>
      <c r="Q45"/>
      <c r="R45"/>
      <c r="S45"/>
      <c r="T45"/>
      <c r="U45"/>
      <c r="V45" t="inlineStr">
        <is>
          <t>Culture medium</t>
        </is>
      </c>
      <c r="W45" t="inlineStr">
        <is>
          <t>Culture</t>
        </is>
      </c>
      <c r="X45" t="inlineStr">
        <is>
          <t>Lab</t>
        </is>
      </c>
      <c r="Y45" t="n">
        <v>2.0</v>
      </c>
      <c r="Z45" t="inlineStr">
        <is>
          <t>Formulation</t>
        </is>
      </c>
      <c r="AA45"/>
      <c r="AB45" t="n">
        <v>0.5</v>
      </c>
      <c r="AC45"/>
      <c r="AD45"/>
      <c r="AE45"/>
      <c r="AF45"/>
      <c r="AG45" t="inlineStr">
        <is>
          <t>mg/L</t>
        </is>
      </c>
      <c r="AH45"/>
      <c r="AI45"/>
      <c r="AJ45"/>
      <c r="AK45"/>
      <c r="AL45"/>
      <c r="AM45"/>
      <c r="AN45"/>
      <c r="AO45"/>
      <c r="AP45"/>
      <c r="AQ45"/>
      <c r="AR45"/>
      <c r="AS45"/>
      <c r="AT45"/>
      <c r="AU45"/>
      <c r="AV45"/>
      <c r="AW45"/>
      <c r="AX45" t="inlineStr">
        <is>
          <t>Accumulation</t>
        </is>
      </c>
      <c r="AY45" t="inlineStr">
        <is>
          <t>Uptake</t>
        </is>
      </c>
      <c r="AZ45"/>
      <c r="BA45"/>
      <c r="BB45" t="n">
        <v>0.5</v>
      </c>
      <c r="BC45"/>
      <c r="BD45"/>
      <c r="BE45"/>
      <c r="BF45"/>
      <c r="BG45"/>
      <c r="BH45"/>
      <c r="BI45" t="inlineStr">
        <is>
          <t>mg/L</t>
        </is>
      </c>
      <c r="BJ45" t="inlineStr">
        <is>
          <t>Whole organism</t>
        </is>
      </c>
      <c r="BK45"/>
      <c r="BL45" t="n">
        <v>1.0</v>
      </c>
      <c r="BM45"/>
      <c r="BN45"/>
      <c r="BO45"/>
      <c r="BP45"/>
      <c r="BQ45" t="inlineStr">
        <is>
          <t>Day(s)</t>
        </is>
      </c>
      <c r="BR45" t="inlineStr">
        <is>
          <t>Kim,H.M., N.P. Long, S.J. Yoon, N.H. Anh, S.J. Kim, J.H. Park, and S.W. Kwon</t>
        </is>
      </c>
      <c r="BS45" t="n">
        <v>182545.0</v>
      </c>
      <c r="BT45" t="inlineStr">
        <is>
          <t>Omics Approach Reveals Perturbation of Metabolism and Phenotype in Caenorhabditis elegans Triggered by Perfluorinated Compounds</t>
        </is>
      </c>
      <c r="BU45" t="inlineStr">
        <is>
          <t>Sci. Total Environ.703:9 p.</t>
        </is>
      </c>
      <c r="BV45" t="n">
        <v>2020.0</v>
      </c>
      <c r="BW45" t="inlineStr">
        <is>
          <t>Kim,H.M., N.P. Long, S.J. Yoon, N.H. Anh, S.J. Kim, J.H. Park, and S.W. Kwon (2020). Omics Approach Reveals Perturbation of Metabolism and Phenotype in Caenorhabditis elegans Triggered by Perfluorinated Compounds. Sci. Total Environ., 703, 9 p. doi:10.1016/j.scitotenv.2019.135500. ECOREF#:182545</t>
        </is>
      </c>
    </row>
    <row r="46">
      <c r="A46" t="n">
        <v>1763231.0</v>
      </c>
      <c r="B46" t="inlineStr">
        <is>
          <t>1,1,2,2,3,3,4,4,5,5,6,6,7,7,8,8,8-Heptadecafluoro-1-octanesulfonic acid</t>
        </is>
      </c>
      <c r="C46"/>
      <c r="D46" t="inlineStr">
        <is>
          <t>Unmeasured</t>
        </is>
      </c>
      <c r="E46"/>
      <c r="F46"/>
      <c r="G46"/>
      <c r="H46"/>
      <c r="I46"/>
      <c r="J46"/>
      <c r="K46" t="inlineStr">
        <is>
          <t>Caenorhabditis elegans</t>
        </is>
      </c>
      <c r="L46" t="inlineStr">
        <is>
          <t>Nematode</t>
        </is>
      </c>
      <c r="M46" t="inlineStr">
        <is>
          <t>Worms; Standard Test Species</t>
        </is>
      </c>
      <c r="N46" t="inlineStr">
        <is>
          <t>Larva</t>
        </is>
      </c>
      <c r="O46"/>
      <c r="P46" t="n">
        <v>1.0</v>
      </c>
      <c r="Q46"/>
      <c r="R46"/>
      <c r="S46"/>
      <c r="T46"/>
      <c r="U46" t="inlineStr">
        <is>
          <t>Stage</t>
        </is>
      </c>
      <c r="V46" t="inlineStr">
        <is>
          <t>Diet, unspecified</t>
        </is>
      </c>
      <c r="W46" t="inlineStr">
        <is>
          <t>Culture</t>
        </is>
      </c>
      <c r="X46" t="inlineStr">
        <is>
          <t>Lab</t>
        </is>
      </c>
      <c r="Y46" t="n">
        <v>3.0</v>
      </c>
      <c r="Z46" t="inlineStr">
        <is>
          <t>Formulation</t>
        </is>
      </c>
      <c r="AA46"/>
      <c r="AB46"/>
      <c r="AC46"/>
      <c r="AD46" t="n">
        <v>1.0</v>
      </c>
      <c r="AE46"/>
      <c r="AF46" t="n">
        <v>25.0</v>
      </c>
      <c r="AG46" t="inlineStr">
        <is>
          <t>uM</t>
        </is>
      </c>
      <c r="AH46"/>
      <c r="AI46"/>
      <c r="AJ46"/>
      <c r="AK46"/>
      <c r="AL46"/>
      <c r="AM46"/>
      <c r="AN46"/>
      <c r="AO46"/>
      <c r="AP46"/>
      <c r="AQ46"/>
      <c r="AR46"/>
      <c r="AS46"/>
      <c r="AT46"/>
      <c r="AU46"/>
      <c r="AV46"/>
      <c r="AW46"/>
      <c r="AX46" t="inlineStr">
        <is>
          <t>Accumulation</t>
        </is>
      </c>
      <c r="AY46" t="inlineStr">
        <is>
          <t>Residue</t>
        </is>
      </c>
      <c r="AZ46"/>
      <c r="BA46"/>
      <c r="BB46"/>
      <c r="BC46"/>
      <c r="BD46" t="n">
        <v>1.0</v>
      </c>
      <c r="BE46"/>
      <c r="BF46" t="n">
        <v>25.0</v>
      </c>
      <c r="BG46"/>
      <c r="BH46"/>
      <c r="BI46" t="inlineStr">
        <is>
          <t>uM</t>
        </is>
      </c>
      <c r="BJ46" t="inlineStr">
        <is>
          <t>Whole organism</t>
        </is>
      </c>
      <c r="BK46"/>
      <c r="BL46" t="n">
        <v>2.0</v>
      </c>
      <c r="BM46"/>
      <c r="BN46"/>
      <c r="BO46"/>
      <c r="BP46"/>
      <c r="BQ46" t="inlineStr">
        <is>
          <t>Day(s)</t>
        </is>
      </c>
      <c r="BR46" t="inlineStr">
        <is>
          <t>Stylianou,M., M.K. Bjornsdotter, P.E. Olsson, I. Ericson Jogsten, and J. Jass</t>
        </is>
      </c>
      <c r="BS46" t="n">
        <v>182579.0</v>
      </c>
      <c r="BT46" t="inlineStr">
        <is>
          <t>Distinct Transcriptional Response of Caenorhabditis elegans to Different Exposure Routes of Perfluorooctane Sulfonic Acid</t>
        </is>
      </c>
      <c r="BU46" t="inlineStr">
        <is>
          <t>Environ. Res.168:406-413</t>
        </is>
      </c>
      <c r="BV46" t="n">
        <v>2019.0</v>
      </c>
      <c r="BW46" t="inlineStr">
        <is>
          <t>Stylianou,M., M.K. Bjornsdotter, P.E. Olsson, I. Ericson Jogsten, and J. Jass (2019). Distinct Transcriptional Response of Caenorhabditis elegans to Different Exposure Routes of Perfluorooctane Sulfonic Acid. Environ. Res., 168, 406-413. doi:10.1016/j.envres.2018.10.019. ECOREF#:182579</t>
        </is>
      </c>
    </row>
    <row r="47">
      <c r="A47" t="n">
        <v>1763231.0</v>
      </c>
      <c r="B47" t="inlineStr">
        <is>
          <t>1,1,2,2,3,3,4,4,5,5,6,6,7,7,8,8,8-Heptadecafluoro-1-octanesulfonic acid</t>
        </is>
      </c>
      <c r="C47"/>
      <c r="D47" t="inlineStr">
        <is>
          <t>Unmeasured</t>
        </is>
      </c>
      <c r="E47" t="inlineStr">
        <is>
          <t>~</t>
        </is>
      </c>
      <c r="F47" t="n">
        <v>40.0</v>
      </c>
      <c r="G47"/>
      <c r="H47"/>
      <c r="I47"/>
      <c r="J47"/>
      <c r="K47" t="inlineStr">
        <is>
          <t>Caenorhabditis elegans</t>
        </is>
      </c>
      <c r="L47" t="inlineStr">
        <is>
          <t>Nematode</t>
        </is>
      </c>
      <c r="M47" t="inlineStr">
        <is>
          <t>Worms; Standard Test Species</t>
        </is>
      </c>
      <c r="N47" t="inlineStr">
        <is>
          <t>Young adult</t>
        </is>
      </c>
      <c r="O47"/>
      <c r="P47"/>
      <c r="Q47"/>
      <c r="R47"/>
      <c r="S47"/>
      <c r="T47"/>
      <c r="U47"/>
      <c r="V47" t="inlineStr">
        <is>
          <t>Culture medium</t>
        </is>
      </c>
      <c r="W47" t="inlineStr">
        <is>
          <t>Culture</t>
        </is>
      </c>
      <c r="X47" t="inlineStr">
        <is>
          <t>Lab</t>
        </is>
      </c>
      <c r="Y47" t="n">
        <v>4.0</v>
      </c>
      <c r="Z47" t="inlineStr">
        <is>
          <t>Formulation</t>
        </is>
      </c>
      <c r="AA47"/>
      <c r="AB47"/>
      <c r="AC47"/>
      <c r="AD47" t="n">
        <v>10.0</v>
      </c>
      <c r="AE47"/>
      <c r="AF47" t="n">
        <v>40.0</v>
      </c>
      <c r="AG47" t="inlineStr">
        <is>
          <t>uM</t>
        </is>
      </c>
      <c r="AH47"/>
      <c r="AI47"/>
      <c r="AJ47"/>
      <c r="AK47"/>
      <c r="AL47"/>
      <c r="AM47"/>
      <c r="AN47"/>
      <c r="AO47"/>
      <c r="AP47"/>
      <c r="AQ47"/>
      <c r="AR47"/>
      <c r="AS47"/>
      <c r="AT47"/>
      <c r="AU47"/>
      <c r="AV47"/>
      <c r="AW47"/>
      <c r="AX47" t="inlineStr">
        <is>
          <t>Accumulation</t>
        </is>
      </c>
      <c r="AY47" t="inlineStr">
        <is>
          <t>Residue</t>
        </is>
      </c>
      <c r="AZ47"/>
      <c r="BA47"/>
      <c r="BB47"/>
      <c r="BC47"/>
      <c r="BD47" t="n">
        <v>10.0</v>
      </c>
      <c r="BE47"/>
      <c r="BF47" t="n">
        <v>40.0</v>
      </c>
      <c r="BG47"/>
      <c r="BH47"/>
      <c r="BI47" t="inlineStr">
        <is>
          <t>uM</t>
        </is>
      </c>
      <c r="BJ47" t="inlineStr">
        <is>
          <t>Whole organism</t>
        </is>
      </c>
      <c r="BK47"/>
      <c r="BL47" t="n">
        <v>1.0</v>
      </c>
      <c r="BM47"/>
      <c r="BN47"/>
      <c r="BO47"/>
      <c r="BP47"/>
      <c r="BQ47" t="inlineStr">
        <is>
          <t>Day(s)</t>
        </is>
      </c>
      <c r="BR47" t="inlineStr">
        <is>
          <t>Yue,Y., S. Li, Z. Qian, R.F. Pereira, J. Lee, J.J. Doherty, Z. Zhang, Y. Peng, J.M. Clark, A.R. Timme-Laragy, and Y. Pa</t>
        </is>
      </c>
      <c r="BS47" t="n">
        <v>184789.0</v>
      </c>
      <c r="BT47" t="inlineStr">
        <is>
          <t>Perfluorooctanesulfonic Acid (PFOS) and Perfluorobutanesulfonic Acid (PFBS) Impaired Reproduction and Altered Offspring Physiological Functions in Caenorhabditis elegans</t>
        </is>
      </c>
      <c r="BU47" t="inlineStr">
        <is>
          <t>Food Chem. Toxicol.145:8 p.</t>
        </is>
      </c>
      <c r="BV47" t="n">
        <v>2020.0</v>
      </c>
      <c r="BW47" t="inlineStr">
        <is>
          <t>Yue,Y., S. Li, Z. Qian, R.F. Pereira, J. Lee, J.J. Doherty, Z. Zhang, Y. Peng, J.M. Clark, A.R. Timme-Laragy, and Y. Pa (2020). Perfluorooctanesulfonic Acid (PFOS) and Perfluorobutanesulfonic Acid (PFBS) Impaired Reproduction and Altered Offspring Physiological Functions in Caenorhabditis elegans. Food Chem. Toxicol., 145, 8 p. doi:10.1016/j.fct.2020.111695. ECOREF#:184789</t>
        </is>
      </c>
    </row>
    <row r="48">
      <c r="A48" t="n">
        <v>1763231.0</v>
      </c>
      <c r="B48" t="inlineStr">
        <is>
          <t>1,1,2,2,3,3,4,4,5,5,6,6,7,7,8,8,8-Heptadecafluoro-1-octanesulfonic acid</t>
        </is>
      </c>
      <c r="C48"/>
      <c r="D48" t="inlineStr">
        <is>
          <t>Unmeasured</t>
        </is>
      </c>
      <c r="E48" t="inlineStr">
        <is>
          <t>~</t>
        </is>
      </c>
      <c r="F48" t="n">
        <v>40.0</v>
      </c>
      <c r="G48"/>
      <c r="H48"/>
      <c r="I48"/>
      <c r="J48"/>
      <c r="K48" t="inlineStr">
        <is>
          <t>Caenorhabditis elegans</t>
        </is>
      </c>
      <c r="L48" t="inlineStr">
        <is>
          <t>Nematode</t>
        </is>
      </c>
      <c r="M48" t="inlineStr">
        <is>
          <t>Worms; Standard Test Species</t>
        </is>
      </c>
      <c r="N48" t="inlineStr">
        <is>
          <t>Young adult</t>
        </is>
      </c>
      <c r="O48"/>
      <c r="P48"/>
      <c r="Q48"/>
      <c r="R48"/>
      <c r="S48"/>
      <c r="T48"/>
      <c r="U48"/>
      <c r="V48" t="inlineStr">
        <is>
          <t>Culture medium</t>
        </is>
      </c>
      <c r="W48" t="inlineStr">
        <is>
          <t>Culture</t>
        </is>
      </c>
      <c r="X48" t="inlineStr">
        <is>
          <t>Lab</t>
        </is>
      </c>
      <c r="Y48" t="n">
        <v>4.0</v>
      </c>
      <c r="Z48" t="inlineStr">
        <is>
          <t>Formulation</t>
        </is>
      </c>
      <c r="AA48"/>
      <c r="AB48"/>
      <c r="AC48"/>
      <c r="AD48" t="n">
        <v>10.0</v>
      </c>
      <c r="AE48"/>
      <c r="AF48" t="n">
        <v>40.0</v>
      </c>
      <c r="AG48" t="inlineStr">
        <is>
          <t>uM</t>
        </is>
      </c>
      <c r="AH48"/>
      <c r="AI48"/>
      <c r="AJ48"/>
      <c r="AK48"/>
      <c r="AL48"/>
      <c r="AM48"/>
      <c r="AN48"/>
      <c r="AO48"/>
      <c r="AP48"/>
      <c r="AQ48"/>
      <c r="AR48"/>
      <c r="AS48"/>
      <c r="AT48"/>
      <c r="AU48"/>
      <c r="AV48"/>
      <c r="AW48"/>
      <c r="AX48" t="inlineStr">
        <is>
          <t>Accumulation</t>
        </is>
      </c>
      <c r="AY48" t="inlineStr">
        <is>
          <t>Residue</t>
        </is>
      </c>
      <c r="AZ48"/>
      <c r="BA48"/>
      <c r="BB48"/>
      <c r="BC48"/>
      <c r="BD48" t="n">
        <v>10.0</v>
      </c>
      <c r="BE48"/>
      <c r="BF48" t="n">
        <v>40.0</v>
      </c>
      <c r="BG48"/>
      <c r="BH48"/>
      <c r="BI48" t="inlineStr">
        <is>
          <t>uM</t>
        </is>
      </c>
      <c r="BJ48" t="inlineStr">
        <is>
          <t>Whole organism</t>
        </is>
      </c>
      <c r="BK48"/>
      <c r="BL48" t="n">
        <v>1.0</v>
      </c>
      <c r="BM48"/>
      <c r="BN48"/>
      <c r="BO48"/>
      <c r="BP48"/>
      <c r="BQ48" t="inlineStr">
        <is>
          <t>Day(s)</t>
        </is>
      </c>
      <c r="BR48" t="inlineStr">
        <is>
          <t>Yue,Y., S. Li, Z. Qian, R.F. Pereira, J. Lee, J.J. Doherty, Z. Zhang, Y. Peng, J.M. Clark, A.R. Timme-Laragy, and Y. Pa</t>
        </is>
      </c>
      <c r="BS48" t="n">
        <v>184789.0</v>
      </c>
      <c r="BT48" t="inlineStr">
        <is>
          <t>Perfluorooctanesulfonic Acid (PFOS) and Perfluorobutanesulfonic Acid (PFBS) Impaired Reproduction and Altered Offspring Physiological Functions in Caenorhabditis elegans</t>
        </is>
      </c>
      <c r="BU48" t="inlineStr">
        <is>
          <t>Food Chem. Toxicol.145:8 p.</t>
        </is>
      </c>
      <c r="BV48" t="n">
        <v>2020.0</v>
      </c>
      <c r="BW48" t="inlineStr">
        <is>
          <t>Yue,Y., S. Li, Z. Qian, R.F. Pereira, J. Lee, J.J. Doherty, Z. Zhang, Y. Peng, J.M. Clark, A.R. Timme-Laragy, and Y. Pa (2020). Perfluorooctanesulfonic Acid (PFOS) and Perfluorobutanesulfonic Acid (PFBS) Impaired Reproduction and Altered Offspring Physiological Functions in Caenorhabditis elegans. Food Chem. Toxicol., 145, 8 p. doi:10.1016/j.fct.2020.111695. ECOREF#:184789</t>
        </is>
      </c>
    </row>
    <row r="49">
      <c r="A49" t="n">
        <v>1763231.0</v>
      </c>
      <c r="B49" t="inlineStr">
        <is>
          <t>1,1,2,2,3,3,4,4,5,5,6,6,7,7,8,8,8-Heptadecafluoro-1-octanesulfonic acid</t>
        </is>
      </c>
      <c r="C49"/>
      <c r="D49" t="inlineStr">
        <is>
          <t>Unmeasured</t>
        </is>
      </c>
      <c r="E49"/>
      <c r="F49"/>
      <c r="G49"/>
      <c r="H49"/>
      <c r="I49"/>
      <c r="J49"/>
      <c r="K49" t="inlineStr">
        <is>
          <t>Caenorhabditis elegans</t>
        </is>
      </c>
      <c r="L49" t="inlineStr">
        <is>
          <t>Nematode</t>
        </is>
      </c>
      <c r="M49" t="inlineStr">
        <is>
          <t>Worms; Standard Test Species</t>
        </is>
      </c>
      <c r="N49" t="inlineStr">
        <is>
          <t>Larva</t>
        </is>
      </c>
      <c r="O49"/>
      <c r="P49" t="n">
        <v>1.0</v>
      </c>
      <c r="Q49"/>
      <c r="R49"/>
      <c r="S49"/>
      <c r="T49"/>
      <c r="U49" t="inlineStr">
        <is>
          <t>Stage</t>
        </is>
      </c>
      <c r="V49" t="inlineStr">
        <is>
          <t>Diet, unspecified</t>
        </is>
      </c>
      <c r="W49" t="inlineStr">
        <is>
          <t>Culture</t>
        </is>
      </c>
      <c r="X49" t="inlineStr">
        <is>
          <t>Lab</t>
        </is>
      </c>
      <c r="Y49" t="n">
        <v>3.0</v>
      </c>
      <c r="Z49" t="inlineStr">
        <is>
          <t>Formulation</t>
        </is>
      </c>
      <c r="AA49"/>
      <c r="AB49"/>
      <c r="AC49"/>
      <c r="AD49" t="n">
        <v>1.0</v>
      </c>
      <c r="AE49"/>
      <c r="AF49" t="n">
        <v>25.0</v>
      </c>
      <c r="AG49" t="inlineStr">
        <is>
          <t>uM</t>
        </is>
      </c>
      <c r="AH49"/>
      <c r="AI49"/>
      <c r="AJ49"/>
      <c r="AK49"/>
      <c r="AL49"/>
      <c r="AM49"/>
      <c r="AN49"/>
      <c r="AO49"/>
      <c r="AP49"/>
      <c r="AQ49"/>
      <c r="AR49"/>
      <c r="AS49"/>
      <c r="AT49"/>
      <c r="AU49"/>
      <c r="AV49"/>
      <c r="AW49"/>
      <c r="AX49" t="inlineStr">
        <is>
          <t>Accumulation</t>
        </is>
      </c>
      <c r="AY49" t="inlineStr">
        <is>
          <t>Residue</t>
        </is>
      </c>
      <c r="AZ49"/>
      <c r="BA49"/>
      <c r="BB49"/>
      <c r="BC49"/>
      <c r="BD49" t="n">
        <v>1.0</v>
      </c>
      <c r="BE49"/>
      <c r="BF49" t="n">
        <v>25.0</v>
      </c>
      <c r="BG49"/>
      <c r="BH49"/>
      <c r="BI49" t="inlineStr">
        <is>
          <t>uM</t>
        </is>
      </c>
      <c r="BJ49" t="inlineStr">
        <is>
          <t>Whole organism</t>
        </is>
      </c>
      <c r="BK49"/>
      <c r="BL49" t="n">
        <v>2.0</v>
      </c>
      <c r="BM49"/>
      <c r="BN49"/>
      <c r="BO49"/>
      <c r="BP49"/>
      <c r="BQ49" t="inlineStr">
        <is>
          <t>Day(s)</t>
        </is>
      </c>
      <c r="BR49" t="inlineStr">
        <is>
          <t>Stylianou,M., M.K. Bjornsdotter, P.E. Olsson, I. Ericson Jogsten, and J. Jass</t>
        </is>
      </c>
      <c r="BS49" t="n">
        <v>182579.0</v>
      </c>
      <c r="BT49" t="inlineStr">
        <is>
          <t>Distinct Transcriptional Response of Caenorhabditis elegans to Different Exposure Routes of Perfluorooctane Sulfonic Acid</t>
        </is>
      </c>
      <c r="BU49" t="inlineStr">
        <is>
          <t>Environ. Res.168:406-413</t>
        </is>
      </c>
      <c r="BV49" t="n">
        <v>2019.0</v>
      </c>
      <c r="BW49" t="inlineStr">
        <is>
          <t>Stylianou,M., M.K. Bjornsdotter, P.E. Olsson, I. Ericson Jogsten, and J. Jass (2019). Distinct Transcriptional Response of Caenorhabditis elegans to Different Exposure Routes of Perfluorooctane Sulfonic Acid. Environ. Res., 168, 406-413. doi:10.1016/j.envres.2018.10.019. ECOREF#:182579</t>
        </is>
      </c>
    </row>
    <row r="50">
      <c r="A50" t="n">
        <v>1763231.0</v>
      </c>
      <c r="B50" t="inlineStr">
        <is>
          <t>1,1,2,2,3,3,4,4,5,5,6,6,7,7,8,8,8-Heptadecafluoro-1-octanesulfonic acid</t>
        </is>
      </c>
      <c r="C50"/>
      <c r="D50" t="inlineStr">
        <is>
          <t>Measured</t>
        </is>
      </c>
      <c r="E50"/>
      <c r="F50"/>
      <c r="G50"/>
      <c r="H50"/>
      <c r="I50"/>
      <c r="J50"/>
      <c r="K50" t="inlineStr">
        <is>
          <t>Cepaea sp.</t>
        </is>
      </c>
      <c r="L50" t="inlineStr">
        <is>
          <t>Land Snail</t>
        </is>
      </c>
      <c r="M50" t="inlineStr">
        <is>
          <t>Molluscs</t>
        </is>
      </c>
      <c r="N50"/>
      <c r="O50"/>
      <c r="P50"/>
      <c r="Q50"/>
      <c r="R50"/>
      <c r="S50"/>
      <c r="T50"/>
      <c r="U50"/>
      <c r="V50" t="inlineStr">
        <is>
          <t>Multiple routes between application groups</t>
        </is>
      </c>
      <c r="W50" t="inlineStr">
        <is>
          <t>Natural soil</t>
        </is>
      </c>
      <c r="X50" t="inlineStr">
        <is>
          <t>Field natural</t>
        </is>
      </c>
      <c r="Y50" t="n">
        <v>2.0</v>
      </c>
      <c r="Z50" t="inlineStr">
        <is>
          <t>Active ingredient</t>
        </is>
      </c>
      <c r="AA50"/>
      <c r="AB50" t="n">
        <v>13.7</v>
      </c>
      <c r="AC50"/>
      <c r="AD50"/>
      <c r="AE50"/>
      <c r="AF50"/>
      <c r="AG50" t="inlineStr">
        <is>
          <t>ng/g dw soil</t>
        </is>
      </c>
      <c r="AH50"/>
      <c r="AI50"/>
      <c r="AJ50"/>
      <c r="AK50"/>
      <c r="AL50"/>
      <c r="AM50"/>
      <c r="AN50"/>
      <c r="AO50"/>
      <c r="AP50"/>
      <c r="AQ50"/>
      <c r="AR50"/>
      <c r="AS50"/>
      <c r="AT50"/>
      <c r="AU50"/>
      <c r="AV50"/>
      <c r="AW50"/>
      <c r="AX50" t="inlineStr">
        <is>
          <t>Accumulation</t>
        </is>
      </c>
      <c r="AY50" t="inlineStr">
        <is>
          <t>Residue</t>
        </is>
      </c>
      <c r="AZ50"/>
      <c r="BA50"/>
      <c r="BB50" t="n">
        <v>13.7</v>
      </c>
      <c r="BC50"/>
      <c r="BD50"/>
      <c r="BE50"/>
      <c r="BF50"/>
      <c r="BG50"/>
      <c r="BH50"/>
      <c r="BI50" t="inlineStr">
        <is>
          <t>ng/g dw soil</t>
        </is>
      </c>
      <c r="BJ50" t="inlineStr">
        <is>
          <t>Soft tissue</t>
        </is>
      </c>
      <c r="BK50"/>
      <c r="BL50"/>
      <c r="BM50"/>
      <c r="BN50" t="n">
        <v>21.0</v>
      </c>
      <c r="BO50"/>
      <c r="BP50" t="n">
        <v>42.0</v>
      </c>
      <c r="BQ50" t="inlineStr">
        <is>
          <t>Day(s)</t>
        </is>
      </c>
      <c r="BR50" t="inlineStr">
        <is>
          <t>Rijnders,J., L. Bervoets, E. Prinsen, M. Eens, G.T.S. Beemster, H. Abdelgawad, and T. Groffen</t>
        </is>
      </c>
      <c r="BS50" t="n">
        <v>187867.0</v>
      </c>
      <c r="BT50" t="inlineStr">
        <is>
          <t>Perfluoroalkylated Acids (PFAAs) Accumulate in Field-Exposed Snails (Cepaea sp.) and Affect Their Oxidative Status</t>
        </is>
      </c>
      <c r="BU50" t="inlineStr">
        <is>
          <t>Sci. Total Environ.790:11 p.</t>
        </is>
      </c>
      <c r="BV50" t="n">
        <v>2021.0</v>
      </c>
      <c r="BW50"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51">
      <c r="A51" t="n">
        <v>1763231.0</v>
      </c>
      <c r="B51" t="inlineStr">
        <is>
          <t>1,1,2,2,3,3,4,4,5,5,6,6,7,7,8,8,8-Heptadecafluoro-1-octanesulfonic acid</t>
        </is>
      </c>
      <c r="C51"/>
      <c r="D51" t="inlineStr">
        <is>
          <t>Measured</t>
        </is>
      </c>
      <c r="E51"/>
      <c r="F51"/>
      <c r="G51"/>
      <c r="H51"/>
      <c r="I51"/>
      <c r="J51"/>
      <c r="K51" t="inlineStr">
        <is>
          <t>Cepaea sp.</t>
        </is>
      </c>
      <c r="L51" t="inlineStr">
        <is>
          <t>Land Snail</t>
        </is>
      </c>
      <c r="M51" t="inlineStr">
        <is>
          <t>Molluscs</t>
        </is>
      </c>
      <c r="N51"/>
      <c r="O51"/>
      <c r="P51"/>
      <c r="Q51"/>
      <c r="R51"/>
      <c r="S51"/>
      <c r="T51"/>
      <c r="U51"/>
      <c r="V51" t="inlineStr">
        <is>
          <t>Multiple routes between application groups</t>
        </is>
      </c>
      <c r="W51" t="inlineStr">
        <is>
          <t>Natural soil</t>
        </is>
      </c>
      <c r="X51" t="inlineStr">
        <is>
          <t>Field natural</t>
        </is>
      </c>
      <c r="Y51" t="n">
        <v>2.0</v>
      </c>
      <c r="Z51" t="inlineStr">
        <is>
          <t>Active ingredient</t>
        </is>
      </c>
      <c r="AA51"/>
      <c r="AB51" t="n">
        <v>6.77</v>
      </c>
      <c r="AC51"/>
      <c r="AD51"/>
      <c r="AE51"/>
      <c r="AF51"/>
      <c r="AG51" t="inlineStr">
        <is>
          <t>ng/g dw soil</t>
        </is>
      </c>
      <c r="AH51"/>
      <c r="AI51"/>
      <c r="AJ51"/>
      <c r="AK51"/>
      <c r="AL51"/>
      <c r="AM51"/>
      <c r="AN51"/>
      <c r="AO51"/>
      <c r="AP51"/>
      <c r="AQ51"/>
      <c r="AR51"/>
      <c r="AS51"/>
      <c r="AT51"/>
      <c r="AU51"/>
      <c r="AV51"/>
      <c r="AW51"/>
      <c r="AX51" t="inlineStr">
        <is>
          <t>Accumulation</t>
        </is>
      </c>
      <c r="AY51" t="inlineStr">
        <is>
          <t>Residue</t>
        </is>
      </c>
      <c r="AZ51"/>
      <c r="BA51"/>
      <c r="BB51" t="n">
        <v>6.77</v>
      </c>
      <c r="BC51"/>
      <c r="BD51"/>
      <c r="BE51"/>
      <c r="BF51"/>
      <c r="BG51"/>
      <c r="BH51"/>
      <c r="BI51" t="inlineStr">
        <is>
          <t>ng/g dw soil</t>
        </is>
      </c>
      <c r="BJ51" t="inlineStr">
        <is>
          <t>Soft tissue</t>
        </is>
      </c>
      <c r="BK51"/>
      <c r="BL51"/>
      <c r="BM51"/>
      <c r="BN51" t="n">
        <v>21.0</v>
      </c>
      <c r="BO51"/>
      <c r="BP51" t="n">
        <v>42.0</v>
      </c>
      <c r="BQ51" t="inlineStr">
        <is>
          <t>Day(s)</t>
        </is>
      </c>
      <c r="BR51" t="inlineStr">
        <is>
          <t>Rijnders,J., L. Bervoets, E. Prinsen, M. Eens, G.T.S. Beemster, H. Abdelgawad, and T. Groffen</t>
        </is>
      </c>
      <c r="BS51" t="n">
        <v>187867.0</v>
      </c>
      <c r="BT51" t="inlineStr">
        <is>
          <t>Perfluoroalkylated Acids (PFAAs) Accumulate in Field-Exposed Snails (Cepaea sp.) and Affect Their Oxidative Status</t>
        </is>
      </c>
      <c r="BU51" t="inlineStr">
        <is>
          <t>Sci. Total Environ.790:11 p.</t>
        </is>
      </c>
      <c r="BV51" t="n">
        <v>2021.0</v>
      </c>
      <c r="BW51"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52">
      <c r="A52" t="n">
        <v>1763231.0</v>
      </c>
      <c r="B52" t="inlineStr">
        <is>
          <t>1,1,2,2,3,3,4,4,5,5,6,6,7,7,8,8,8-Heptadecafluoro-1-octanesulfonic acid</t>
        </is>
      </c>
      <c r="C52"/>
      <c r="D52" t="inlineStr">
        <is>
          <t>Measured</t>
        </is>
      </c>
      <c r="E52"/>
      <c r="F52"/>
      <c r="G52"/>
      <c r="H52"/>
      <c r="I52"/>
      <c r="J52"/>
      <c r="K52" t="inlineStr">
        <is>
          <t>Cepaea sp.</t>
        </is>
      </c>
      <c r="L52" t="inlineStr">
        <is>
          <t>Land Snail</t>
        </is>
      </c>
      <c r="M52" t="inlineStr">
        <is>
          <t>Molluscs</t>
        </is>
      </c>
      <c r="N52"/>
      <c r="O52"/>
      <c r="P52"/>
      <c r="Q52"/>
      <c r="R52"/>
      <c r="S52"/>
      <c r="T52"/>
      <c r="U52"/>
      <c r="V52" t="inlineStr">
        <is>
          <t>Multiple routes between application groups</t>
        </is>
      </c>
      <c r="W52" t="inlineStr">
        <is>
          <t>Natural soil</t>
        </is>
      </c>
      <c r="X52" t="inlineStr">
        <is>
          <t>Field natural</t>
        </is>
      </c>
      <c r="Y52" t="n">
        <v>2.0</v>
      </c>
      <c r="Z52" t="inlineStr">
        <is>
          <t>Active ingredient</t>
        </is>
      </c>
      <c r="AA52"/>
      <c r="AB52" t="n">
        <v>3.95</v>
      </c>
      <c r="AC52"/>
      <c r="AD52"/>
      <c r="AE52"/>
      <c r="AF52"/>
      <c r="AG52" t="inlineStr">
        <is>
          <t>ng/g dw soil</t>
        </is>
      </c>
      <c r="AH52"/>
      <c r="AI52"/>
      <c r="AJ52"/>
      <c r="AK52"/>
      <c r="AL52"/>
      <c r="AM52"/>
      <c r="AN52"/>
      <c r="AO52"/>
      <c r="AP52"/>
      <c r="AQ52"/>
      <c r="AR52"/>
      <c r="AS52"/>
      <c r="AT52"/>
      <c r="AU52"/>
      <c r="AV52"/>
      <c r="AW52"/>
      <c r="AX52" t="inlineStr">
        <is>
          <t>Accumulation</t>
        </is>
      </c>
      <c r="AY52" t="inlineStr">
        <is>
          <t>Residue</t>
        </is>
      </c>
      <c r="AZ52"/>
      <c r="BA52"/>
      <c r="BB52" t="n">
        <v>3.95</v>
      </c>
      <c r="BC52"/>
      <c r="BD52"/>
      <c r="BE52"/>
      <c r="BF52"/>
      <c r="BG52"/>
      <c r="BH52"/>
      <c r="BI52" t="inlineStr">
        <is>
          <t>ng/g dw soil</t>
        </is>
      </c>
      <c r="BJ52" t="inlineStr">
        <is>
          <t>Soft tissue</t>
        </is>
      </c>
      <c r="BK52"/>
      <c r="BL52"/>
      <c r="BM52"/>
      <c r="BN52" t="n">
        <v>21.0</v>
      </c>
      <c r="BO52"/>
      <c r="BP52" t="n">
        <v>42.0</v>
      </c>
      <c r="BQ52" t="inlineStr">
        <is>
          <t>Day(s)</t>
        </is>
      </c>
      <c r="BR52" t="inlineStr">
        <is>
          <t>Rijnders,J., L. Bervoets, E. Prinsen, M. Eens, G.T.S. Beemster, H. Abdelgawad, and T. Groffen</t>
        </is>
      </c>
      <c r="BS52" t="n">
        <v>187867.0</v>
      </c>
      <c r="BT52" t="inlineStr">
        <is>
          <t>Perfluoroalkylated Acids (PFAAs) Accumulate in Field-Exposed Snails (Cepaea sp.) and Affect Their Oxidative Status</t>
        </is>
      </c>
      <c r="BU52" t="inlineStr">
        <is>
          <t>Sci. Total Environ.790:11 p.</t>
        </is>
      </c>
      <c r="BV52" t="n">
        <v>2021.0</v>
      </c>
      <c r="BW52"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53">
      <c r="A53" t="n">
        <v>1763231.0</v>
      </c>
      <c r="B53" t="inlineStr">
        <is>
          <t>1,1,2,2,3,3,4,4,5,5,6,6,7,7,8,8,8-Heptadecafluoro-1-octanesulfonic acid</t>
        </is>
      </c>
      <c r="C53"/>
      <c r="D53" t="inlineStr">
        <is>
          <t>Measured</t>
        </is>
      </c>
      <c r="E53"/>
      <c r="F53"/>
      <c r="G53"/>
      <c r="H53"/>
      <c r="I53"/>
      <c r="J53"/>
      <c r="K53" t="inlineStr">
        <is>
          <t>Cepaea sp.</t>
        </is>
      </c>
      <c r="L53" t="inlineStr">
        <is>
          <t>Land Snail</t>
        </is>
      </c>
      <c r="M53" t="inlineStr">
        <is>
          <t>Molluscs</t>
        </is>
      </c>
      <c r="N53"/>
      <c r="O53"/>
      <c r="P53"/>
      <c r="Q53"/>
      <c r="R53"/>
      <c r="S53"/>
      <c r="T53"/>
      <c r="U53"/>
      <c r="V53" t="inlineStr">
        <is>
          <t>Multiple routes between application groups</t>
        </is>
      </c>
      <c r="W53" t="inlineStr">
        <is>
          <t>Natural soil</t>
        </is>
      </c>
      <c r="X53" t="inlineStr">
        <is>
          <t>Field natural</t>
        </is>
      </c>
      <c r="Y53" t="n">
        <v>2.0</v>
      </c>
      <c r="Z53" t="inlineStr">
        <is>
          <t>Active ingredient</t>
        </is>
      </c>
      <c r="AA53"/>
      <c r="AB53" t="n">
        <v>8.91</v>
      </c>
      <c r="AC53"/>
      <c r="AD53"/>
      <c r="AE53"/>
      <c r="AF53"/>
      <c r="AG53" t="inlineStr">
        <is>
          <t>ng/g dw soil</t>
        </is>
      </c>
      <c r="AH53"/>
      <c r="AI53"/>
      <c r="AJ53"/>
      <c r="AK53"/>
      <c r="AL53"/>
      <c r="AM53"/>
      <c r="AN53"/>
      <c r="AO53"/>
      <c r="AP53"/>
      <c r="AQ53"/>
      <c r="AR53"/>
      <c r="AS53"/>
      <c r="AT53"/>
      <c r="AU53"/>
      <c r="AV53"/>
      <c r="AW53"/>
      <c r="AX53" t="inlineStr">
        <is>
          <t>Accumulation</t>
        </is>
      </c>
      <c r="AY53" t="inlineStr">
        <is>
          <t>Residue</t>
        </is>
      </c>
      <c r="AZ53"/>
      <c r="BA53"/>
      <c r="BB53" t="n">
        <v>8.91</v>
      </c>
      <c r="BC53"/>
      <c r="BD53"/>
      <c r="BE53"/>
      <c r="BF53"/>
      <c r="BG53"/>
      <c r="BH53"/>
      <c r="BI53" t="inlineStr">
        <is>
          <t>ng/g dw soil</t>
        </is>
      </c>
      <c r="BJ53" t="inlineStr">
        <is>
          <t>Soft tissue</t>
        </is>
      </c>
      <c r="BK53"/>
      <c r="BL53"/>
      <c r="BM53"/>
      <c r="BN53" t="n">
        <v>21.0</v>
      </c>
      <c r="BO53"/>
      <c r="BP53" t="n">
        <v>42.0</v>
      </c>
      <c r="BQ53" t="inlineStr">
        <is>
          <t>Day(s)</t>
        </is>
      </c>
      <c r="BR53" t="inlineStr">
        <is>
          <t>Rijnders,J., L. Bervoets, E. Prinsen, M. Eens, G.T.S. Beemster, H. Abdelgawad, and T. Groffen</t>
        </is>
      </c>
      <c r="BS53" t="n">
        <v>187867.0</v>
      </c>
      <c r="BT53" t="inlineStr">
        <is>
          <t>Perfluoroalkylated Acids (PFAAs) Accumulate in Field-Exposed Snails (Cepaea sp.) and Affect Their Oxidative Status</t>
        </is>
      </c>
      <c r="BU53" t="inlineStr">
        <is>
          <t>Sci. Total Environ.790:11 p.</t>
        </is>
      </c>
      <c r="BV53" t="n">
        <v>2021.0</v>
      </c>
      <c r="BW53"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54">
      <c r="A54" t="n">
        <v>1763231.0</v>
      </c>
      <c r="B54" t="inlineStr">
        <is>
          <t>1,1,2,2,3,3,4,4,5,5,6,6,7,7,8,8,8-Heptadecafluoro-1-octanesulfonic acid</t>
        </is>
      </c>
      <c r="C54"/>
      <c r="D54" t="inlineStr">
        <is>
          <t>Unmeasured</t>
        </is>
      </c>
      <c r="E54"/>
      <c r="F54"/>
      <c r="G54"/>
      <c r="H54"/>
      <c r="I54"/>
      <c r="J54"/>
      <c r="K54" t="inlineStr">
        <is>
          <t>Colinus virginianus</t>
        </is>
      </c>
      <c r="L54" t="inlineStr">
        <is>
          <t>Northern Bobwhite Quail</t>
        </is>
      </c>
      <c r="M54" t="inlineStr">
        <is>
          <t>Birds; Standard Test Species</t>
        </is>
      </c>
      <c r="N54"/>
      <c r="O54"/>
      <c r="P54"/>
      <c r="Q54"/>
      <c r="R54"/>
      <c r="S54"/>
      <c r="T54"/>
      <c r="U54"/>
      <c r="V54" t="inlineStr">
        <is>
          <t>Drinking water</t>
        </is>
      </c>
      <c r="W54" t="inlineStr">
        <is>
          <t>No substrate</t>
        </is>
      </c>
      <c r="X54" t="inlineStr">
        <is>
          <t>Lab</t>
        </is>
      </c>
      <c r="Y54" t="n">
        <v>2.0</v>
      </c>
      <c r="Z54" t="inlineStr">
        <is>
          <t>Formulation</t>
        </is>
      </c>
      <c r="AA54"/>
      <c r="AB54" t="n">
        <v>8.5E-5</v>
      </c>
      <c r="AC54"/>
      <c r="AD54"/>
      <c r="AE54"/>
      <c r="AF54"/>
      <c r="AG54" t="inlineStr">
        <is>
          <t>mg/kg bdwt/d</t>
        </is>
      </c>
      <c r="AH54"/>
      <c r="AI54"/>
      <c r="AJ54"/>
      <c r="AK54"/>
      <c r="AL54"/>
      <c r="AM54"/>
      <c r="AN54"/>
      <c r="AO54"/>
      <c r="AP54"/>
      <c r="AQ54"/>
      <c r="AR54"/>
      <c r="AS54"/>
      <c r="AT54"/>
      <c r="AU54"/>
      <c r="AV54"/>
      <c r="AW54"/>
      <c r="AX54" t="inlineStr">
        <is>
          <t>Accumulation</t>
        </is>
      </c>
      <c r="AY54" t="inlineStr">
        <is>
          <t>Residue</t>
        </is>
      </c>
      <c r="AZ54" t="inlineStr">
        <is>
          <t>LOEL</t>
        </is>
      </c>
      <c r="BA54"/>
      <c r="BB54" t="n">
        <v>8.5E-5</v>
      </c>
      <c r="BC54"/>
      <c r="BD54"/>
      <c r="BE54"/>
      <c r="BF54"/>
      <c r="BG54"/>
      <c r="BH54"/>
      <c r="BI54" t="inlineStr">
        <is>
          <t>mg/kg bdwt/d</t>
        </is>
      </c>
      <c r="BJ54" t="inlineStr">
        <is>
          <t>Chorion</t>
        </is>
      </c>
      <c r="BK54"/>
      <c r="BL54" t="n">
        <v>90.0</v>
      </c>
      <c r="BM54"/>
      <c r="BN54"/>
      <c r="BO54"/>
      <c r="BP54"/>
      <c r="BQ54" t="inlineStr">
        <is>
          <t>Day(s)</t>
        </is>
      </c>
      <c r="BR54" t="inlineStr">
        <is>
          <t>Kikanme,K.N., A. Karnjanapiboonwong, R. Angappan, N.M. Dennis, F. Hossain, J.G. Suski, C.J. Salice, and T.A. Anderson</t>
        </is>
      </c>
      <c r="BS54" t="n">
        <v>195148.0</v>
      </c>
      <c r="BT54" t="inlineStr">
        <is>
          <t>Chorioallantoic Membrane of Northern Bobwhite (Colinus virginianus) as a Nonlethal Method for Evaluating Forever Chemical Exposure to Avian Offspring</t>
        </is>
      </c>
      <c r="BU54" t="inlineStr">
        <is>
          <t>Environ. Toxicol. Chem.44(10): 2911-2917</t>
        </is>
      </c>
      <c r="BV54" t="n">
        <v>2025.0</v>
      </c>
      <c r="BW54" t="inlineStr">
        <is>
          <t>Kikanme,K.N., A. Karnjanapiboonwong, R. Angappan, N.M. Dennis, F. Hossain, J.G. Suski, C.J. Salice, and T.A. Anderson (2025). Chorioallantoic Membrane of Northern Bobwhite (Colinus virginianus) as a Nonlethal Method for Evaluating Forever Chemical Exposure to Avian Offspring. Environ. Toxicol. Chem., 44, (10), 2911-2917. doi:10.1093/etojnl/vgaf152. ECOREF#:195148</t>
        </is>
      </c>
    </row>
    <row r="55">
      <c r="A55" t="n">
        <v>1763231.0</v>
      </c>
      <c r="B55" t="inlineStr">
        <is>
          <t>1,1,2,2,3,3,4,4,5,5,6,6,7,7,8,8,8-Heptadecafluoro-1-octanesulfonic acid</t>
        </is>
      </c>
      <c r="C55"/>
      <c r="D55" t="inlineStr">
        <is>
          <t>Unmeasured</t>
        </is>
      </c>
      <c r="E55"/>
      <c r="F55"/>
      <c r="G55"/>
      <c r="H55"/>
      <c r="I55"/>
      <c r="J55"/>
      <c r="K55" t="inlineStr">
        <is>
          <t>Colinus virginianus</t>
        </is>
      </c>
      <c r="L55" t="inlineStr">
        <is>
          <t>Northern Bobwhite Quail</t>
        </is>
      </c>
      <c r="M55" t="inlineStr">
        <is>
          <t>Birds; Standard Test Species</t>
        </is>
      </c>
      <c r="N55"/>
      <c r="O55"/>
      <c r="P55"/>
      <c r="Q55"/>
      <c r="R55"/>
      <c r="S55"/>
      <c r="T55"/>
      <c r="U55"/>
      <c r="V55" t="inlineStr">
        <is>
          <t>Drinking water</t>
        </is>
      </c>
      <c r="W55" t="inlineStr">
        <is>
          <t>No substrate</t>
        </is>
      </c>
      <c r="X55" t="inlineStr">
        <is>
          <t>Lab</t>
        </is>
      </c>
      <c r="Y55" t="n">
        <v>2.0</v>
      </c>
      <c r="Z55" t="inlineStr">
        <is>
          <t>Formulation</t>
        </is>
      </c>
      <c r="AA55"/>
      <c r="AB55" t="n">
        <v>0.00245</v>
      </c>
      <c r="AC55"/>
      <c r="AD55"/>
      <c r="AE55"/>
      <c r="AF55"/>
      <c r="AG55" t="inlineStr">
        <is>
          <t>mg/kg bdwt/d</t>
        </is>
      </c>
      <c r="AH55"/>
      <c r="AI55"/>
      <c r="AJ55"/>
      <c r="AK55"/>
      <c r="AL55"/>
      <c r="AM55"/>
      <c r="AN55"/>
      <c r="AO55"/>
      <c r="AP55"/>
      <c r="AQ55"/>
      <c r="AR55"/>
      <c r="AS55"/>
      <c r="AT55"/>
      <c r="AU55"/>
      <c r="AV55"/>
      <c r="AW55"/>
      <c r="AX55" t="inlineStr">
        <is>
          <t>Accumulation</t>
        </is>
      </c>
      <c r="AY55" t="inlineStr">
        <is>
          <t>Residue</t>
        </is>
      </c>
      <c r="AZ55" t="inlineStr">
        <is>
          <t>LOEL</t>
        </is>
      </c>
      <c r="BA55"/>
      <c r="BB55" t="n">
        <v>0.00245</v>
      </c>
      <c r="BC55"/>
      <c r="BD55"/>
      <c r="BE55"/>
      <c r="BF55"/>
      <c r="BG55"/>
      <c r="BH55"/>
      <c r="BI55" t="inlineStr">
        <is>
          <t>mg/kg bdwt/d</t>
        </is>
      </c>
      <c r="BJ55" t="inlineStr">
        <is>
          <t>Chorion</t>
        </is>
      </c>
      <c r="BK55"/>
      <c r="BL55" t="n">
        <v>90.0</v>
      </c>
      <c r="BM55"/>
      <c r="BN55"/>
      <c r="BO55"/>
      <c r="BP55"/>
      <c r="BQ55" t="inlineStr">
        <is>
          <t>Day(s)</t>
        </is>
      </c>
      <c r="BR55" t="inlineStr">
        <is>
          <t>Kikanme,K.N., A. Karnjanapiboonwong, R. Angappan, N.M. Dennis, F. Hossain, J.G. Suski, C.J. Salice, and T.A. Anderson</t>
        </is>
      </c>
      <c r="BS55" t="n">
        <v>195148.0</v>
      </c>
      <c r="BT55" t="inlineStr">
        <is>
          <t>Chorioallantoic Membrane of Northern Bobwhite (Colinus virginianus) as a Nonlethal Method for Evaluating Forever Chemical Exposure to Avian Offspring</t>
        </is>
      </c>
      <c r="BU55" t="inlineStr">
        <is>
          <t>Environ. Toxicol. Chem.44(10): 2911-2917</t>
        </is>
      </c>
      <c r="BV55" t="n">
        <v>2025.0</v>
      </c>
      <c r="BW55" t="inlineStr">
        <is>
          <t>Kikanme,K.N., A. Karnjanapiboonwong, R. Angappan, N.M. Dennis, F. Hossain, J.G. Suski, C.J. Salice, and T.A. Anderson (2025). Chorioallantoic Membrane of Northern Bobwhite (Colinus virginianus) as a Nonlethal Method for Evaluating Forever Chemical Exposure to Avian Offspring. Environ. Toxicol. Chem., 44, (10), 2911-2917. doi:10.1093/etojnl/vgaf152. ECOREF#:195148</t>
        </is>
      </c>
    </row>
    <row r="56">
      <c r="A56" t="n">
        <v>1763231.0</v>
      </c>
      <c r="B56" t="inlineStr">
        <is>
          <t>1,1,2,2,3,3,4,4,5,5,6,6,7,7,8,8,8-Heptadecafluoro-1-octanesulfonic acid</t>
        </is>
      </c>
      <c r="C56"/>
      <c r="D56" t="inlineStr">
        <is>
          <t>Measured</t>
        </is>
      </c>
      <c r="E56"/>
      <c r="F56" t="n">
        <v>98.0</v>
      </c>
      <c r="G56"/>
      <c r="H56"/>
      <c r="I56"/>
      <c r="J56"/>
      <c r="K56" t="inlineStr">
        <is>
          <t>Cucurbita maxima</t>
        </is>
      </c>
      <c r="L56" t="inlineStr">
        <is>
          <t>Winter Squash</t>
        </is>
      </c>
      <c r="M56" t="inlineStr">
        <is>
          <t>Flowers, Trees, Shrubs, Ferns</t>
        </is>
      </c>
      <c r="N56" t="inlineStr">
        <is>
          <t>Seedling</t>
        </is>
      </c>
      <c r="O56"/>
      <c r="P56" t="n">
        <v>7.0</v>
      </c>
      <c r="Q56"/>
      <c r="R56"/>
      <c r="S56"/>
      <c r="T56"/>
      <c r="U56" t="inlineStr">
        <is>
          <t>Day(s)</t>
        </is>
      </c>
      <c r="V56" t="inlineStr">
        <is>
          <t>Hydroponic</t>
        </is>
      </c>
      <c r="W56" t="inlineStr">
        <is>
          <t>Hydroponic</t>
        </is>
      </c>
      <c r="X56" t="inlineStr">
        <is>
          <t>Lab</t>
        </is>
      </c>
      <c r="Y56" t="n">
        <v>2.0</v>
      </c>
      <c r="Z56" t="inlineStr">
        <is>
          <t>Active ingredient</t>
        </is>
      </c>
      <c r="AA56"/>
      <c r="AB56" t="n">
        <v>1.245</v>
      </c>
      <c r="AC56"/>
      <c r="AD56"/>
      <c r="AE56"/>
      <c r="AF56"/>
      <c r="AG56" t="inlineStr">
        <is>
          <t>nmol/ml</t>
        </is>
      </c>
      <c r="AH56"/>
      <c r="AI56"/>
      <c r="AJ56"/>
      <c r="AK56"/>
      <c r="AL56"/>
      <c r="AM56"/>
      <c r="AN56"/>
      <c r="AO56"/>
      <c r="AP56"/>
      <c r="AQ56"/>
      <c r="AR56"/>
      <c r="AS56"/>
      <c r="AT56"/>
      <c r="AU56"/>
      <c r="AV56"/>
      <c r="AW56"/>
      <c r="AX56" t="inlineStr">
        <is>
          <t>Accumulation</t>
        </is>
      </c>
      <c r="AY56" t="inlineStr">
        <is>
          <t>Residue</t>
        </is>
      </c>
      <c r="AZ56" t="inlineStr">
        <is>
          <t>BCF</t>
        </is>
      </c>
      <c r="BA56"/>
      <c r="BB56"/>
      <c r="BC56"/>
      <c r="BD56" t="n">
        <v>2.0</v>
      </c>
      <c r="BE56"/>
      <c r="BF56" t="n">
        <v>4.0</v>
      </c>
      <c r="BG56"/>
      <c r="BH56"/>
      <c r="BI56" t="inlineStr">
        <is>
          <t>RA</t>
        </is>
      </c>
      <c r="BJ56" t="inlineStr">
        <is>
          <t>Whole organism</t>
        </is>
      </c>
      <c r="BK56"/>
      <c r="BL56" t="n">
        <v>12.0</v>
      </c>
      <c r="BM56"/>
      <c r="BN56"/>
      <c r="BO56"/>
      <c r="BP56"/>
      <c r="BQ56" t="inlineStr">
        <is>
          <t>Day(s)</t>
        </is>
      </c>
      <c r="BR56" t="inlineStr">
        <is>
          <t>Zhao,S., T. Liang, L. Zhu, L. Yang, T. Liu, J. Fu, B. Wang, J. Zhan, and L. Liu</t>
        </is>
      </c>
      <c r="BS56" t="n">
        <v>179523.0</v>
      </c>
      <c r="BT56" t="inlineStr">
        <is>
          <t>Fate of 6:2 Fluorotelomer Sulfonic Acid in Pumpkin (Cucurbita maxima L.) Based on Hydroponic Culture: Uptake, Translocation and Biotransformation</t>
        </is>
      </c>
      <c r="BU56" t="inlineStr">
        <is>
          <t>Environ. Pollut.252:804-812</t>
        </is>
      </c>
      <c r="BV56" t="n">
        <v>2019.0</v>
      </c>
      <c r="BW56"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row>
    <row r="57">
      <c r="A57" t="n">
        <v>1763231.0</v>
      </c>
      <c r="B57" t="inlineStr">
        <is>
          <t>1,1,2,2,3,3,4,4,5,5,6,6,7,7,8,8,8-Heptadecafluoro-1-octanesulfonic acid</t>
        </is>
      </c>
      <c r="C57"/>
      <c r="D57" t="inlineStr">
        <is>
          <t>Measured</t>
        </is>
      </c>
      <c r="E57"/>
      <c r="F57" t="n">
        <v>98.0</v>
      </c>
      <c r="G57"/>
      <c r="H57"/>
      <c r="I57"/>
      <c r="J57"/>
      <c r="K57" t="inlineStr">
        <is>
          <t>Cucurbita maxima</t>
        </is>
      </c>
      <c r="L57" t="inlineStr">
        <is>
          <t>Winter Squash</t>
        </is>
      </c>
      <c r="M57" t="inlineStr">
        <is>
          <t>Flowers, Trees, Shrubs, Ferns</t>
        </is>
      </c>
      <c r="N57" t="inlineStr">
        <is>
          <t>Seedling</t>
        </is>
      </c>
      <c r="O57"/>
      <c r="P57" t="n">
        <v>7.0</v>
      </c>
      <c r="Q57"/>
      <c r="R57"/>
      <c r="S57"/>
      <c r="T57"/>
      <c r="U57" t="inlineStr">
        <is>
          <t>Day(s)</t>
        </is>
      </c>
      <c r="V57" t="inlineStr">
        <is>
          <t>Hydroponic</t>
        </is>
      </c>
      <c r="W57" t="inlineStr">
        <is>
          <t>Hydroponic</t>
        </is>
      </c>
      <c r="X57" t="inlineStr">
        <is>
          <t>Lab</t>
        </is>
      </c>
      <c r="Y57" t="n">
        <v>2.0</v>
      </c>
      <c r="Z57" t="inlineStr">
        <is>
          <t>Active ingredient</t>
        </is>
      </c>
      <c r="AA57"/>
      <c r="AB57" t="n">
        <v>1.245</v>
      </c>
      <c r="AC57"/>
      <c r="AD57"/>
      <c r="AE57"/>
      <c r="AF57"/>
      <c r="AG57" t="inlineStr">
        <is>
          <t>nmol/ml</t>
        </is>
      </c>
      <c r="AH57"/>
      <c r="AI57"/>
      <c r="AJ57"/>
      <c r="AK57"/>
      <c r="AL57"/>
      <c r="AM57"/>
      <c r="AN57"/>
      <c r="AO57"/>
      <c r="AP57"/>
      <c r="AQ57"/>
      <c r="AR57"/>
      <c r="AS57"/>
      <c r="AT57"/>
      <c r="AU57"/>
      <c r="AV57"/>
      <c r="AW57"/>
      <c r="AX57" t="inlineStr">
        <is>
          <t>Accumulation</t>
        </is>
      </c>
      <c r="AY57" t="inlineStr">
        <is>
          <t>Residue</t>
        </is>
      </c>
      <c r="AZ57" t="inlineStr">
        <is>
          <t>BCF</t>
        </is>
      </c>
      <c r="BA57"/>
      <c r="BB57"/>
      <c r="BC57"/>
      <c r="BD57" t="n">
        <v>5.0</v>
      </c>
      <c r="BE57"/>
      <c r="BF57" t="n">
        <v>10.0</v>
      </c>
      <c r="BG57"/>
      <c r="BH57"/>
      <c r="BI57" t="inlineStr">
        <is>
          <t>RA</t>
        </is>
      </c>
      <c r="BJ57" t="inlineStr">
        <is>
          <t>Root</t>
        </is>
      </c>
      <c r="BK57"/>
      <c r="BL57" t="n">
        <v>12.0</v>
      </c>
      <c r="BM57"/>
      <c r="BN57"/>
      <c r="BO57"/>
      <c r="BP57"/>
      <c r="BQ57" t="inlineStr">
        <is>
          <t>Day(s)</t>
        </is>
      </c>
      <c r="BR57" t="inlineStr">
        <is>
          <t>Zhao,S., T. Liang, L. Zhu, L. Yang, T. Liu, J. Fu, B. Wang, J. Zhan, and L. Liu</t>
        </is>
      </c>
      <c r="BS57" t="n">
        <v>179523.0</v>
      </c>
      <c r="BT57" t="inlineStr">
        <is>
          <t>Fate of 6:2 Fluorotelomer Sulfonic Acid in Pumpkin (Cucurbita maxima L.) Based on Hydroponic Culture: Uptake, Translocation and Biotransformation</t>
        </is>
      </c>
      <c r="BU57" t="inlineStr">
        <is>
          <t>Environ. Pollut.252:804-812</t>
        </is>
      </c>
      <c r="BV57" t="n">
        <v>2019.0</v>
      </c>
      <c r="BW57"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row>
    <row r="58">
      <c r="A58" t="n">
        <v>1763231.0</v>
      </c>
      <c r="B58" t="inlineStr">
        <is>
          <t>1,1,2,2,3,3,4,4,5,5,6,6,7,7,8,8,8-Heptadecafluoro-1-octanesulfonic acid</t>
        </is>
      </c>
      <c r="C58"/>
      <c r="D58" t="inlineStr">
        <is>
          <t>Measured</t>
        </is>
      </c>
      <c r="E58"/>
      <c r="F58"/>
      <c r="G58"/>
      <c r="H58"/>
      <c r="I58"/>
      <c r="J58"/>
      <c r="K58" t="inlineStr">
        <is>
          <t>Daucus carota ssp. sativus</t>
        </is>
      </c>
      <c r="L58" t="inlineStr">
        <is>
          <t>Carrot</t>
        </is>
      </c>
      <c r="M58" t="inlineStr">
        <is>
          <t>Flowers, Trees, Shrubs, Ferns</t>
        </is>
      </c>
      <c r="N58" t="inlineStr">
        <is>
          <t>Seed</t>
        </is>
      </c>
      <c r="O58"/>
      <c r="P58"/>
      <c r="Q58"/>
      <c r="R58"/>
      <c r="S58"/>
      <c r="T58"/>
      <c r="U58"/>
      <c r="V58" t="inlineStr">
        <is>
          <t>Environmental, unspecified</t>
        </is>
      </c>
      <c r="W58" t="inlineStr">
        <is>
          <t>Artificial soil</t>
        </is>
      </c>
      <c r="X58" t="inlineStr">
        <is>
          <t>Lab</t>
        </is>
      </c>
      <c r="Y58" t="n">
        <v>3.0</v>
      </c>
      <c r="Z58" t="inlineStr">
        <is>
          <t>Active ingredient</t>
        </is>
      </c>
      <c r="AA58"/>
      <c r="AB58" t="n">
        <v>232.0</v>
      </c>
      <c r="AC58"/>
      <c r="AD58"/>
      <c r="AE58"/>
      <c r="AF58"/>
      <c r="AG58" t="inlineStr">
        <is>
          <t>ng/g soil</t>
        </is>
      </c>
      <c r="AH58"/>
      <c r="AI58"/>
      <c r="AJ58"/>
      <c r="AK58"/>
      <c r="AL58"/>
      <c r="AM58"/>
      <c r="AN58"/>
      <c r="AO58"/>
      <c r="AP58"/>
      <c r="AQ58"/>
      <c r="AR58"/>
      <c r="AS58"/>
      <c r="AT58"/>
      <c r="AU58"/>
      <c r="AV58"/>
      <c r="AW58"/>
      <c r="AX58" t="inlineStr">
        <is>
          <t>Accumulation</t>
        </is>
      </c>
      <c r="AY58" t="inlineStr">
        <is>
          <t>Residue</t>
        </is>
      </c>
      <c r="AZ58" t="inlineStr">
        <is>
          <t>BAF</t>
        </is>
      </c>
      <c r="BA58"/>
      <c r="BB58" t="n">
        <v>2.55</v>
      </c>
      <c r="BC58"/>
      <c r="BD58"/>
      <c r="BE58"/>
      <c r="BF58"/>
      <c r="BG58"/>
      <c r="BH58"/>
      <c r="BI58" t="inlineStr">
        <is>
          <t>RA</t>
        </is>
      </c>
      <c r="BJ58" t="inlineStr">
        <is>
          <t>Shoot</t>
        </is>
      </c>
      <c r="BK58"/>
      <c r="BL58" t="n">
        <v>119.0</v>
      </c>
      <c r="BM58"/>
      <c r="BN58"/>
      <c r="BO58"/>
      <c r="BP58"/>
      <c r="BQ58" t="inlineStr">
        <is>
          <t>Day(s)</t>
        </is>
      </c>
      <c r="BR58" t="inlineStr">
        <is>
          <t>Lal,M.S., M. Megharaj, R. Naidu, and M.M. Bahar</t>
        </is>
      </c>
      <c r="BS58" t="n">
        <v>184552.0</v>
      </c>
      <c r="BT58" t="inlineStr">
        <is>
          <t>Uptake of Perfluorooctane Sulfonate (PFOS) by Common Home-Grown Vegetable Plants and Potential Risks to Human Health</t>
        </is>
      </c>
      <c r="BU58" t="inlineStr">
        <is>
          <t>Environ. Technol. Innov.19:7 p.</t>
        </is>
      </c>
      <c r="BV58" t="n">
        <v>2020.0</v>
      </c>
      <c r="BW58" t="inlineStr">
        <is>
          <t>Lal,M.S., M. Megharaj, R. Naidu, and M.M. Bahar (2020). Uptake of Perfluorooctane Sulfonate (PFOS) by Common Home-Grown Vegetable Plants and Potential Risks to Human Health. Environ. Technol. Innov., 19, 7 p. doi:10.1016/j.eti.2020.100863. ECOREF#:184552</t>
        </is>
      </c>
    </row>
    <row r="59">
      <c r="A59" t="n">
        <v>1763231.0</v>
      </c>
      <c r="B59" t="inlineStr">
        <is>
          <t>1,1,2,2,3,3,4,4,5,5,6,6,7,7,8,8,8-Heptadecafluoro-1-octanesulfonic acid</t>
        </is>
      </c>
      <c r="C59"/>
      <c r="D59" t="inlineStr">
        <is>
          <t>Measured</t>
        </is>
      </c>
      <c r="E59"/>
      <c r="F59"/>
      <c r="G59"/>
      <c r="H59"/>
      <c r="I59"/>
      <c r="J59"/>
      <c r="K59" t="inlineStr">
        <is>
          <t>Daucus carota ssp. sativus</t>
        </is>
      </c>
      <c r="L59" t="inlineStr">
        <is>
          <t>Carrot</t>
        </is>
      </c>
      <c r="M59" t="inlineStr">
        <is>
          <t>Flowers, Trees, Shrubs, Ferns</t>
        </is>
      </c>
      <c r="N59" t="inlineStr">
        <is>
          <t>Seed</t>
        </is>
      </c>
      <c r="O59"/>
      <c r="P59"/>
      <c r="Q59"/>
      <c r="R59"/>
      <c r="S59"/>
      <c r="T59"/>
      <c r="U59"/>
      <c r="V59" t="inlineStr">
        <is>
          <t>Environmental, unspecified</t>
        </is>
      </c>
      <c r="W59" t="inlineStr">
        <is>
          <t>Artificial soil</t>
        </is>
      </c>
      <c r="X59" t="inlineStr">
        <is>
          <t>Lab</t>
        </is>
      </c>
      <c r="Y59" t="n">
        <v>3.0</v>
      </c>
      <c r="Z59" t="inlineStr">
        <is>
          <t>Active ingredient</t>
        </is>
      </c>
      <c r="AA59"/>
      <c r="AB59" t="n">
        <v>41947.0</v>
      </c>
      <c r="AC59"/>
      <c r="AD59"/>
      <c r="AE59"/>
      <c r="AF59"/>
      <c r="AG59" t="inlineStr">
        <is>
          <t>ng/g soil</t>
        </is>
      </c>
      <c r="AH59"/>
      <c r="AI59"/>
      <c r="AJ59"/>
      <c r="AK59"/>
      <c r="AL59"/>
      <c r="AM59"/>
      <c r="AN59"/>
      <c r="AO59"/>
      <c r="AP59"/>
      <c r="AQ59"/>
      <c r="AR59"/>
      <c r="AS59"/>
      <c r="AT59"/>
      <c r="AU59"/>
      <c r="AV59"/>
      <c r="AW59"/>
      <c r="AX59" t="inlineStr">
        <is>
          <t>Accumulation</t>
        </is>
      </c>
      <c r="AY59" t="inlineStr">
        <is>
          <t>Residue</t>
        </is>
      </c>
      <c r="AZ59" t="inlineStr">
        <is>
          <t>BAF</t>
        </is>
      </c>
      <c r="BA59"/>
      <c r="BB59" t="n">
        <v>0.54</v>
      </c>
      <c r="BC59"/>
      <c r="BD59"/>
      <c r="BE59"/>
      <c r="BF59"/>
      <c r="BG59"/>
      <c r="BH59"/>
      <c r="BI59" t="inlineStr">
        <is>
          <t>RA</t>
        </is>
      </c>
      <c r="BJ59" t="inlineStr">
        <is>
          <t>Shoot</t>
        </is>
      </c>
      <c r="BK59"/>
      <c r="BL59" t="n">
        <v>119.0</v>
      </c>
      <c r="BM59"/>
      <c r="BN59"/>
      <c r="BO59"/>
      <c r="BP59"/>
      <c r="BQ59" t="inlineStr">
        <is>
          <t>Day(s)</t>
        </is>
      </c>
      <c r="BR59" t="inlineStr">
        <is>
          <t>Lal,M.S., M. Megharaj, R. Naidu, and M.M. Bahar</t>
        </is>
      </c>
      <c r="BS59" t="n">
        <v>184552.0</v>
      </c>
      <c r="BT59" t="inlineStr">
        <is>
          <t>Uptake of Perfluorooctane Sulfonate (PFOS) by Common Home-Grown Vegetable Plants and Potential Risks to Human Health</t>
        </is>
      </c>
      <c r="BU59" t="inlineStr">
        <is>
          <t>Environ. Technol. Innov.19:7 p.</t>
        </is>
      </c>
      <c r="BV59" t="n">
        <v>2020.0</v>
      </c>
      <c r="BW59" t="inlineStr">
        <is>
          <t>Lal,M.S., M. Megharaj, R. Naidu, and M.M. Bahar (2020). Uptake of Perfluorooctane Sulfonate (PFOS) by Common Home-Grown Vegetable Plants and Potential Risks to Human Health. Environ. Technol. Innov., 19, 7 p. doi:10.1016/j.eti.2020.100863. ECOREF#:184552</t>
        </is>
      </c>
    </row>
    <row r="60">
      <c r="A60" t="n">
        <v>1763231.0</v>
      </c>
      <c r="B60" t="inlineStr">
        <is>
          <t>1,1,2,2,3,3,4,4,5,5,6,6,7,7,8,8,8-Heptadecafluoro-1-octanesulfonic acid</t>
        </is>
      </c>
      <c r="C60"/>
      <c r="D60" t="inlineStr">
        <is>
          <t>Measured</t>
        </is>
      </c>
      <c r="E60"/>
      <c r="F60"/>
      <c r="G60"/>
      <c r="H60"/>
      <c r="I60"/>
      <c r="J60"/>
      <c r="K60" t="inlineStr">
        <is>
          <t>Daucus carota ssp. sativus</t>
        </is>
      </c>
      <c r="L60" t="inlineStr">
        <is>
          <t>Carrot</t>
        </is>
      </c>
      <c r="M60" t="inlineStr">
        <is>
          <t>Flowers, Trees, Shrubs, Ferns</t>
        </is>
      </c>
      <c r="N60" t="inlineStr">
        <is>
          <t>Seed</t>
        </is>
      </c>
      <c r="O60"/>
      <c r="P60"/>
      <c r="Q60"/>
      <c r="R60"/>
      <c r="S60"/>
      <c r="T60"/>
      <c r="U60"/>
      <c r="V60" t="inlineStr">
        <is>
          <t>Environmental, unspecified</t>
        </is>
      </c>
      <c r="W60" t="inlineStr">
        <is>
          <t>Artificial soil</t>
        </is>
      </c>
      <c r="X60" t="inlineStr">
        <is>
          <t>Lab</t>
        </is>
      </c>
      <c r="Y60" t="n">
        <v>3.0</v>
      </c>
      <c r="Z60" t="inlineStr">
        <is>
          <t>Active ingredient</t>
        </is>
      </c>
      <c r="AA60"/>
      <c r="AB60" t="n">
        <v>41947.0</v>
      </c>
      <c r="AC60"/>
      <c r="AD60"/>
      <c r="AE60"/>
      <c r="AF60"/>
      <c r="AG60" t="inlineStr">
        <is>
          <t>ng/g soil</t>
        </is>
      </c>
      <c r="AH60"/>
      <c r="AI60"/>
      <c r="AJ60"/>
      <c r="AK60"/>
      <c r="AL60"/>
      <c r="AM60"/>
      <c r="AN60"/>
      <c r="AO60"/>
      <c r="AP60"/>
      <c r="AQ60"/>
      <c r="AR60"/>
      <c r="AS60"/>
      <c r="AT60"/>
      <c r="AU60"/>
      <c r="AV60"/>
      <c r="AW60"/>
      <c r="AX60" t="inlineStr">
        <is>
          <t>Accumulation</t>
        </is>
      </c>
      <c r="AY60" t="inlineStr">
        <is>
          <t>Residue</t>
        </is>
      </c>
      <c r="AZ60" t="inlineStr">
        <is>
          <t>BAF</t>
        </is>
      </c>
      <c r="BA60"/>
      <c r="BB60" t="n">
        <v>0.12</v>
      </c>
      <c r="BC60"/>
      <c r="BD60"/>
      <c r="BE60"/>
      <c r="BF60"/>
      <c r="BG60"/>
      <c r="BH60"/>
      <c r="BI60" t="inlineStr">
        <is>
          <t>RA</t>
        </is>
      </c>
      <c r="BJ60" t="inlineStr">
        <is>
          <t>Root</t>
        </is>
      </c>
      <c r="BK60"/>
      <c r="BL60" t="n">
        <v>119.0</v>
      </c>
      <c r="BM60"/>
      <c r="BN60"/>
      <c r="BO60"/>
      <c r="BP60"/>
      <c r="BQ60" t="inlineStr">
        <is>
          <t>Day(s)</t>
        </is>
      </c>
      <c r="BR60" t="inlineStr">
        <is>
          <t>Lal,M.S., M. Megharaj, R. Naidu, and M.M. Bahar</t>
        </is>
      </c>
      <c r="BS60" t="n">
        <v>184552.0</v>
      </c>
      <c r="BT60" t="inlineStr">
        <is>
          <t>Uptake of Perfluorooctane Sulfonate (PFOS) by Common Home-Grown Vegetable Plants and Potential Risks to Human Health</t>
        </is>
      </c>
      <c r="BU60" t="inlineStr">
        <is>
          <t>Environ. Technol. Innov.19:7 p.</t>
        </is>
      </c>
      <c r="BV60" t="n">
        <v>2020.0</v>
      </c>
      <c r="BW60" t="inlineStr">
        <is>
          <t>Lal,M.S., M. Megharaj, R. Naidu, and M.M. Bahar (2020). Uptake of Perfluorooctane Sulfonate (PFOS) by Common Home-Grown Vegetable Plants and Potential Risks to Human Health. Environ. Technol. Innov., 19, 7 p. doi:10.1016/j.eti.2020.100863. ECOREF#:184552</t>
        </is>
      </c>
    </row>
    <row r="61">
      <c r="A61" t="n">
        <v>1763231.0</v>
      </c>
      <c r="B61" t="inlineStr">
        <is>
          <t>1,1,2,2,3,3,4,4,5,5,6,6,7,7,8,8,8-Heptadecafluoro-1-octanesulfonic acid</t>
        </is>
      </c>
      <c r="C61"/>
      <c r="D61" t="inlineStr">
        <is>
          <t>Measured</t>
        </is>
      </c>
      <c r="E61"/>
      <c r="F61"/>
      <c r="G61"/>
      <c r="H61"/>
      <c r="I61"/>
      <c r="J61"/>
      <c r="K61" t="inlineStr">
        <is>
          <t>Daucus carota ssp. sativus</t>
        </is>
      </c>
      <c r="L61" t="inlineStr">
        <is>
          <t>Carrot</t>
        </is>
      </c>
      <c r="M61" t="inlineStr">
        <is>
          <t>Flowers, Trees, Shrubs, Ferns</t>
        </is>
      </c>
      <c r="N61" t="inlineStr">
        <is>
          <t>Seed</t>
        </is>
      </c>
      <c r="O61"/>
      <c r="P61"/>
      <c r="Q61"/>
      <c r="R61"/>
      <c r="S61"/>
      <c r="T61"/>
      <c r="U61"/>
      <c r="V61" t="inlineStr">
        <is>
          <t>Environmental, unspecified</t>
        </is>
      </c>
      <c r="W61" t="inlineStr">
        <is>
          <t>Artificial soil</t>
        </is>
      </c>
      <c r="X61" t="inlineStr">
        <is>
          <t>Lab</t>
        </is>
      </c>
      <c r="Y61" t="n">
        <v>3.0</v>
      </c>
      <c r="Z61" t="inlineStr">
        <is>
          <t>Active ingredient</t>
        </is>
      </c>
      <c r="AA61"/>
      <c r="AB61" t="n">
        <v>232.0</v>
      </c>
      <c r="AC61"/>
      <c r="AD61"/>
      <c r="AE61"/>
      <c r="AF61"/>
      <c r="AG61" t="inlineStr">
        <is>
          <t>ng/g soil</t>
        </is>
      </c>
      <c r="AH61"/>
      <c r="AI61"/>
      <c r="AJ61"/>
      <c r="AK61"/>
      <c r="AL61"/>
      <c r="AM61"/>
      <c r="AN61"/>
      <c r="AO61"/>
      <c r="AP61"/>
      <c r="AQ61"/>
      <c r="AR61"/>
      <c r="AS61"/>
      <c r="AT61"/>
      <c r="AU61"/>
      <c r="AV61"/>
      <c r="AW61"/>
      <c r="AX61" t="inlineStr">
        <is>
          <t>Accumulation</t>
        </is>
      </c>
      <c r="AY61" t="inlineStr">
        <is>
          <t>Residue</t>
        </is>
      </c>
      <c r="AZ61" t="inlineStr">
        <is>
          <t>BAF</t>
        </is>
      </c>
      <c r="BA61"/>
      <c r="BB61" t="n">
        <v>1.34</v>
      </c>
      <c r="BC61"/>
      <c r="BD61"/>
      <c r="BE61"/>
      <c r="BF61"/>
      <c r="BG61"/>
      <c r="BH61"/>
      <c r="BI61" t="inlineStr">
        <is>
          <t>RA</t>
        </is>
      </c>
      <c r="BJ61" t="inlineStr">
        <is>
          <t>Root</t>
        </is>
      </c>
      <c r="BK61"/>
      <c r="BL61" t="n">
        <v>119.0</v>
      </c>
      <c r="BM61"/>
      <c r="BN61"/>
      <c r="BO61"/>
      <c r="BP61"/>
      <c r="BQ61" t="inlineStr">
        <is>
          <t>Day(s)</t>
        </is>
      </c>
      <c r="BR61" t="inlineStr">
        <is>
          <t>Lal,M.S., M. Megharaj, R. Naidu, and M.M. Bahar</t>
        </is>
      </c>
      <c r="BS61" t="n">
        <v>184552.0</v>
      </c>
      <c r="BT61" t="inlineStr">
        <is>
          <t>Uptake of Perfluorooctane Sulfonate (PFOS) by Common Home-Grown Vegetable Plants and Potential Risks to Human Health</t>
        </is>
      </c>
      <c r="BU61" t="inlineStr">
        <is>
          <t>Environ. Technol. Innov.19:7 p.</t>
        </is>
      </c>
      <c r="BV61" t="n">
        <v>2020.0</v>
      </c>
      <c r="BW61" t="inlineStr">
        <is>
          <t>Lal,M.S., M. Megharaj, R. Naidu, and M.M. Bahar (2020). Uptake of Perfluorooctane Sulfonate (PFOS) by Common Home-Grown Vegetable Plants and Potential Risks to Human Health. Environ. Technol. Innov., 19, 7 p. doi:10.1016/j.eti.2020.100863. ECOREF#:184552</t>
        </is>
      </c>
    </row>
    <row r="62">
      <c r="A62" t="n">
        <v>1763231.0</v>
      </c>
      <c r="B62" t="inlineStr">
        <is>
          <t>1,1,2,2,3,3,4,4,5,5,6,6,7,7,8,8,8-Heptadecafluoro-1-octanesulfonic acid</t>
        </is>
      </c>
      <c r="C62"/>
      <c r="D62" t="inlineStr">
        <is>
          <t>Measured</t>
        </is>
      </c>
      <c r="E62"/>
      <c r="F62"/>
      <c r="G62"/>
      <c r="H62"/>
      <c r="I62"/>
      <c r="J62"/>
      <c r="K62" t="inlineStr">
        <is>
          <t>Daucus carota ssp. sativus</t>
        </is>
      </c>
      <c r="L62" t="inlineStr">
        <is>
          <t>Carrot</t>
        </is>
      </c>
      <c r="M62" t="inlineStr">
        <is>
          <t>Flowers, Trees, Shrubs, Ferns</t>
        </is>
      </c>
      <c r="N62" t="inlineStr">
        <is>
          <t>Seed</t>
        </is>
      </c>
      <c r="O62"/>
      <c r="P62"/>
      <c r="Q62"/>
      <c r="R62"/>
      <c r="S62"/>
      <c r="T62"/>
      <c r="U62"/>
      <c r="V62" t="inlineStr">
        <is>
          <t>Environmental, unspecified</t>
        </is>
      </c>
      <c r="W62" t="inlineStr">
        <is>
          <t>Artificial soil</t>
        </is>
      </c>
      <c r="X62" t="inlineStr">
        <is>
          <t>Lab</t>
        </is>
      </c>
      <c r="Y62" t="n">
        <v>3.0</v>
      </c>
      <c r="Z62" t="inlineStr">
        <is>
          <t>Active ingredient</t>
        </is>
      </c>
      <c r="AA62"/>
      <c r="AB62" t="n">
        <v>3817.0</v>
      </c>
      <c r="AC62"/>
      <c r="AD62"/>
      <c r="AE62"/>
      <c r="AF62"/>
      <c r="AG62" t="inlineStr">
        <is>
          <t>ng/g soil</t>
        </is>
      </c>
      <c r="AH62"/>
      <c r="AI62"/>
      <c r="AJ62"/>
      <c r="AK62"/>
      <c r="AL62"/>
      <c r="AM62"/>
      <c r="AN62"/>
      <c r="AO62"/>
      <c r="AP62"/>
      <c r="AQ62"/>
      <c r="AR62"/>
      <c r="AS62"/>
      <c r="AT62"/>
      <c r="AU62"/>
      <c r="AV62"/>
      <c r="AW62"/>
      <c r="AX62" t="inlineStr">
        <is>
          <t>Accumulation</t>
        </is>
      </c>
      <c r="AY62" t="inlineStr">
        <is>
          <t>Residue</t>
        </is>
      </c>
      <c r="AZ62" t="inlineStr">
        <is>
          <t>BAF</t>
        </is>
      </c>
      <c r="BA62"/>
      <c r="BB62" t="n">
        <v>0.17</v>
      </c>
      <c r="BC62"/>
      <c r="BD62"/>
      <c r="BE62"/>
      <c r="BF62"/>
      <c r="BG62"/>
      <c r="BH62"/>
      <c r="BI62" t="inlineStr">
        <is>
          <t>RA</t>
        </is>
      </c>
      <c r="BJ62" t="inlineStr">
        <is>
          <t>Root</t>
        </is>
      </c>
      <c r="BK62"/>
      <c r="BL62" t="n">
        <v>119.0</v>
      </c>
      <c r="BM62"/>
      <c r="BN62"/>
      <c r="BO62"/>
      <c r="BP62"/>
      <c r="BQ62" t="inlineStr">
        <is>
          <t>Day(s)</t>
        </is>
      </c>
      <c r="BR62" t="inlineStr">
        <is>
          <t>Lal,M.S., M. Megharaj, R. Naidu, and M.M. Bahar</t>
        </is>
      </c>
      <c r="BS62" t="n">
        <v>184552.0</v>
      </c>
      <c r="BT62" t="inlineStr">
        <is>
          <t>Uptake of Perfluorooctane Sulfonate (PFOS) by Common Home-Grown Vegetable Plants and Potential Risks to Human Health</t>
        </is>
      </c>
      <c r="BU62" t="inlineStr">
        <is>
          <t>Environ. Technol. Innov.19:7 p.</t>
        </is>
      </c>
      <c r="BV62" t="n">
        <v>2020.0</v>
      </c>
      <c r="BW62" t="inlineStr">
        <is>
          <t>Lal,M.S., M. Megharaj, R. Naidu, and M.M. Bahar (2020). Uptake of Perfluorooctane Sulfonate (PFOS) by Common Home-Grown Vegetable Plants and Potential Risks to Human Health. Environ. Technol. Innov., 19, 7 p. doi:10.1016/j.eti.2020.100863. ECOREF#:184552</t>
        </is>
      </c>
    </row>
    <row r="63">
      <c r="A63" t="n">
        <v>1763231.0</v>
      </c>
      <c r="B63" t="inlineStr">
        <is>
          <t>1,1,2,2,3,3,4,4,5,5,6,6,7,7,8,8,8-Heptadecafluoro-1-octanesulfonic acid</t>
        </is>
      </c>
      <c r="C63"/>
      <c r="D63" t="inlineStr">
        <is>
          <t>Measured</t>
        </is>
      </c>
      <c r="E63"/>
      <c r="F63"/>
      <c r="G63"/>
      <c r="H63"/>
      <c r="I63"/>
      <c r="J63"/>
      <c r="K63" t="inlineStr">
        <is>
          <t>Daucus carota ssp. sativus</t>
        </is>
      </c>
      <c r="L63" t="inlineStr">
        <is>
          <t>Carrot</t>
        </is>
      </c>
      <c r="M63" t="inlineStr">
        <is>
          <t>Flowers, Trees, Shrubs, Ferns</t>
        </is>
      </c>
      <c r="N63" t="inlineStr">
        <is>
          <t>Seed</t>
        </is>
      </c>
      <c r="O63"/>
      <c r="P63"/>
      <c r="Q63"/>
      <c r="R63"/>
      <c r="S63"/>
      <c r="T63"/>
      <c r="U63"/>
      <c r="V63" t="inlineStr">
        <is>
          <t>Environmental, unspecified</t>
        </is>
      </c>
      <c r="W63" t="inlineStr">
        <is>
          <t>Artificial soil</t>
        </is>
      </c>
      <c r="X63" t="inlineStr">
        <is>
          <t>Lab</t>
        </is>
      </c>
      <c r="Y63" t="n">
        <v>3.0</v>
      </c>
      <c r="Z63" t="inlineStr">
        <is>
          <t>Active ingredient</t>
        </is>
      </c>
      <c r="AA63"/>
      <c r="AB63" t="n">
        <v>3817.0</v>
      </c>
      <c r="AC63"/>
      <c r="AD63"/>
      <c r="AE63"/>
      <c r="AF63"/>
      <c r="AG63" t="inlineStr">
        <is>
          <t>ng/g soil</t>
        </is>
      </c>
      <c r="AH63"/>
      <c r="AI63"/>
      <c r="AJ63"/>
      <c r="AK63"/>
      <c r="AL63"/>
      <c r="AM63"/>
      <c r="AN63"/>
      <c r="AO63"/>
      <c r="AP63"/>
      <c r="AQ63"/>
      <c r="AR63"/>
      <c r="AS63"/>
      <c r="AT63"/>
      <c r="AU63"/>
      <c r="AV63"/>
      <c r="AW63"/>
      <c r="AX63" t="inlineStr">
        <is>
          <t>Accumulation</t>
        </is>
      </c>
      <c r="AY63" t="inlineStr">
        <is>
          <t>Residue</t>
        </is>
      </c>
      <c r="AZ63" t="inlineStr">
        <is>
          <t>BAF</t>
        </is>
      </c>
      <c r="BA63"/>
      <c r="BB63" t="n">
        <v>1.6</v>
      </c>
      <c r="BC63"/>
      <c r="BD63"/>
      <c r="BE63"/>
      <c r="BF63"/>
      <c r="BG63"/>
      <c r="BH63"/>
      <c r="BI63" t="inlineStr">
        <is>
          <t>RA</t>
        </is>
      </c>
      <c r="BJ63" t="inlineStr">
        <is>
          <t>Shoot</t>
        </is>
      </c>
      <c r="BK63"/>
      <c r="BL63" t="n">
        <v>119.0</v>
      </c>
      <c r="BM63"/>
      <c r="BN63"/>
      <c r="BO63"/>
      <c r="BP63"/>
      <c r="BQ63" t="inlineStr">
        <is>
          <t>Day(s)</t>
        </is>
      </c>
      <c r="BR63" t="inlineStr">
        <is>
          <t>Lal,M.S., M. Megharaj, R. Naidu, and M.M. Bahar</t>
        </is>
      </c>
      <c r="BS63" t="n">
        <v>184552.0</v>
      </c>
      <c r="BT63" t="inlineStr">
        <is>
          <t>Uptake of Perfluorooctane Sulfonate (PFOS) by Common Home-Grown Vegetable Plants and Potential Risks to Human Health</t>
        </is>
      </c>
      <c r="BU63" t="inlineStr">
        <is>
          <t>Environ. Technol. Innov.19:7 p.</t>
        </is>
      </c>
      <c r="BV63" t="n">
        <v>2020.0</v>
      </c>
      <c r="BW63" t="inlineStr">
        <is>
          <t>Lal,M.S., M. Megharaj, R. Naidu, and M.M. Bahar (2020). Uptake of Perfluorooctane Sulfonate (PFOS) by Common Home-Grown Vegetable Plants and Potential Risks to Human Health. Environ. Technol. Innov., 19, 7 p. doi:10.1016/j.eti.2020.100863. ECOREF#:184552</t>
        </is>
      </c>
    </row>
    <row r="64">
      <c r="A64" t="n">
        <v>1763231.0</v>
      </c>
      <c r="B64" t="inlineStr">
        <is>
          <t>1,1,2,2,3,3,4,4,5,5,6,6,7,7,8,8,8-Heptadecafluoro-1-octanesulfonic acid</t>
        </is>
      </c>
      <c r="C64"/>
      <c r="D64" t="inlineStr">
        <is>
          <t>Measured</t>
        </is>
      </c>
      <c r="E64"/>
      <c r="F64" t="n">
        <v>98.0</v>
      </c>
      <c r="G64"/>
      <c r="H64"/>
      <c r="I64"/>
      <c r="J64"/>
      <c r="K64" t="inlineStr">
        <is>
          <t>Daucus carota ssp. sativus</t>
        </is>
      </c>
      <c r="L64" t="inlineStr">
        <is>
          <t>Carrot</t>
        </is>
      </c>
      <c r="M64" t="inlineStr">
        <is>
          <t>Flowers, Trees, Shrubs, Ferns</t>
        </is>
      </c>
      <c r="N64" t="inlineStr">
        <is>
          <t>Seedling</t>
        </is>
      </c>
      <c r="O64"/>
      <c r="P64"/>
      <c r="Q64"/>
      <c r="R64" t="n">
        <v>12.0</v>
      </c>
      <c r="S64"/>
      <c r="T64" t="n">
        <v>14.0</v>
      </c>
      <c r="U64" t="inlineStr">
        <is>
          <t>Day(s)</t>
        </is>
      </c>
      <c r="V64" t="inlineStr">
        <is>
          <t>Environmental, unspecified</t>
        </is>
      </c>
      <c r="W64" t="inlineStr">
        <is>
          <t>Artificial soil</t>
        </is>
      </c>
      <c r="X64" t="inlineStr">
        <is>
          <t>Lab</t>
        </is>
      </c>
      <c r="Y64" t="n">
        <v>2.0</v>
      </c>
      <c r="Z64" t="inlineStr">
        <is>
          <t>Active ingredient</t>
        </is>
      </c>
      <c r="AA64"/>
      <c r="AB64"/>
      <c r="AC64"/>
      <c r="AD64" t="n">
        <v>324.0</v>
      </c>
      <c r="AE64"/>
      <c r="AF64" t="n">
        <v>350.0</v>
      </c>
      <c r="AG64" t="inlineStr">
        <is>
          <t>ng/g soil</t>
        </is>
      </c>
      <c r="AH64"/>
      <c r="AI64"/>
      <c r="AJ64"/>
      <c r="AK64"/>
      <c r="AL64"/>
      <c r="AM64"/>
      <c r="AN64"/>
      <c r="AO64"/>
      <c r="AP64"/>
      <c r="AQ64"/>
      <c r="AR64"/>
      <c r="AS64"/>
      <c r="AT64"/>
      <c r="AU64"/>
      <c r="AV64"/>
      <c r="AW64"/>
      <c r="AX64" t="inlineStr">
        <is>
          <t>Accumulation</t>
        </is>
      </c>
      <c r="AY64" t="inlineStr">
        <is>
          <t>Residue</t>
        </is>
      </c>
      <c r="AZ64" t="inlineStr">
        <is>
          <t>BCFD</t>
        </is>
      </c>
      <c r="BA64"/>
      <c r="BB64"/>
      <c r="BC64"/>
      <c r="BD64" t="n">
        <v>324.0</v>
      </c>
      <c r="BE64"/>
      <c r="BF64" t="n">
        <v>350.0</v>
      </c>
      <c r="BG64"/>
      <c r="BH64"/>
      <c r="BI64" t="inlineStr">
        <is>
          <t>ng/g soil</t>
        </is>
      </c>
      <c r="BJ64" t="inlineStr">
        <is>
          <t>Whole organism</t>
        </is>
      </c>
      <c r="BK64"/>
      <c r="BL64"/>
      <c r="BM64"/>
      <c r="BN64" t="n">
        <v>84.0</v>
      </c>
      <c r="BO64"/>
      <c r="BP64" t="n">
        <v>98.0</v>
      </c>
      <c r="BQ64" t="inlineStr">
        <is>
          <t>Day(s)</t>
        </is>
      </c>
      <c r="BR64" t="inlineStr">
        <is>
          <t>Bizkarguenaga,E., I. Zabaleta, L. Mijangos, A. Iparraguirre, L.A. Fernandez, A. Prieto, and O. Zuloaga</t>
        </is>
      </c>
      <c r="BS64" t="n">
        <v>184296.0</v>
      </c>
      <c r="BT64" t="inlineStr">
        <is>
          <t>Uptake of Perfluorooctanoic Acid, Perfluorooctane Sulfonate and Perfluorooctane Sulfonamide by Carrot and Lettuce from Compost Amended Soil</t>
        </is>
      </c>
      <c r="BU64" t="inlineStr">
        <is>
          <t>Sci. Total Environ.571:444-451</t>
        </is>
      </c>
      <c r="BV64" t="n">
        <v>2016.0</v>
      </c>
      <c r="BW64"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65">
      <c r="A65" t="n">
        <v>1763231.0</v>
      </c>
      <c r="B65" t="inlineStr">
        <is>
          <t>1,1,2,2,3,3,4,4,5,5,6,6,7,7,8,8,8-Heptadecafluoro-1-octanesulfonic acid</t>
        </is>
      </c>
      <c r="C65"/>
      <c r="D65" t="inlineStr">
        <is>
          <t>Measured</t>
        </is>
      </c>
      <c r="E65"/>
      <c r="F65" t="n">
        <v>98.0</v>
      </c>
      <c r="G65"/>
      <c r="H65"/>
      <c r="I65"/>
      <c r="J65"/>
      <c r="K65" t="inlineStr">
        <is>
          <t>Daucus carota ssp. sativus</t>
        </is>
      </c>
      <c r="L65" t="inlineStr">
        <is>
          <t>Carrot</t>
        </is>
      </c>
      <c r="M65" t="inlineStr">
        <is>
          <t>Flowers, Trees, Shrubs, Ferns</t>
        </is>
      </c>
      <c r="N65" t="inlineStr">
        <is>
          <t>Seedling</t>
        </is>
      </c>
      <c r="O65"/>
      <c r="P65"/>
      <c r="Q65"/>
      <c r="R65" t="n">
        <v>12.0</v>
      </c>
      <c r="S65"/>
      <c r="T65" t="n">
        <v>14.0</v>
      </c>
      <c r="U65" t="inlineStr">
        <is>
          <t>Day(s)</t>
        </is>
      </c>
      <c r="V65" t="inlineStr">
        <is>
          <t>Environmental, unspecified</t>
        </is>
      </c>
      <c r="W65" t="inlineStr">
        <is>
          <t>Artificial soil</t>
        </is>
      </c>
      <c r="X65" t="inlineStr">
        <is>
          <t>Lab</t>
        </is>
      </c>
      <c r="Y65" t="n">
        <v>2.0</v>
      </c>
      <c r="Z65" t="inlineStr">
        <is>
          <t>Active ingredient</t>
        </is>
      </c>
      <c r="AA65"/>
      <c r="AB65"/>
      <c r="AC65"/>
      <c r="AD65" t="n">
        <v>371.0</v>
      </c>
      <c r="AE65"/>
      <c r="AF65" t="n">
        <v>380.0</v>
      </c>
      <c r="AG65" t="inlineStr">
        <is>
          <t>ng/g soil</t>
        </is>
      </c>
      <c r="AH65"/>
      <c r="AI65"/>
      <c r="AJ65"/>
      <c r="AK65"/>
      <c r="AL65"/>
      <c r="AM65"/>
      <c r="AN65"/>
      <c r="AO65"/>
      <c r="AP65"/>
      <c r="AQ65"/>
      <c r="AR65"/>
      <c r="AS65"/>
      <c r="AT65"/>
      <c r="AU65"/>
      <c r="AV65"/>
      <c r="AW65"/>
      <c r="AX65" t="inlineStr">
        <is>
          <t>Accumulation</t>
        </is>
      </c>
      <c r="AY65" t="inlineStr">
        <is>
          <t>Residue</t>
        </is>
      </c>
      <c r="AZ65" t="inlineStr">
        <is>
          <t>BCFD</t>
        </is>
      </c>
      <c r="BA65"/>
      <c r="BB65"/>
      <c r="BC65"/>
      <c r="BD65" t="n">
        <v>371.0</v>
      </c>
      <c r="BE65"/>
      <c r="BF65" t="n">
        <v>380.0</v>
      </c>
      <c r="BG65"/>
      <c r="BH65"/>
      <c r="BI65" t="inlineStr">
        <is>
          <t>ng/g soil</t>
        </is>
      </c>
      <c r="BJ65" t="inlineStr">
        <is>
          <t>Whole organism</t>
        </is>
      </c>
      <c r="BK65"/>
      <c r="BL65"/>
      <c r="BM65"/>
      <c r="BN65" t="n">
        <v>84.0</v>
      </c>
      <c r="BO65"/>
      <c r="BP65" t="n">
        <v>98.0</v>
      </c>
      <c r="BQ65" t="inlineStr">
        <is>
          <t>Day(s)</t>
        </is>
      </c>
      <c r="BR65" t="inlineStr">
        <is>
          <t>Bizkarguenaga,E., I. Zabaleta, L. Mijangos, A. Iparraguirre, L.A. Fernandez, A. Prieto, and O. Zuloaga</t>
        </is>
      </c>
      <c r="BS65" t="n">
        <v>184296.0</v>
      </c>
      <c r="BT65" t="inlineStr">
        <is>
          <t>Uptake of Perfluorooctanoic Acid, Perfluorooctane Sulfonate and Perfluorooctane Sulfonamide by Carrot and Lettuce from Compost Amended Soil</t>
        </is>
      </c>
      <c r="BU65" t="inlineStr">
        <is>
          <t>Sci. Total Environ.571:444-451</t>
        </is>
      </c>
      <c r="BV65" t="n">
        <v>2016.0</v>
      </c>
      <c r="BW65"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66">
      <c r="A66" t="n">
        <v>1763231.0</v>
      </c>
      <c r="B66" t="inlineStr">
        <is>
          <t>1,1,2,2,3,3,4,4,5,5,6,6,7,7,8,8,8-Heptadecafluoro-1-octanesulfonic acid</t>
        </is>
      </c>
      <c r="C66"/>
      <c r="D66" t="inlineStr">
        <is>
          <t>Measured</t>
        </is>
      </c>
      <c r="E66"/>
      <c r="F66" t="n">
        <v>98.0</v>
      </c>
      <c r="G66"/>
      <c r="H66"/>
      <c r="I66"/>
      <c r="J66"/>
      <c r="K66" t="inlineStr">
        <is>
          <t>Daucus carota ssp. sativus</t>
        </is>
      </c>
      <c r="L66" t="inlineStr">
        <is>
          <t>Carrot</t>
        </is>
      </c>
      <c r="M66" t="inlineStr">
        <is>
          <t>Flowers, Trees, Shrubs, Ferns</t>
        </is>
      </c>
      <c r="N66" t="inlineStr">
        <is>
          <t>Seedling</t>
        </is>
      </c>
      <c r="O66"/>
      <c r="P66"/>
      <c r="Q66"/>
      <c r="R66" t="n">
        <v>12.0</v>
      </c>
      <c r="S66"/>
      <c r="T66" t="n">
        <v>14.0</v>
      </c>
      <c r="U66" t="inlineStr">
        <is>
          <t>Day(s)</t>
        </is>
      </c>
      <c r="V66" t="inlineStr">
        <is>
          <t>Environmental, unspecified</t>
        </is>
      </c>
      <c r="W66" t="inlineStr">
        <is>
          <t>Artificial soil</t>
        </is>
      </c>
      <c r="X66" t="inlineStr">
        <is>
          <t>Lab</t>
        </is>
      </c>
      <c r="Y66" t="n">
        <v>2.0</v>
      </c>
      <c r="Z66" t="inlineStr">
        <is>
          <t>Active ingredient</t>
        </is>
      </c>
      <c r="AA66"/>
      <c r="AB66"/>
      <c r="AC66"/>
      <c r="AD66" t="n">
        <v>401.0</v>
      </c>
      <c r="AE66"/>
      <c r="AF66" t="n">
        <v>415.0</v>
      </c>
      <c r="AG66" t="inlineStr">
        <is>
          <t>ng/g soil</t>
        </is>
      </c>
      <c r="AH66"/>
      <c r="AI66"/>
      <c r="AJ66"/>
      <c r="AK66"/>
      <c r="AL66"/>
      <c r="AM66"/>
      <c r="AN66"/>
      <c r="AO66"/>
      <c r="AP66"/>
      <c r="AQ66"/>
      <c r="AR66"/>
      <c r="AS66"/>
      <c r="AT66"/>
      <c r="AU66"/>
      <c r="AV66"/>
      <c r="AW66"/>
      <c r="AX66" t="inlineStr">
        <is>
          <t>Accumulation</t>
        </is>
      </c>
      <c r="AY66" t="inlineStr">
        <is>
          <t>Residue</t>
        </is>
      </c>
      <c r="AZ66" t="inlineStr">
        <is>
          <t>BCFD</t>
        </is>
      </c>
      <c r="BA66"/>
      <c r="BB66"/>
      <c r="BC66"/>
      <c r="BD66" t="n">
        <v>401.0</v>
      </c>
      <c r="BE66"/>
      <c r="BF66" t="n">
        <v>415.0</v>
      </c>
      <c r="BG66"/>
      <c r="BH66"/>
      <c r="BI66" t="inlineStr">
        <is>
          <t>ng/g soil</t>
        </is>
      </c>
      <c r="BJ66" t="inlineStr">
        <is>
          <t>Whole organism</t>
        </is>
      </c>
      <c r="BK66"/>
      <c r="BL66"/>
      <c r="BM66"/>
      <c r="BN66" t="n">
        <v>84.0</v>
      </c>
      <c r="BO66"/>
      <c r="BP66" t="n">
        <v>98.0</v>
      </c>
      <c r="BQ66" t="inlineStr">
        <is>
          <t>Day(s)</t>
        </is>
      </c>
      <c r="BR66" t="inlineStr">
        <is>
          <t>Bizkarguenaga,E., I. Zabaleta, L. Mijangos, A. Iparraguirre, L.A. Fernandez, A. Prieto, and O. Zuloaga</t>
        </is>
      </c>
      <c r="BS66" t="n">
        <v>184296.0</v>
      </c>
      <c r="BT66" t="inlineStr">
        <is>
          <t>Uptake of Perfluorooctanoic Acid, Perfluorooctane Sulfonate and Perfluorooctane Sulfonamide by Carrot and Lettuce from Compost Amended Soil</t>
        </is>
      </c>
      <c r="BU66" t="inlineStr">
        <is>
          <t>Sci. Total Environ.571:444-451</t>
        </is>
      </c>
      <c r="BV66" t="n">
        <v>2016.0</v>
      </c>
      <c r="BW66"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67">
      <c r="A67" t="n">
        <v>1763231.0</v>
      </c>
      <c r="B67" t="inlineStr">
        <is>
          <t>1,1,2,2,3,3,4,4,5,5,6,6,7,7,8,8,8-Heptadecafluoro-1-octanesulfonic acid</t>
        </is>
      </c>
      <c r="C67"/>
      <c r="D67" t="inlineStr">
        <is>
          <t>Measured</t>
        </is>
      </c>
      <c r="E67"/>
      <c r="F67" t="n">
        <v>98.0</v>
      </c>
      <c r="G67"/>
      <c r="H67"/>
      <c r="I67"/>
      <c r="J67"/>
      <c r="K67" t="inlineStr">
        <is>
          <t>Daucus carota ssp. sativus</t>
        </is>
      </c>
      <c r="L67" t="inlineStr">
        <is>
          <t>Carrot</t>
        </is>
      </c>
      <c r="M67" t="inlineStr">
        <is>
          <t>Flowers, Trees, Shrubs, Ferns</t>
        </is>
      </c>
      <c r="N67" t="inlineStr">
        <is>
          <t>Seedling</t>
        </is>
      </c>
      <c r="O67"/>
      <c r="P67"/>
      <c r="Q67"/>
      <c r="R67" t="n">
        <v>12.0</v>
      </c>
      <c r="S67"/>
      <c r="T67" t="n">
        <v>14.0</v>
      </c>
      <c r="U67" t="inlineStr">
        <is>
          <t>Day(s)</t>
        </is>
      </c>
      <c r="V67" t="inlineStr">
        <is>
          <t>Environmental, unspecified</t>
        </is>
      </c>
      <c r="W67" t="inlineStr">
        <is>
          <t>Artificial soil</t>
        </is>
      </c>
      <c r="X67" t="inlineStr">
        <is>
          <t>Lab</t>
        </is>
      </c>
      <c r="Y67" t="n">
        <v>2.0</v>
      </c>
      <c r="Z67" t="inlineStr">
        <is>
          <t>Active ingredient</t>
        </is>
      </c>
      <c r="AA67"/>
      <c r="AB67"/>
      <c r="AC67"/>
      <c r="AD67" t="n">
        <v>432.0</v>
      </c>
      <c r="AE67"/>
      <c r="AF67" t="n">
        <v>480.0</v>
      </c>
      <c r="AG67" t="inlineStr">
        <is>
          <t>ng/g soil</t>
        </is>
      </c>
      <c r="AH67"/>
      <c r="AI67"/>
      <c r="AJ67"/>
      <c r="AK67"/>
      <c r="AL67"/>
      <c r="AM67"/>
      <c r="AN67"/>
      <c r="AO67"/>
      <c r="AP67"/>
      <c r="AQ67"/>
      <c r="AR67"/>
      <c r="AS67"/>
      <c r="AT67"/>
      <c r="AU67"/>
      <c r="AV67"/>
      <c r="AW67"/>
      <c r="AX67" t="inlineStr">
        <is>
          <t>Accumulation</t>
        </is>
      </c>
      <c r="AY67" t="inlineStr">
        <is>
          <t>Residue</t>
        </is>
      </c>
      <c r="AZ67" t="inlineStr">
        <is>
          <t>BCFD</t>
        </is>
      </c>
      <c r="BA67"/>
      <c r="BB67"/>
      <c r="BC67"/>
      <c r="BD67" t="n">
        <v>432.0</v>
      </c>
      <c r="BE67"/>
      <c r="BF67" t="n">
        <v>480.0</v>
      </c>
      <c r="BG67"/>
      <c r="BH67"/>
      <c r="BI67" t="inlineStr">
        <is>
          <t>ng/g soil</t>
        </is>
      </c>
      <c r="BJ67" t="inlineStr">
        <is>
          <t>Whole organism</t>
        </is>
      </c>
      <c r="BK67"/>
      <c r="BL67"/>
      <c r="BM67"/>
      <c r="BN67" t="n">
        <v>84.0</v>
      </c>
      <c r="BO67"/>
      <c r="BP67" t="n">
        <v>98.0</v>
      </c>
      <c r="BQ67" t="inlineStr">
        <is>
          <t>Day(s)</t>
        </is>
      </c>
      <c r="BR67" t="inlineStr">
        <is>
          <t>Bizkarguenaga,E., I. Zabaleta, L. Mijangos, A. Iparraguirre, L.A. Fernandez, A. Prieto, and O. Zuloaga</t>
        </is>
      </c>
      <c r="BS67" t="n">
        <v>184296.0</v>
      </c>
      <c r="BT67" t="inlineStr">
        <is>
          <t>Uptake of Perfluorooctanoic Acid, Perfluorooctane Sulfonate and Perfluorooctane Sulfonamide by Carrot and Lettuce from Compost Amended Soil</t>
        </is>
      </c>
      <c r="BU67" t="inlineStr">
        <is>
          <t>Sci. Total Environ.571:444-451</t>
        </is>
      </c>
      <c r="BV67" t="n">
        <v>2016.0</v>
      </c>
      <c r="BW67"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68">
      <c r="A68" t="n">
        <v>1763231.0</v>
      </c>
      <c r="B68" t="inlineStr">
        <is>
          <t>1,1,2,2,3,3,4,4,5,5,6,6,7,7,8,8,8-Heptadecafluoro-1-octanesulfonic acid</t>
        </is>
      </c>
      <c r="C68"/>
      <c r="D68" t="inlineStr">
        <is>
          <t>Measured</t>
        </is>
      </c>
      <c r="E68"/>
      <c r="F68" t="n">
        <v>98.0</v>
      </c>
      <c r="G68"/>
      <c r="H68"/>
      <c r="I68"/>
      <c r="J68"/>
      <c r="K68" t="inlineStr">
        <is>
          <t>Daucus carota ssp. sativus</t>
        </is>
      </c>
      <c r="L68" t="inlineStr">
        <is>
          <t>Carrot</t>
        </is>
      </c>
      <c r="M68" t="inlineStr">
        <is>
          <t>Flowers, Trees, Shrubs, Ferns</t>
        </is>
      </c>
      <c r="N68" t="inlineStr">
        <is>
          <t>Seedling</t>
        </is>
      </c>
      <c r="O68"/>
      <c r="P68"/>
      <c r="Q68"/>
      <c r="R68" t="n">
        <v>12.0</v>
      </c>
      <c r="S68"/>
      <c r="T68" t="n">
        <v>14.0</v>
      </c>
      <c r="U68" t="inlineStr">
        <is>
          <t>Day(s)</t>
        </is>
      </c>
      <c r="V68" t="inlineStr">
        <is>
          <t>Environmental, unspecified</t>
        </is>
      </c>
      <c r="W68" t="inlineStr">
        <is>
          <t>Artificial soil</t>
        </is>
      </c>
      <c r="X68" t="inlineStr">
        <is>
          <t>Lab</t>
        </is>
      </c>
      <c r="Y68" t="n">
        <v>2.0</v>
      </c>
      <c r="Z68" t="inlineStr">
        <is>
          <t>Active ingredient</t>
        </is>
      </c>
      <c r="AA68"/>
      <c r="AB68"/>
      <c r="AC68"/>
      <c r="AD68" t="n">
        <v>298.0</v>
      </c>
      <c r="AE68"/>
      <c r="AF68" t="n">
        <v>625.0</v>
      </c>
      <c r="AG68" t="inlineStr">
        <is>
          <t>ng/g soil</t>
        </is>
      </c>
      <c r="AH68"/>
      <c r="AI68"/>
      <c r="AJ68"/>
      <c r="AK68"/>
      <c r="AL68"/>
      <c r="AM68"/>
      <c r="AN68"/>
      <c r="AO68"/>
      <c r="AP68"/>
      <c r="AQ68"/>
      <c r="AR68"/>
      <c r="AS68"/>
      <c r="AT68"/>
      <c r="AU68"/>
      <c r="AV68"/>
      <c r="AW68"/>
      <c r="AX68" t="inlineStr">
        <is>
          <t>Accumulation</t>
        </is>
      </c>
      <c r="AY68" t="inlineStr">
        <is>
          <t>Residue</t>
        </is>
      </c>
      <c r="AZ68" t="inlineStr">
        <is>
          <t>BCFD</t>
        </is>
      </c>
      <c r="BA68"/>
      <c r="BB68"/>
      <c r="BC68"/>
      <c r="BD68" t="n">
        <v>298.0</v>
      </c>
      <c r="BE68"/>
      <c r="BF68" t="n">
        <v>625.0</v>
      </c>
      <c r="BG68"/>
      <c r="BH68"/>
      <c r="BI68" t="inlineStr">
        <is>
          <t>ng/g soil</t>
        </is>
      </c>
      <c r="BJ68" t="inlineStr">
        <is>
          <t>Root</t>
        </is>
      </c>
      <c r="BK68"/>
      <c r="BL68"/>
      <c r="BM68"/>
      <c r="BN68" t="n">
        <v>84.0</v>
      </c>
      <c r="BO68"/>
      <c r="BP68" t="n">
        <v>98.0</v>
      </c>
      <c r="BQ68" t="inlineStr">
        <is>
          <t>Day(s)</t>
        </is>
      </c>
      <c r="BR68" t="inlineStr">
        <is>
          <t>Bizkarguenaga,E., I. Zabaleta, L. Mijangos, A. Iparraguirre, L.A. Fernandez, A. Prieto, and O. Zuloaga</t>
        </is>
      </c>
      <c r="BS68" t="n">
        <v>184296.0</v>
      </c>
      <c r="BT68" t="inlineStr">
        <is>
          <t>Uptake of Perfluorooctanoic Acid, Perfluorooctane Sulfonate and Perfluorooctane Sulfonamide by Carrot and Lettuce from Compost Amended Soil</t>
        </is>
      </c>
      <c r="BU68" t="inlineStr">
        <is>
          <t>Sci. Total Environ.571:444-451</t>
        </is>
      </c>
      <c r="BV68" t="n">
        <v>2016.0</v>
      </c>
      <c r="BW68"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69">
      <c r="A69" t="n">
        <v>1763231.0</v>
      </c>
      <c r="B69" t="inlineStr">
        <is>
          <t>1,1,2,2,3,3,4,4,5,5,6,6,7,7,8,8,8-Heptadecafluoro-1-octanesulfonic acid</t>
        </is>
      </c>
      <c r="C69"/>
      <c r="D69" t="inlineStr">
        <is>
          <t>Measured</t>
        </is>
      </c>
      <c r="E69"/>
      <c r="F69" t="n">
        <v>98.0</v>
      </c>
      <c r="G69"/>
      <c r="H69"/>
      <c r="I69"/>
      <c r="J69"/>
      <c r="K69" t="inlineStr">
        <is>
          <t>Daucus carota ssp. sativus</t>
        </is>
      </c>
      <c r="L69" t="inlineStr">
        <is>
          <t>Carrot</t>
        </is>
      </c>
      <c r="M69" t="inlineStr">
        <is>
          <t>Flowers, Trees, Shrubs, Ferns</t>
        </is>
      </c>
      <c r="N69" t="inlineStr">
        <is>
          <t>Seedling</t>
        </is>
      </c>
      <c r="O69"/>
      <c r="P69"/>
      <c r="Q69"/>
      <c r="R69" t="n">
        <v>12.0</v>
      </c>
      <c r="S69"/>
      <c r="T69" t="n">
        <v>14.0</v>
      </c>
      <c r="U69" t="inlineStr">
        <is>
          <t>Day(s)</t>
        </is>
      </c>
      <c r="V69" t="inlineStr">
        <is>
          <t>Environmental, unspecified</t>
        </is>
      </c>
      <c r="W69" t="inlineStr">
        <is>
          <t>Artificial soil</t>
        </is>
      </c>
      <c r="X69" t="inlineStr">
        <is>
          <t>Lab</t>
        </is>
      </c>
      <c r="Y69" t="n">
        <v>2.0</v>
      </c>
      <c r="Z69" t="inlineStr">
        <is>
          <t>Active ingredient</t>
        </is>
      </c>
      <c r="AA69"/>
      <c r="AB69"/>
      <c r="AC69"/>
      <c r="AD69" t="n">
        <v>298.0</v>
      </c>
      <c r="AE69"/>
      <c r="AF69" t="n">
        <v>625.0</v>
      </c>
      <c r="AG69" t="inlineStr">
        <is>
          <t>ng/g soil</t>
        </is>
      </c>
      <c r="AH69"/>
      <c r="AI69"/>
      <c r="AJ69"/>
      <c r="AK69"/>
      <c r="AL69"/>
      <c r="AM69"/>
      <c r="AN69"/>
      <c r="AO69"/>
      <c r="AP69"/>
      <c r="AQ69"/>
      <c r="AR69"/>
      <c r="AS69"/>
      <c r="AT69"/>
      <c r="AU69"/>
      <c r="AV69"/>
      <c r="AW69"/>
      <c r="AX69" t="inlineStr">
        <is>
          <t>Accumulation</t>
        </is>
      </c>
      <c r="AY69" t="inlineStr">
        <is>
          <t>Residue</t>
        </is>
      </c>
      <c r="AZ69" t="inlineStr">
        <is>
          <t>BCFD</t>
        </is>
      </c>
      <c r="BA69"/>
      <c r="BB69"/>
      <c r="BC69"/>
      <c r="BD69" t="n">
        <v>298.0</v>
      </c>
      <c r="BE69"/>
      <c r="BF69" t="n">
        <v>625.0</v>
      </c>
      <c r="BG69"/>
      <c r="BH69"/>
      <c r="BI69" t="inlineStr">
        <is>
          <t>ng/g soil</t>
        </is>
      </c>
      <c r="BJ69" t="inlineStr">
        <is>
          <t>Root</t>
        </is>
      </c>
      <c r="BK69"/>
      <c r="BL69"/>
      <c r="BM69"/>
      <c r="BN69" t="n">
        <v>84.0</v>
      </c>
      <c r="BO69"/>
      <c r="BP69" t="n">
        <v>98.0</v>
      </c>
      <c r="BQ69" t="inlineStr">
        <is>
          <t>Day(s)</t>
        </is>
      </c>
      <c r="BR69" t="inlineStr">
        <is>
          <t>Bizkarguenaga,E., I. Zabaleta, L. Mijangos, A. Iparraguirre, L.A. Fernandez, A. Prieto, and O. Zuloaga</t>
        </is>
      </c>
      <c r="BS69" t="n">
        <v>184296.0</v>
      </c>
      <c r="BT69" t="inlineStr">
        <is>
          <t>Uptake of Perfluorooctanoic Acid, Perfluorooctane Sulfonate and Perfluorooctane Sulfonamide by Carrot and Lettuce from Compost Amended Soil</t>
        </is>
      </c>
      <c r="BU69" t="inlineStr">
        <is>
          <t>Sci. Total Environ.571:444-451</t>
        </is>
      </c>
      <c r="BV69" t="n">
        <v>2016.0</v>
      </c>
      <c r="BW69"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70">
      <c r="A70" t="n">
        <v>1763231.0</v>
      </c>
      <c r="B70" t="inlineStr">
        <is>
          <t>1,1,2,2,3,3,4,4,5,5,6,6,7,7,8,8,8-Heptadecafluoro-1-octanesulfonic acid</t>
        </is>
      </c>
      <c r="C70"/>
      <c r="D70" t="inlineStr">
        <is>
          <t>Measured</t>
        </is>
      </c>
      <c r="E70"/>
      <c r="F70" t="n">
        <v>98.0</v>
      </c>
      <c r="G70"/>
      <c r="H70"/>
      <c r="I70"/>
      <c r="J70"/>
      <c r="K70" t="inlineStr">
        <is>
          <t>Daucus carota ssp. sativus</t>
        </is>
      </c>
      <c r="L70" t="inlineStr">
        <is>
          <t>Carrot</t>
        </is>
      </c>
      <c r="M70" t="inlineStr">
        <is>
          <t>Flowers, Trees, Shrubs, Ferns</t>
        </is>
      </c>
      <c r="N70" t="inlineStr">
        <is>
          <t>Seedling</t>
        </is>
      </c>
      <c r="O70"/>
      <c r="P70"/>
      <c r="Q70"/>
      <c r="R70" t="n">
        <v>12.0</v>
      </c>
      <c r="S70"/>
      <c r="T70" t="n">
        <v>14.0</v>
      </c>
      <c r="U70" t="inlineStr">
        <is>
          <t>Day(s)</t>
        </is>
      </c>
      <c r="V70" t="inlineStr">
        <is>
          <t>Environmental, unspecified</t>
        </is>
      </c>
      <c r="W70" t="inlineStr">
        <is>
          <t>Artificial soil</t>
        </is>
      </c>
      <c r="X70" t="inlineStr">
        <is>
          <t>Lab</t>
        </is>
      </c>
      <c r="Y70" t="n">
        <v>2.0</v>
      </c>
      <c r="Z70" t="inlineStr">
        <is>
          <t>Active ingredient</t>
        </is>
      </c>
      <c r="AA70"/>
      <c r="AB70"/>
      <c r="AC70"/>
      <c r="AD70" t="n">
        <v>298.0</v>
      </c>
      <c r="AE70"/>
      <c r="AF70" t="n">
        <v>625.0</v>
      </c>
      <c r="AG70" t="inlineStr">
        <is>
          <t>ng/g soil</t>
        </is>
      </c>
      <c r="AH70"/>
      <c r="AI70"/>
      <c r="AJ70"/>
      <c r="AK70"/>
      <c r="AL70"/>
      <c r="AM70"/>
      <c r="AN70"/>
      <c r="AO70"/>
      <c r="AP70"/>
      <c r="AQ70"/>
      <c r="AR70"/>
      <c r="AS70"/>
      <c r="AT70"/>
      <c r="AU70"/>
      <c r="AV70"/>
      <c r="AW70"/>
      <c r="AX70" t="inlineStr">
        <is>
          <t>Accumulation</t>
        </is>
      </c>
      <c r="AY70" t="inlineStr">
        <is>
          <t>Residue</t>
        </is>
      </c>
      <c r="AZ70" t="inlineStr">
        <is>
          <t>BCFD</t>
        </is>
      </c>
      <c r="BA70"/>
      <c r="BB70"/>
      <c r="BC70"/>
      <c r="BD70" t="n">
        <v>298.0</v>
      </c>
      <c r="BE70"/>
      <c r="BF70" t="n">
        <v>625.0</v>
      </c>
      <c r="BG70"/>
      <c r="BH70"/>
      <c r="BI70" t="inlineStr">
        <is>
          <t>ng/g soil</t>
        </is>
      </c>
      <c r="BJ70" t="inlineStr">
        <is>
          <t>Leafneedle</t>
        </is>
      </c>
      <c r="BK70"/>
      <c r="BL70"/>
      <c r="BM70"/>
      <c r="BN70" t="n">
        <v>84.0</v>
      </c>
      <c r="BO70"/>
      <c r="BP70" t="n">
        <v>98.0</v>
      </c>
      <c r="BQ70" t="inlineStr">
        <is>
          <t>Day(s)</t>
        </is>
      </c>
      <c r="BR70" t="inlineStr">
        <is>
          <t>Bizkarguenaga,E., I. Zabaleta, L. Mijangos, A. Iparraguirre, L.A. Fernandez, A. Prieto, and O. Zuloaga</t>
        </is>
      </c>
      <c r="BS70" t="n">
        <v>184296.0</v>
      </c>
      <c r="BT70" t="inlineStr">
        <is>
          <t>Uptake of Perfluorooctanoic Acid, Perfluorooctane Sulfonate and Perfluorooctane Sulfonamide by Carrot and Lettuce from Compost Amended Soil</t>
        </is>
      </c>
      <c r="BU70" t="inlineStr">
        <is>
          <t>Sci. Total Environ.571:444-451</t>
        </is>
      </c>
      <c r="BV70" t="n">
        <v>2016.0</v>
      </c>
      <c r="BW70"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71">
      <c r="A71" t="n">
        <v>1763231.0</v>
      </c>
      <c r="B71" t="inlineStr">
        <is>
          <t>1,1,2,2,3,3,4,4,5,5,6,6,7,7,8,8,8-Heptadecafluoro-1-octanesulfonic acid</t>
        </is>
      </c>
      <c r="C71"/>
      <c r="D71" t="inlineStr">
        <is>
          <t>Measured</t>
        </is>
      </c>
      <c r="E71"/>
      <c r="F71" t="n">
        <v>98.0</v>
      </c>
      <c r="G71"/>
      <c r="H71"/>
      <c r="I71"/>
      <c r="J71"/>
      <c r="K71" t="inlineStr">
        <is>
          <t>Daucus carota ssp. sativus</t>
        </is>
      </c>
      <c r="L71" t="inlineStr">
        <is>
          <t>Carrot</t>
        </is>
      </c>
      <c r="M71" t="inlineStr">
        <is>
          <t>Flowers, Trees, Shrubs, Ferns</t>
        </is>
      </c>
      <c r="N71" t="inlineStr">
        <is>
          <t>Seedling</t>
        </is>
      </c>
      <c r="O71"/>
      <c r="P71"/>
      <c r="Q71"/>
      <c r="R71" t="n">
        <v>12.0</v>
      </c>
      <c r="S71"/>
      <c r="T71" t="n">
        <v>14.0</v>
      </c>
      <c r="U71" t="inlineStr">
        <is>
          <t>Day(s)</t>
        </is>
      </c>
      <c r="V71" t="inlineStr">
        <is>
          <t>Environmental, unspecified</t>
        </is>
      </c>
      <c r="W71" t="inlineStr">
        <is>
          <t>Artificial soil</t>
        </is>
      </c>
      <c r="X71" t="inlineStr">
        <is>
          <t>Lab</t>
        </is>
      </c>
      <c r="Y71" t="n">
        <v>2.0</v>
      </c>
      <c r="Z71" t="inlineStr">
        <is>
          <t>Active ingredient</t>
        </is>
      </c>
      <c r="AA71"/>
      <c r="AB71"/>
      <c r="AC71"/>
      <c r="AD71" t="n">
        <v>505.0</v>
      </c>
      <c r="AE71"/>
      <c r="AF71" t="n">
        <v>625.0</v>
      </c>
      <c r="AG71" t="inlineStr">
        <is>
          <t>ng/g soil</t>
        </is>
      </c>
      <c r="AH71"/>
      <c r="AI71"/>
      <c r="AJ71"/>
      <c r="AK71"/>
      <c r="AL71"/>
      <c r="AM71"/>
      <c r="AN71"/>
      <c r="AO71"/>
      <c r="AP71"/>
      <c r="AQ71"/>
      <c r="AR71"/>
      <c r="AS71"/>
      <c r="AT71"/>
      <c r="AU71"/>
      <c r="AV71"/>
      <c r="AW71"/>
      <c r="AX71" t="inlineStr">
        <is>
          <t>Accumulation</t>
        </is>
      </c>
      <c r="AY71" t="inlineStr">
        <is>
          <t>Residue</t>
        </is>
      </c>
      <c r="AZ71" t="inlineStr">
        <is>
          <t>BCFD</t>
        </is>
      </c>
      <c r="BA71"/>
      <c r="BB71"/>
      <c r="BC71"/>
      <c r="BD71" t="n">
        <v>505.0</v>
      </c>
      <c r="BE71"/>
      <c r="BF71" t="n">
        <v>625.0</v>
      </c>
      <c r="BG71"/>
      <c r="BH71"/>
      <c r="BI71" t="inlineStr">
        <is>
          <t>ng/g soil</t>
        </is>
      </c>
      <c r="BJ71" t="inlineStr">
        <is>
          <t>Whole organism</t>
        </is>
      </c>
      <c r="BK71"/>
      <c r="BL71"/>
      <c r="BM71"/>
      <c r="BN71" t="n">
        <v>84.0</v>
      </c>
      <c r="BO71"/>
      <c r="BP71" t="n">
        <v>98.0</v>
      </c>
      <c r="BQ71" t="inlineStr">
        <is>
          <t>Day(s)</t>
        </is>
      </c>
      <c r="BR71" t="inlineStr">
        <is>
          <t>Bizkarguenaga,E., I. Zabaleta, L. Mijangos, A. Iparraguirre, L.A. Fernandez, A. Prieto, and O. Zuloaga</t>
        </is>
      </c>
      <c r="BS71" t="n">
        <v>184296.0</v>
      </c>
      <c r="BT71" t="inlineStr">
        <is>
          <t>Uptake of Perfluorooctanoic Acid, Perfluorooctane Sulfonate and Perfluorooctane Sulfonamide by Carrot and Lettuce from Compost Amended Soil</t>
        </is>
      </c>
      <c r="BU71" t="inlineStr">
        <is>
          <t>Sci. Total Environ.571:444-451</t>
        </is>
      </c>
      <c r="BV71" t="n">
        <v>2016.0</v>
      </c>
      <c r="BW71"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72">
      <c r="A72" t="n">
        <v>1763231.0</v>
      </c>
      <c r="B72" t="inlineStr">
        <is>
          <t>1,1,2,2,3,3,4,4,5,5,6,6,7,7,8,8,8-Heptadecafluoro-1-octanesulfonic acid</t>
        </is>
      </c>
      <c r="C72"/>
      <c r="D72" t="inlineStr">
        <is>
          <t>Measured</t>
        </is>
      </c>
      <c r="E72"/>
      <c r="F72" t="n">
        <v>98.0</v>
      </c>
      <c r="G72"/>
      <c r="H72"/>
      <c r="I72"/>
      <c r="J72"/>
      <c r="K72" t="inlineStr">
        <is>
          <t>Daucus carota ssp. sativus</t>
        </is>
      </c>
      <c r="L72" t="inlineStr">
        <is>
          <t>Carrot</t>
        </is>
      </c>
      <c r="M72" t="inlineStr">
        <is>
          <t>Flowers, Trees, Shrubs, Ferns</t>
        </is>
      </c>
      <c r="N72" t="inlineStr">
        <is>
          <t>Seedling</t>
        </is>
      </c>
      <c r="O72"/>
      <c r="P72"/>
      <c r="Q72"/>
      <c r="R72" t="n">
        <v>12.0</v>
      </c>
      <c r="S72"/>
      <c r="T72" t="n">
        <v>14.0</v>
      </c>
      <c r="U72" t="inlineStr">
        <is>
          <t>Day(s)</t>
        </is>
      </c>
      <c r="V72" t="inlineStr">
        <is>
          <t>Environmental, unspecified</t>
        </is>
      </c>
      <c r="W72" t="inlineStr">
        <is>
          <t>Artificial soil</t>
        </is>
      </c>
      <c r="X72" t="inlineStr">
        <is>
          <t>Lab</t>
        </is>
      </c>
      <c r="Y72" t="n">
        <v>2.0</v>
      </c>
      <c r="Z72" t="inlineStr">
        <is>
          <t>Active ingredient</t>
        </is>
      </c>
      <c r="AA72"/>
      <c r="AB72"/>
      <c r="AC72"/>
      <c r="AD72" t="n">
        <v>298.0</v>
      </c>
      <c r="AE72"/>
      <c r="AF72" t="n">
        <v>320.0</v>
      </c>
      <c r="AG72" t="inlineStr">
        <is>
          <t>ng/g soil</t>
        </is>
      </c>
      <c r="AH72"/>
      <c r="AI72"/>
      <c r="AJ72"/>
      <c r="AK72"/>
      <c r="AL72"/>
      <c r="AM72"/>
      <c r="AN72"/>
      <c r="AO72"/>
      <c r="AP72"/>
      <c r="AQ72"/>
      <c r="AR72"/>
      <c r="AS72"/>
      <c r="AT72"/>
      <c r="AU72"/>
      <c r="AV72"/>
      <c r="AW72"/>
      <c r="AX72" t="inlineStr">
        <is>
          <t>Accumulation</t>
        </is>
      </c>
      <c r="AY72" t="inlineStr">
        <is>
          <t>Residue</t>
        </is>
      </c>
      <c r="AZ72" t="inlineStr">
        <is>
          <t>BCFD</t>
        </is>
      </c>
      <c r="BA72"/>
      <c r="BB72"/>
      <c r="BC72"/>
      <c r="BD72" t="n">
        <v>298.0</v>
      </c>
      <c r="BE72"/>
      <c r="BF72" t="n">
        <v>320.0</v>
      </c>
      <c r="BG72"/>
      <c r="BH72"/>
      <c r="BI72" t="inlineStr">
        <is>
          <t>ng/g soil</t>
        </is>
      </c>
      <c r="BJ72" t="inlineStr">
        <is>
          <t>Whole organism</t>
        </is>
      </c>
      <c r="BK72"/>
      <c r="BL72"/>
      <c r="BM72"/>
      <c r="BN72" t="n">
        <v>84.0</v>
      </c>
      <c r="BO72"/>
      <c r="BP72" t="n">
        <v>98.0</v>
      </c>
      <c r="BQ72" t="inlineStr">
        <is>
          <t>Day(s)</t>
        </is>
      </c>
      <c r="BR72" t="inlineStr">
        <is>
          <t>Bizkarguenaga,E., I. Zabaleta, L. Mijangos, A. Iparraguirre, L.A. Fernandez, A. Prieto, and O. Zuloaga</t>
        </is>
      </c>
      <c r="BS72" t="n">
        <v>184296.0</v>
      </c>
      <c r="BT72" t="inlineStr">
        <is>
          <t>Uptake of Perfluorooctanoic Acid, Perfluorooctane Sulfonate and Perfluorooctane Sulfonamide by Carrot and Lettuce from Compost Amended Soil</t>
        </is>
      </c>
      <c r="BU72" t="inlineStr">
        <is>
          <t>Sci. Total Environ.571:444-451</t>
        </is>
      </c>
      <c r="BV72" t="n">
        <v>2016.0</v>
      </c>
      <c r="BW72"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73">
      <c r="A73" t="n">
        <v>1763231.0</v>
      </c>
      <c r="B73" t="inlineStr">
        <is>
          <t>1,1,2,2,3,3,4,4,5,5,6,6,7,7,8,8,8-Heptadecafluoro-1-octanesulfonic acid</t>
        </is>
      </c>
      <c r="C73"/>
      <c r="D73" t="inlineStr">
        <is>
          <t>Measured</t>
        </is>
      </c>
      <c r="E73"/>
      <c r="F73" t="n">
        <v>98.0</v>
      </c>
      <c r="G73"/>
      <c r="H73"/>
      <c r="I73"/>
      <c r="J73"/>
      <c r="K73" t="inlineStr">
        <is>
          <t>Daucus carota ssp. sativus</t>
        </is>
      </c>
      <c r="L73" t="inlineStr">
        <is>
          <t>Carrot</t>
        </is>
      </c>
      <c r="M73" t="inlineStr">
        <is>
          <t>Flowers, Trees, Shrubs, Ferns</t>
        </is>
      </c>
      <c r="N73" t="inlineStr">
        <is>
          <t>Seedling</t>
        </is>
      </c>
      <c r="O73"/>
      <c r="P73"/>
      <c r="Q73"/>
      <c r="R73" t="n">
        <v>12.0</v>
      </c>
      <c r="S73"/>
      <c r="T73" t="n">
        <v>14.0</v>
      </c>
      <c r="U73" t="inlineStr">
        <is>
          <t>Day(s)</t>
        </is>
      </c>
      <c r="V73" t="inlineStr">
        <is>
          <t>Environmental, unspecified</t>
        </is>
      </c>
      <c r="W73" t="inlineStr">
        <is>
          <t>Artificial soil</t>
        </is>
      </c>
      <c r="X73" t="inlineStr">
        <is>
          <t>Lab</t>
        </is>
      </c>
      <c r="Y73" t="n">
        <v>2.0</v>
      </c>
      <c r="Z73" t="inlineStr">
        <is>
          <t>Active ingredient</t>
        </is>
      </c>
      <c r="AA73"/>
      <c r="AB73"/>
      <c r="AC73"/>
      <c r="AD73" t="n">
        <v>402.0</v>
      </c>
      <c r="AE73"/>
      <c r="AF73" t="n">
        <v>410.0</v>
      </c>
      <c r="AG73" t="inlineStr">
        <is>
          <t>ng/g soil</t>
        </is>
      </c>
      <c r="AH73"/>
      <c r="AI73"/>
      <c r="AJ73"/>
      <c r="AK73"/>
      <c r="AL73"/>
      <c r="AM73"/>
      <c r="AN73"/>
      <c r="AO73"/>
      <c r="AP73"/>
      <c r="AQ73"/>
      <c r="AR73"/>
      <c r="AS73"/>
      <c r="AT73"/>
      <c r="AU73"/>
      <c r="AV73"/>
      <c r="AW73"/>
      <c r="AX73" t="inlineStr">
        <is>
          <t>Accumulation</t>
        </is>
      </c>
      <c r="AY73" t="inlineStr">
        <is>
          <t>Residue</t>
        </is>
      </c>
      <c r="AZ73" t="inlineStr">
        <is>
          <t>BCFD</t>
        </is>
      </c>
      <c r="BA73"/>
      <c r="BB73"/>
      <c r="BC73"/>
      <c r="BD73" t="n">
        <v>402.0</v>
      </c>
      <c r="BE73"/>
      <c r="BF73" t="n">
        <v>410.0</v>
      </c>
      <c r="BG73"/>
      <c r="BH73"/>
      <c r="BI73" t="inlineStr">
        <is>
          <t>ng/g soil</t>
        </is>
      </c>
      <c r="BJ73" t="inlineStr">
        <is>
          <t>Whole organism</t>
        </is>
      </c>
      <c r="BK73"/>
      <c r="BL73"/>
      <c r="BM73"/>
      <c r="BN73" t="n">
        <v>84.0</v>
      </c>
      <c r="BO73"/>
      <c r="BP73" t="n">
        <v>98.0</v>
      </c>
      <c r="BQ73" t="inlineStr">
        <is>
          <t>Day(s)</t>
        </is>
      </c>
      <c r="BR73" t="inlineStr">
        <is>
          <t>Bizkarguenaga,E., I. Zabaleta, L. Mijangos, A. Iparraguirre, L.A. Fernandez, A. Prieto, and O. Zuloaga</t>
        </is>
      </c>
      <c r="BS73" t="n">
        <v>184296.0</v>
      </c>
      <c r="BT73" t="inlineStr">
        <is>
          <t>Uptake of Perfluorooctanoic Acid, Perfluorooctane Sulfonate and Perfluorooctane Sulfonamide by Carrot and Lettuce from Compost Amended Soil</t>
        </is>
      </c>
      <c r="BU73" t="inlineStr">
        <is>
          <t>Sci. Total Environ.571:444-451</t>
        </is>
      </c>
      <c r="BV73" t="n">
        <v>2016.0</v>
      </c>
      <c r="BW73"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74">
      <c r="A74" t="n">
        <v>1763231.0</v>
      </c>
      <c r="B74" t="inlineStr">
        <is>
          <t>1,1,2,2,3,3,4,4,5,5,6,6,7,7,8,8,8-Heptadecafluoro-1-octanesulfonic acid</t>
        </is>
      </c>
      <c r="C74"/>
      <c r="D74" t="inlineStr">
        <is>
          <t>Measured</t>
        </is>
      </c>
      <c r="E74"/>
      <c r="F74" t="n">
        <v>98.0</v>
      </c>
      <c r="G74"/>
      <c r="H74"/>
      <c r="I74"/>
      <c r="J74"/>
      <c r="K74" t="inlineStr">
        <is>
          <t>Daucus carota ssp. sativus</t>
        </is>
      </c>
      <c r="L74" t="inlineStr">
        <is>
          <t>Carrot</t>
        </is>
      </c>
      <c r="M74" t="inlineStr">
        <is>
          <t>Flowers, Trees, Shrubs, Ferns</t>
        </is>
      </c>
      <c r="N74" t="inlineStr">
        <is>
          <t>Seedling</t>
        </is>
      </c>
      <c r="O74"/>
      <c r="P74"/>
      <c r="Q74"/>
      <c r="R74" t="n">
        <v>12.0</v>
      </c>
      <c r="S74"/>
      <c r="T74" t="n">
        <v>14.0</v>
      </c>
      <c r="U74" t="inlineStr">
        <is>
          <t>Day(s)</t>
        </is>
      </c>
      <c r="V74" t="inlineStr">
        <is>
          <t>Environmental, unspecified</t>
        </is>
      </c>
      <c r="W74" t="inlineStr">
        <is>
          <t>Artificial soil</t>
        </is>
      </c>
      <c r="X74" t="inlineStr">
        <is>
          <t>Lab</t>
        </is>
      </c>
      <c r="Y74" t="n">
        <v>2.0</v>
      </c>
      <c r="Z74" t="inlineStr">
        <is>
          <t>Active ingredient</t>
        </is>
      </c>
      <c r="AA74"/>
      <c r="AB74"/>
      <c r="AC74"/>
      <c r="AD74" t="n">
        <v>348.0</v>
      </c>
      <c r="AE74"/>
      <c r="AF74" t="n">
        <v>480.0</v>
      </c>
      <c r="AG74" t="inlineStr">
        <is>
          <t>ng/g soil</t>
        </is>
      </c>
      <c r="AH74"/>
      <c r="AI74"/>
      <c r="AJ74"/>
      <c r="AK74"/>
      <c r="AL74"/>
      <c r="AM74"/>
      <c r="AN74"/>
      <c r="AO74"/>
      <c r="AP74"/>
      <c r="AQ74"/>
      <c r="AR74"/>
      <c r="AS74"/>
      <c r="AT74"/>
      <c r="AU74"/>
      <c r="AV74"/>
      <c r="AW74"/>
      <c r="AX74" t="inlineStr">
        <is>
          <t>Accumulation</t>
        </is>
      </c>
      <c r="AY74" t="inlineStr">
        <is>
          <t>Residue</t>
        </is>
      </c>
      <c r="AZ74" t="inlineStr">
        <is>
          <t>BCFD</t>
        </is>
      </c>
      <c r="BA74"/>
      <c r="BB74"/>
      <c r="BC74"/>
      <c r="BD74" t="n">
        <v>348.0</v>
      </c>
      <c r="BE74"/>
      <c r="BF74" t="n">
        <v>480.0</v>
      </c>
      <c r="BG74"/>
      <c r="BH74"/>
      <c r="BI74" t="inlineStr">
        <is>
          <t>ng/g soil</t>
        </is>
      </c>
      <c r="BJ74" t="inlineStr">
        <is>
          <t>Whole organism</t>
        </is>
      </c>
      <c r="BK74"/>
      <c r="BL74"/>
      <c r="BM74"/>
      <c r="BN74" t="n">
        <v>84.0</v>
      </c>
      <c r="BO74"/>
      <c r="BP74" t="n">
        <v>98.0</v>
      </c>
      <c r="BQ74" t="inlineStr">
        <is>
          <t>Day(s)</t>
        </is>
      </c>
      <c r="BR74" t="inlineStr">
        <is>
          <t>Bizkarguenaga,E., I. Zabaleta, L. Mijangos, A. Iparraguirre, L.A. Fernandez, A. Prieto, and O. Zuloaga</t>
        </is>
      </c>
      <c r="BS74" t="n">
        <v>184296.0</v>
      </c>
      <c r="BT74" t="inlineStr">
        <is>
          <t>Uptake of Perfluorooctanoic Acid, Perfluorooctane Sulfonate and Perfluorooctane Sulfonamide by Carrot and Lettuce from Compost Amended Soil</t>
        </is>
      </c>
      <c r="BU74" t="inlineStr">
        <is>
          <t>Sci. Total Environ.571:444-451</t>
        </is>
      </c>
      <c r="BV74" t="n">
        <v>2016.0</v>
      </c>
      <c r="BW74"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75">
      <c r="A75" t="n">
        <v>1763231.0</v>
      </c>
      <c r="B75" t="inlineStr">
        <is>
          <t>1,1,2,2,3,3,4,4,5,5,6,6,7,7,8,8,8-Heptadecafluoro-1-octanesulfonic acid</t>
        </is>
      </c>
      <c r="C75"/>
      <c r="D75" t="inlineStr">
        <is>
          <t>Measured</t>
        </is>
      </c>
      <c r="E75"/>
      <c r="F75"/>
      <c r="G75"/>
      <c r="H75"/>
      <c r="I75"/>
      <c r="J75"/>
      <c r="K75" t="inlineStr">
        <is>
          <t>Eisenia andrei</t>
        </is>
      </c>
      <c r="L75" t="inlineStr">
        <is>
          <t>Earthworm</t>
        </is>
      </c>
      <c r="M75" t="inlineStr">
        <is>
          <t>Worms; Standard Test Species</t>
        </is>
      </c>
      <c r="N75"/>
      <c r="O75"/>
      <c r="P75"/>
      <c r="Q75"/>
      <c r="R75"/>
      <c r="S75"/>
      <c r="T75"/>
      <c r="U75"/>
      <c r="V75" t="inlineStr">
        <is>
          <t>Direct application</t>
        </is>
      </c>
      <c r="W75" t="inlineStr">
        <is>
          <t>Unknown soil</t>
        </is>
      </c>
      <c r="X75" t="inlineStr">
        <is>
          <t>Lab</t>
        </is>
      </c>
      <c r="Y75" t="n">
        <v>3.0</v>
      </c>
      <c r="Z75" t="inlineStr">
        <is>
          <t>Active ingredient</t>
        </is>
      </c>
      <c r="AA75"/>
      <c r="AB75" t="n">
        <v>19.1</v>
      </c>
      <c r="AC75"/>
      <c r="AD75"/>
      <c r="AE75"/>
      <c r="AF75"/>
      <c r="AG75" t="inlineStr">
        <is>
          <t>ug/g dry wt</t>
        </is>
      </c>
      <c r="AH75"/>
      <c r="AI75"/>
      <c r="AJ75"/>
      <c r="AK75"/>
      <c r="AL75"/>
      <c r="AM75"/>
      <c r="AN75"/>
      <c r="AO75"/>
      <c r="AP75"/>
      <c r="AQ75"/>
      <c r="AR75"/>
      <c r="AS75"/>
      <c r="AT75"/>
      <c r="AU75"/>
      <c r="AV75"/>
      <c r="AW75"/>
      <c r="AX75" t="inlineStr">
        <is>
          <t>Accumulation</t>
        </is>
      </c>
      <c r="AY75" t="inlineStr">
        <is>
          <t>Residue</t>
        </is>
      </c>
      <c r="AZ75" t="inlineStr">
        <is>
          <t>BAF</t>
        </is>
      </c>
      <c r="BA75"/>
      <c r="BB75" t="n">
        <v>3.89</v>
      </c>
      <c r="BC75"/>
      <c r="BD75"/>
      <c r="BE75"/>
      <c r="BF75"/>
      <c r="BG75"/>
      <c r="BH75"/>
      <c r="BI75" t="inlineStr">
        <is>
          <t>RA</t>
        </is>
      </c>
      <c r="BJ75"/>
      <c r="BK75"/>
      <c r="BL75" t="n">
        <v>28.0</v>
      </c>
      <c r="BM75"/>
      <c r="BN75"/>
      <c r="BO75"/>
      <c r="BP75"/>
      <c r="BQ75" t="inlineStr">
        <is>
          <t>Day(s)</t>
        </is>
      </c>
      <c r="BR75" t="inlineStr">
        <is>
          <t>Navarro,I., A. De La Torre, P. Sanz, M.A. Porcel, J. Pro, G. Carbonell, and M.A. Martinez</t>
        </is>
      </c>
      <c r="BS75" t="n">
        <v>177188.0</v>
      </c>
      <c r="BT75" t="inlineStr">
        <is>
          <t>Uptake of Perfluoroalkyl Substances and Halogenated Flame Retardants by Crop Plants Grown in Biosolids-Amended Soils</t>
        </is>
      </c>
      <c r="BU75" t="inlineStr">
        <is>
          <t>Environ. Res.152:199-206</t>
        </is>
      </c>
      <c r="BV75" t="n">
        <v>2017.0</v>
      </c>
      <c r="BW75" t="inlineStr">
        <is>
          <t>Navarro,I., A. De La Torre, P. Sanz, M.A. Porcel, J. Pro, G. Carbonell, and M.A. Martinez (2017). Uptake of Perfluoroalkyl Substances and Halogenated Flame Retardants by Crop Plants Grown in Biosolids-Amended Soils. Environ. Res., 152, 199-206. doi:10.1016/j.envres.2016.10.018. ECOREF#:177188</t>
        </is>
      </c>
    </row>
    <row r="76">
      <c r="A76" t="n">
        <v>1763231.0</v>
      </c>
      <c r="B76" t="inlineStr">
        <is>
          <t>1,1,2,2,3,3,4,4,5,5,6,6,7,7,8,8,8-Heptadecafluoro-1-octanesulfonic acid</t>
        </is>
      </c>
      <c r="C76"/>
      <c r="D76" t="inlineStr">
        <is>
          <t>Unmeasured</t>
        </is>
      </c>
      <c r="E76"/>
      <c r="F76"/>
      <c r="G76"/>
      <c r="H76"/>
      <c r="I76"/>
      <c r="J76"/>
      <c r="K76" t="inlineStr">
        <is>
          <t>Eisenia fetida</t>
        </is>
      </c>
      <c r="L76" t="inlineStr">
        <is>
          <t>Earthworm</t>
        </is>
      </c>
      <c r="M76" t="inlineStr">
        <is>
          <t>Worms; Standard Test Species</t>
        </is>
      </c>
      <c r="N76"/>
      <c r="O76"/>
      <c r="P76"/>
      <c r="Q76"/>
      <c r="R76"/>
      <c r="S76"/>
      <c r="T76"/>
      <c r="U76"/>
      <c r="V76" t="inlineStr">
        <is>
          <t>Environmental, unspecified</t>
        </is>
      </c>
      <c r="W76" t="inlineStr">
        <is>
          <t>Natural soil</t>
        </is>
      </c>
      <c r="X76" t="inlineStr">
        <is>
          <t>Lab</t>
        </is>
      </c>
      <c r="Y76" t="n">
        <v>2.0</v>
      </c>
      <c r="Z76" t="inlineStr">
        <is>
          <t>Formulation</t>
        </is>
      </c>
      <c r="AA76"/>
      <c r="AB76" t="n">
        <v>10.0</v>
      </c>
      <c r="AC76"/>
      <c r="AD76"/>
      <c r="AE76"/>
      <c r="AF76"/>
      <c r="AG76" t="inlineStr">
        <is>
          <t>mg/kg soil</t>
        </is>
      </c>
      <c r="AH76"/>
      <c r="AI76"/>
      <c r="AJ76"/>
      <c r="AK76"/>
      <c r="AL76"/>
      <c r="AM76"/>
      <c r="AN76"/>
      <c r="AO76"/>
      <c r="AP76"/>
      <c r="AQ76"/>
      <c r="AR76"/>
      <c r="AS76"/>
      <c r="AT76"/>
      <c r="AU76"/>
      <c r="AV76"/>
      <c r="AW76"/>
      <c r="AX76" t="inlineStr">
        <is>
          <t>Accumulation</t>
        </is>
      </c>
      <c r="AY76" t="inlineStr">
        <is>
          <t>Residue</t>
        </is>
      </c>
      <c r="AZ76" t="inlineStr">
        <is>
          <t>BAF</t>
        </is>
      </c>
      <c r="BA76"/>
      <c r="BB76" t="n">
        <v>0.354</v>
      </c>
      <c r="BC76"/>
      <c r="BD76"/>
      <c r="BE76"/>
      <c r="BF76"/>
      <c r="BG76"/>
      <c r="BH76"/>
      <c r="BI76" t="inlineStr">
        <is>
          <t>RA</t>
        </is>
      </c>
      <c r="BJ76" t="inlineStr">
        <is>
          <t>Whole organism</t>
        </is>
      </c>
      <c r="BK76"/>
      <c r="BL76" t="n">
        <v>28.0</v>
      </c>
      <c r="BM76"/>
      <c r="BN76"/>
      <c r="BO76"/>
      <c r="BP76"/>
      <c r="BQ76" t="inlineStr">
        <is>
          <t>Day(s)</t>
        </is>
      </c>
      <c r="BR76" t="inlineStr">
        <is>
          <t>Sobhani,Z., C. Fang, R. Naidu, and M. Megharaj</t>
        </is>
      </c>
      <c r="BS76" t="n">
        <v>185965.0</v>
      </c>
      <c r="BT76" t="inlineStr">
        <is>
          <t>Microplastics as a Vector of Toxic Chemicals in Soil: Enhanced Uptake of Perfluorooctane Sulfonate and Perfluorooctanoic Acid by Earthworms Through Sorption and Reproductive Toxicity</t>
        </is>
      </c>
      <c r="BU76" t="inlineStr">
        <is>
          <t>Environ. Technol. Innov.22:6 p.</t>
        </is>
      </c>
      <c r="BV76" t="n">
        <v>2021.0</v>
      </c>
      <c r="BW76" t="inlineStr">
        <is>
          <t>Sobhani,Z., C. Fang, R. Naidu, and M. Megharaj (2021). Microplastics as a Vector of Toxic Chemicals in Soil: Enhanced Uptake of Perfluorooctane Sulfonate and Perfluorooctanoic Acid by Earthworms Through Sorption and Reproductive Toxicity. Environ. Technol. Innov., 22, 6 p. doi:10.1016/j.eti.2021.101476. ECOREF#:185965</t>
        </is>
      </c>
    </row>
    <row r="77">
      <c r="A77" t="n">
        <v>1763231.0</v>
      </c>
      <c r="B77" t="inlineStr">
        <is>
          <t>1,1,2,2,3,3,4,4,5,5,6,6,7,7,8,8,8-Heptadecafluoro-1-octanesulfonic acid</t>
        </is>
      </c>
      <c r="C77"/>
      <c r="D77" t="inlineStr">
        <is>
          <t>Measured</t>
        </is>
      </c>
      <c r="E77"/>
      <c r="F77"/>
      <c r="G77"/>
      <c r="H77"/>
      <c r="I77"/>
      <c r="J77"/>
      <c r="K77" t="inlineStr">
        <is>
          <t>Eisenia fetida</t>
        </is>
      </c>
      <c r="L77" t="inlineStr">
        <is>
          <t>Earthworm</t>
        </is>
      </c>
      <c r="M77" t="inlineStr">
        <is>
          <t>Worms; Standard Test Species</t>
        </is>
      </c>
      <c r="N77" t="inlineStr">
        <is>
          <t>Sexually mature</t>
        </is>
      </c>
      <c r="O77"/>
      <c r="P77"/>
      <c r="Q77"/>
      <c r="R77"/>
      <c r="S77"/>
      <c r="T77"/>
      <c r="U77"/>
      <c r="V77" t="inlineStr">
        <is>
          <t>Environmental, unspecified</t>
        </is>
      </c>
      <c r="W77" t="inlineStr">
        <is>
          <t>Artificial soil</t>
        </is>
      </c>
      <c r="X77" t="inlineStr">
        <is>
          <t>Lab</t>
        </is>
      </c>
      <c r="Y77" t="n">
        <v>2.0</v>
      </c>
      <c r="Z77" t="inlineStr">
        <is>
          <t>Active ingredient</t>
        </is>
      </c>
      <c r="AA77"/>
      <c r="AB77" t="n">
        <v>121.5</v>
      </c>
      <c r="AC77"/>
      <c r="AD77"/>
      <c r="AE77"/>
      <c r="AF77"/>
      <c r="AG77" t="inlineStr">
        <is>
          <t>ng/g soil</t>
        </is>
      </c>
      <c r="AH77"/>
      <c r="AI77"/>
      <c r="AJ77"/>
      <c r="AK77"/>
      <c r="AL77"/>
      <c r="AM77"/>
      <c r="AN77"/>
      <c r="AO77"/>
      <c r="AP77"/>
      <c r="AQ77"/>
      <c r="AR77"/>
      <c r="AS77"/>
      <c r="AT77"/>
      <c r="AU77"/>
      <c r="AV77"/>
      <c r="AW77"/>
      <c r="AX77" t="inlineStr">
        <is>
          <t>Accumulation</t>
        </is>
      </c>
      <c r="AY77" t="inlineStr">
        <is>
          <t>Residue</t>
        </is>
      </c>
      <c r="AZ77" t="inlineStr">
        <is>
          <t>LOEL</t>
        </is>
      </c>
      <c r="BA77"/>
      <c r="BB77" t="n">
        <v>121.5</v>
      </c>
      <c r="BC77"/>
      <c r="BD77"/>
      <c r="BE77"/>
      <c r="BF77"/>
      <c r="BG77"/>
      <c r="BH77"/>
      <c r="BI77" t="inlineStr">
        <is>
          <t>ng/g soil</t>
        </is>
      </c>
      <c r="BJ77" t="inlineStr">
        <is>
          <t>Whole organism</t>
        </is>
      </c>
      <c r="BK77"/>
      <c r="BL77" t="n">
        <v>7.0</v>
      </c>
      <c r="BM77"/>
      <c r="BN77"/>
      <c r="BO77"/>
      <c r="BP77"/>
      <c r="BQ77" t="inlineStr">
        <is>
          <t>Day(s)</t>
        </is>
      </c>
      <c r="BR77" t="inlineStr">
        <is>
          <t>Han,Z., B.F. Oyeyemi, J.E. Zenobio, O.A. Salawu, and A.S. Adeleye</t>
        </is>
      </c>
      <c r="BS77" t="n">
        <v>191359.0</v>
      </c>
      <c r="BT77" t="inlineStr">
        <is>
          <t>Perfluorooctanoic Acid Dominates the Molecular-Level Effects of a Mixture of Equal Masses of Perfluorooctanoic Acid and Perfluorooctane Sulfonic Acid in Earthworm</t>
        </is>
      </c>
      <c r="BU77" t="inlineStr">
        <is>
          <t>J. Hazard. Mater.457:11 p.</t>
        </is>
      </c>
      <c r="BV77" t="n">
        <v>2023.0</v>
      </c>
      <c r="BW77" t="inlineStr">
        <is>
          <t>Han,Z., B.F. Oyeyemi, J.E. Zenobio, O.A. Salawu, and A.S. Adeleye (2023). Perfluorooctanoic Acid Dominates the Molecular-Level Effects of a Mixture of Equal Masses of Perfluorooctanoic Acid and Perfluorooctane Sulfonic Acid in Earthworm. J. Hazard. Mater., 457, 11 p. doi:10.1016/j.jhazmat.2023.131718. ECOREF#:191359</t>
        </is>
      </c>
    </row>
    <row r="78">
      <c r="A78" t="n">
        <v>1763231.0</v>
      </c>
      <c r="B78" t="inlineStr">
        <is>
          <t>1,1,2,2,3,3,4,4,5,5,6,6,7,7,8,8,8-Heptadecafluoro-1-octanesulfonic acid</t>
        </is>
      </c>
      <c r="C78"/>
      <c r="D78" t="inlineStr">
        <is>
          <t>Measured</t>
        </is>
      </c>
      <c r="E78"/>
      <c r="F78"/>
      <c r="G78"/>
      <c r="H78"/>
      <c r="I78"/>
      <c r="J78"/>
      <c r="K78" t="inlineStr">
        <is>
          <t>Eisenia fetida</t>
        </is>
      </c>
      <c r="L78" t="inlineStr">
        <is>
          <t>Earthworm</t>
        </is>
      </c>
      <c r="M78" t="inlineStr">
        <is>
          <t>Worms; Standard Test Species</t>
        </is>
      </c>
      <c r="N78" t="inlineStr">
        <is>
          <t>Sexually mature</t>
        </is>
      </c>
      <c r="O78"/>
      <c r="P78"/>
      <c r="Q78"/>
      <c r="R78"/>
      <c r="S78"/>
      <c r="T78"/>
      <c r="U78"/>
      <c r="V78" t="inlineStr">
        <is>
          <t>Environmental, unspecified</t>
        </is>
      </c>
      <c r="W78" t="inlineStr">
        <is>
          <t>Artificial soil</t>
        </is>
      </c>
      <c r="X78" t="inlineStr">
        <is>
          <t>Lab</t>
        </is>
      </c>
      <c r="Y78" t="n">
        <v>2.0</v>
      </c>
      <c r="Z78" t="inlineStr">
        <is>
          <t>Active ingredient</t>
        </is>
      </c>
      <c r="AA78"/>
      <c r="AB78" t="n">
        <v>121.5</v>
      </c>
      <c r="AC78"/>
      <c r="AD78"/>
      <c r="AE78"/>
      <c r="AF78"/>
      <c r="AG78" t="inlineStr">
        <is>
          <t>ng/g soil</t>
        </is>
      </c>
      <c r="AH78"/>
      <c r="AI78"/>
      <c r="AJ78"/>
      <c r="AK78"/>
      <c r="AL78"/>
      <c r="AM78"/>
      <c r="AN78"/>
      <c r="AO78"/>
      <c r="AP78"/>
      <c r="AQ78"/>
      <c r="AR78"/>
      <c r="AS78"/>
      <c r="AT78"/>
      <c r="AU78"/>
      <c r="AV78"/>
      <c r="AW78"/>
      <c r="AX78" t="inlineStr">
        <is>
          <t>Accumulation</t>
        </is>
      </c>
      <c r="AY78" t="inlineStr">
        <is>
          <t>Residue</t>
        </is>
      </c>
      <c r="AZ78" t="inlineStr">
        <is>
          <t>LOEL</t>
        </is>
      </c>
      <c r="BA78"/>
      <c r="BB78" t="n">
        <v>121.5</v>
      </c>
      <c r="BC78"/>
      <c r="BD78"/>
      <c r="BE78"/>
      <c r="BF78"/>
      <c r="BG78"/>
      <c r="BH78"/>
      <c r="BI78" t="inlineStr">
        <is>
          <t>ng/g soil</t>
        </is>
      </c>
      <c r="BJ78" t="inlineStr">
        <is>
          <t>Whole organism</t>
        </is>
      </c>
      <c r="BK78"/>
      <c r="BL78" t="n">
        <v>28.0</v>
      </c>
      <c r="BM78"/>
      <c r="BN78"/>
      <c r="BO78"/>
      <c r="BP78"/>
      <c r="BQ78" t="inlineStr">
        <is>
          <t>Day(s)</t>
        </is>
      </c>
      <c r="BR78" t="inlineStr">
        <is>
          <t>Han,Z., B.F. Oyeyemi, J.E. Zenobio, O.A. Salawu, and A.S. Adeleye</t>
        </is>
      </c>
      <c r="BS78" t="n">
        <v>191359.0</v>
      </c>
      <c r="BT78" t="inlineStr">
        <is>
          <t>Perfluorooctanoic Acid Dominates the Molecular-Level Effects of a Mixture of Equal Masses of Perfluorooctanoic Acid and Perfluorooctane Sulfonic Acid in Earthworm</t>
        </is>
      </c>
      <c r="BU78" t="inlineStr">
        <is>
          <t>J. Hazard. Mater.457:11 p.</t>
        </is>
      </c>
      <c r="BV78" t="n">
        <v>2023.0</v>
      </c>
      <c r="BW78" t="inlineStr">
        <is>
          <t>Han,Z., B.F. Oyeyemi, J.E. Zenobio, O.A. Salawu, and A.S. Adeleye (2023). Perfluorooctanoic Acid Dominates the Molecular-Level Effects of a Mixture of Equal Masses of Perfluorooctanoic Acid and Perfluorooctane Sulfonic Acid in Earthworm. J. Hazard. Mater., 457, 11 p. doi:10.1016/j.jhazmat.2023.131718. ECOREF#:191359</t>
        </is>
      </c>
    </row>
    <row r="79">
      <c r="A79" t="n">
        <v>1763231.0</v>
      </c>
      <c r="B79" t="inlineStr">
        <is>
          <t>1,1,2,2,3,3,4,4,5,5,6,6,7,7,8,8,8-Heptadecafluoro-1-octanesulfonic acid</t>
        </is>
      </c>
      <c r="C79"/>
      <c r="D79" t="inlineStr">
        <is>
          <t>Unmeasured</t>
        </is>
      </c>
      <c r="E79"/>
      <c r="F79" t="n">
        <v>87.0</v>
      </c>
      <c r="G79"/>
      <c r="H79"/>
      <c r="I79"/>
      <c r="J79"/>
      <c r="K79" t="inlineStr">
        <is>
          <t>Gallus gallus</t>
        </is>
      </c>
      <c r="L79" t="inlineStr">
        <is>
          <t>Chicken</t>
        </is>
      </c>
      <c r="M79" t="inlineStr">
        <is>
          <t>Birds; Standard Test Species</t>
        </is>
      </c>
      <c r="N79" t="inlineStr">
        <is>
          <t>Egg</t>
        </is>
      </c>
      <c r="O79"/>
      <c r="P79"/>
      <c r="Q79"/>
      <c r="R79"/>
      <c r="S79"/>
      <c r="T79"/>
      <c r="U79"/>
      <c r="V79" t="inlineStr">
        <is>
          <t>Air sac injection</t>
        </is>
      </c>
      <c r="W79" t="inlineStr">
        <is>
          <t>No substrate</t>
        </is>
      </c>
      <c r="X79" t="inlineStr">
        <is>
          <t>Lab</t>
        </is>
      </c>
      <c r="Y79" t="n">
        <v>5.0</v>
      </c>
      <c r="Z79" t="inlineStr">
        <is>
          <t>Active ingredient</t>
        </is>
      </c>
      <c r="AA79"/>
      <c r="AB79" t="n">
        <v>0.1</v>
      </c>
      <c r="AC79"/>
      <c r="AD79"/>
      <c r="AE79"/>
      <c r="AF79"/>
      <c r="AG79" t="inlineStr">
        <is>
          <t>ug/g egg</t>
        </is>
      </c>
      <c r="AH79"/>
      <c r="AI79"/>
      <c r="AJ79"/>
      <c r="AK79"/>
      <c r="AL79"/>
      <c r="AM79"/>
      <c r="AN79"/>
      <c r="AO79"/>
      <c r="AP79"/>
      <c r="AQ79"/>
      <c r="AR79"/>
      <c r="AS79"/>
      <c r="AT79"/>
      <c r="AU79"/>
      <c r="AV79"/>
      <c r="AW79"/>
      <c r="AX79" t="inlineStr">
        <is>
          <t>Accumulation</t>
        </is>
      </c>
      <c r="AY79" t="inlineStr">
        <is>
          <t>Residue</t>
        </is>
      </c>
      <c r="AZ79" t="inlineStr">
        <is>
          <t>LOEL</t>
        </is>
      </c>
      <c r="BA79"/>
      <c r="BB79" t="n">
        <v>0.1</v>
      </c>
      <c r="BC79"/>
      <c r="BD79"/>
      <c r="BE79"/>
      <c r="BF79"/>
      <c r="BG79"/>
      <c r="BH79"/>
      <c r="BI79" t="inlineStr">
        <is>
          <t>ug/g egg</t>
        </is>
      </c>
      <c r="BJ79" t="inlineStr">
        <is>
          <t>Liver</t>
        </is>
      </c>
      <c r="BK79"/>
      <c r="BL79" t="n">
        <v>22.0</v>
      </c>
      <c r="BM79"/>
      <c r="BN79"/>
      <c r="BO79"/>
      <c r="BP79"/>
      <c r="BQ79" t="inlineStr">
        <is>
          <t>Day(s)</t>
        </is>
      </c>
      <c r="BR79" t="inlineStr">
        <is>
          <t>O'Brien,J.M., A.C. Carew, S. Chu, R.J. Letcher, and S.W. Kennedy</t>
        </is>
      </c>
      <c r="BS79" t="n">
        <v>116621.0</v>
      </c>
      <c r="BT79" t="inlineStr">
        <is>
          <t>Perfluorooctane Sulfonate (PFOS) Toxicity in Domestic Chicken (Gallus gallus domesticus) Embryos in the Absence of Effects on Peroxisome Proliferator Activated Receptor alpha (PPARalpha)-Regulated Genes</t>
        </is>
      </c>
      <c r="BU79" t="inlineStr">
        <is>
          <t>Comp. Biochem. Physiol. C Comp. Pharmacol. Toxicol.149(4): 524-530</t>
        </is>
      </c>
      <c r="BV79" t="n">
        <v>2009.0</v>
      </c>
      <c r="BW79" t="inlineStr">
        <is>
          <t>O'Brien,J.M., A.C. Carew, S. Chu, R.J. Letcher, and S.W. Kennedy (2009). Perfluorooctane Sulfonate (PFOS) Toxicity in Domestic Chicken (Gallus gallus domesticus) Embryos in the Absence of Effects on Peroxisome Proliferator Activated Receptor alpha (PPARalpha)-Regulated Genes. Comp. Biochem. Physiol. C Comp. Pharmacol. Toxicol., 149, (4), 524-530. doi:10.1016/j.cbpc.2008.11.009. ECOREF#:116621</t>
        </is>
      </c>
    </row>
    <row r="80">
      <c r="A80" t="n">
        <v>1763231.0</v>
      </c>
      <c r="B80" t="inlineStr">
        <is>
          <t>1,1,2,2,3,3,4,4,5,5,6,6,7,7,8,8,8-Heptadecafluoro-1-octanesulfonic acid</t>
        </is>
      </c>
      <c r="C80"/>
      <c r="D80" t="inlineStr">
        <is>
          <t>Unmeasured</t>
        </is>
      </c>
      <c r="E80"/>
      <c r="F80"/>
      <c r="G80"/>
      <c r="H80"/>
      <c r="I80"/>
      <c r="J80"/>
      <c r="K80" t="inlineStr">
        <is>
          <t>Gallus gallus</t>
        </is>
      </c>
      <c r="L80" t="inlineStr">
        <is>
          <t>Chicken</t>
        </is>
      </c>
      <c r="M80" t="inlineStr">
        <is>
          <t>Birds; Standard Test Species</t>
        </is>
      </c>
      <c r="N80" t="inlineStr">
        <is>
          <t>Egg</t>
        </is>
      </c>
      <c r="O80"/>
      <c r="P80"/>
      <c r="Q80"/>
      <c r="R80"/>
      <c r="S80"/>
      <c r="T80"/>
      <c r="U80"/>
      <c r="V80" t="inlineStr">
        <is>
          <t>Air sac injection</t>
        </is>
      </c>
      <c r="W80" t="inlineStr">
        <is>
          <t>No substrate</t>
        </is>
      </c>
      <c r="X80" t="inlineStr">
        <is>
          <t>Lab</t>
        </is>
      </c>
      <c r="Y80" t="n">
        <v>5.0</v>
      </c>
      <c r="Z80" t="inlineStr">
        <is>
          <t>Active ingredient</t>
        </is>
      </c>
      <c r="AA80"/>
      <c r="AB80" t="n">
        <v>10.0</v>
      </c>
      <c r="AC80"/>
      <c r="AD80"/>
      <c r="AE80"/>
      <c r="AF80"/>
      <c r="AG80" t="inlineStr">
        <is>
          <t>AI ug/g egg</t>
        </is>
      </c>
      <c r="AH80"/>
      <c r="AI80"/>
      <c r="AJ80"/>
      <c r="AK80"/>
      <c r="AL80"/>
      <c r="AM80"/>
      <c r="AN80"/>
      <c r="AO80"/>
      <c r="AP80"/>
      <c r="AQ80"/>
      <c r="AR80"/>
      <c r="AS80"/>
      <c r="AT80"/>
      <c r="AU80"/>
      <c r="AV80"/>
      <c r="AW80"/>
      <c r="AX80" t="inlineStr">
        <is>
          <t>Accumulation</t>
        </is>
      </c>
      <c r="AY80" t="inlineStr">
        <is>
          <t>Residue</t>
        </is>
      </c>
      <c r="AZ80" t="inlineStr">
        <is>
          <t>LOEL</t>
        </is>
      </c>
      <c r="BA80"/>
      <c r="BB80" t="n">
        <v>10.0</v>
      </c>
      <c r="BC80"/>
      <c r="BD80"/>
      <c r="BE80"/>
      <c r="BF80"/>
      <c r="BG80"/>
      <c r="BH80"/>
      <c r="BI80" t="inlineStr">
        <is>
          <t>AI ug/g egg</t>
        </is>
      </c>
      <c r="BJ80" t="inlineStr">
        <is>
          <t>Liver</t>
        </is>
      </c>
      <c r="BK80"/>
      <c r="BL80" t="n">
        <v>7.0</v>
      </c>
      <c r="BM80"/>
      <c r="BN80"/>
      <c r="BO80"/>
      <c r="BP80"/>
      <c r="BQ80" t="inlineStr">
        <is>
          <t>Day(s) post-hatch</t>
        </is>
      </c>
      <c r="BR80" t="inlineStr">
        <is>
          <t>Molina,E.D., R. Balander, S.D. Fitzgerald, J.P. Giesy, K. Kannan, R. Mitchell, and S.J. Bursian</t>
        </is>
      </c>
      <c r="BS80" t="n">
        <v>87753.0</v>
      </c>
      <c r="BT80" t="inlineStr">
        <is>
          <t>Effects of Air Cell Injection of Perfluorooctane Sulfonate Before Incubation on Development of the White Leghorn Chicken (Gallus domesticus) Embryo</t>
        </is>
      </c>
      <c r="BU80" t="inlineStr">
        <is>
          <t>Environ. Toxicol. Chem.25(1): 227-232</t>
        </is>
      </c>
      <c r="BV80" t="n">
        <v>2006.0</v>
      </c>
      <c r="BW80" t="inlineStr">
        <is>
          <t>Molina,E.D., R. Balander, S.D. Fitzgerald, J.P. Giesy, K. Kannan, R. Mitchell, and S.J. Bursian (2006). Effects of Air Cell Injection of Perfluorooctane Sulfonate Before Incubation on Development of the White Leghorn Chicken (Gallus domesticus) Embryo. Environ. Toxicol. Chem., 25, (1), 227-232. doi:10.1897/04-414R.1. ECOREF#:87753</t>
        </is>
      </c>
    </row>
    <row r="81">
      <c r="A81" t="n">
        <v>1763231.0</v>
      </c>
      <c r="B81" t="inlineStr">
        <is>
          <t>1,1,2,2,3,3,4,4,5,5,6,6,7,7,8,8,8-Heptadecafluoro-1-octanesulfonic acid</t>
        </is>
      </c>
      <c r="C81"/>
      <c r="D81" t="inlineStr">
        <is>
          <t>Unmeasured</t>
        </is>
      </c>
      <c r="E81"/>
      <c r="F81"/>
      <c r="G81"/>
      <c r="H81"/>
      <c r="I81"/>
      <c r="J81"/>
      <c r="K81" t="inlineStr">
        <is>
          <t>Gallus gallus</t>
        </is>
      </c>
      <c r="L81" t="inlineStr">
        <is>
          <t>Chicken</t>
        </is>
      </c>
      <c r="M81" t="inlineStr">
        <is>
          <t>Birds; Standard Test Species</t>
        </is>
      </c>
      <c r="N81" t="inlineStr">
        <is>
          <t>Egg</t>
        </is>
      </c>
      <c r="O81"/>
      <c r="P81"/>
      <c r="Q81"/>
      <c r="R81"/>
      <c r="S81"/>
      <c r="T81"/>
      <c r="U81"/>
      <c r="V81" t="inlineStr">
        <is>
          <t>Air sac injection</t>
        </is>
      </c>
      <c r="W81" t="inlineStr">
        <is>
          <t>No substrate</t>
        </is>
      </c>
      <c r="X81" t="inlineStr">
        <is>
          <t>Lab</t>
        </is>
      </c>
      <c r="Y81" t="n">
        <v>5.0</v>
      </c>
      <c r="Z81" t="inlineStr">
        <is>
          <t>Active ingredient</t>
        </is>
      </c>
      <c r="AA81"/>
      <c r="AB81" t="n">
        <v>1.0</v>
      </c>
      <c r="AC81"/>
      <c r="AD81"/>
      <c r="AE81"/>
      <c r="AF81"/>
      <c r="AG81" t="inlineStr">
        <is>
          <t>AI ug/g egg</t>
        </is>
      </c>
      <c r="AH81"/>
      <c r="AI81"/>
      <c r="AJ81"/>
      <c r="AK81"/>
      <c r="AL81"/>
      <c r="AM81"/>
      <c r="AN81"/>
      <c r="AO81"/>
      <c r="AP81"/>
      <c r="AQ81"/>
      <c r="AR81"/>
      <c r="AS81"/>
      <c r="AT81"/>
      <c r="AU81"/>
      <c r="AV81"/>
      <c r="AW81"/>
      <c r="AX81" t="inlineStr">
        <is>
          <t>Accumulation</t>
        </is>
      </c>
      <c r="AY81" t="inlineStr">
        <is>
          <t>Residue</t>
        </is>
      </c>
      <c r="AZ81" t="inlineStr">
        <is>
          <t>NOEL</t>
        </is>
      </c>
      <c r="BA81"/>
      <c r="BB81" t="n">
        <v>1.0</v>
      </c>
      <c r="BC81"/>
      <c r="BD81"/>
      <c r="BE81"/>
      <c r="BF81"/>
      <c r="BG81"/>
      <c r="BH81"/>
      <c r="BI81" t="inlineStr">
        <is>
          <t>AI ug/g egg</t>
        </is>
      </c>
      <c r="BJ81" t="inlineStr">
        <is>
          <t>Liver</t>
        </is>
      </c>
      <c r="BK81"/>
      <c r="BL81" t="n">
        <v>7.0</v>
      </c>
      <c r="BM81"/>
      <c r="BN81"/>
      <c r="BO81"/>
      <c r="BP81"/>
      <c r="BQ81" t="inlineStr">
        <is>
          <t>Day(s) post-hatch</t>
        </is>
      </c>
      <c r="BR81" t="inlineStr">
        <is>
          <t>Molina,E.D., R. Balander, S.D. Fitzgerald, J.P. Giesy, K. Kannan, R. Mitchell, and S.J. Bursian</t>
        </is>
      </c>
      <c r="BS81" t="n">
        <v>87753.0</v>
      </c>
      <c r="BT81" t="inlineStr">
        <is>
          <t>Effects of Air Cell Injection of Perfluorooctane Sulfonate Before Incubation on Development of the White Leghorn Chicken (Gallus domesticus) Embryo</t>
        </is>
      </c>
      <c r="BU81" t="inlineStr">
        <is>
          <t>Environ. Toxicol. Chem.25(1): 227-232</t>
        </is>
      </c>
      <c r="BV81" t="n">
        <v>2006.0</v>
      </c>
      <c r="BW81" t="inlineStr">
        <is>
          <t>Molina,E.D., R. Balander, S.D. Fitzgerald, J.P. Giesy, K. Kannan, R. Mitchell, and S.J. Bursian (2006). Effects of Air Cell Injection of Perfluorooctane Sulfonate Before Incubation on Development of the White Leghorn Chicken (Gallus domesticus) Embryo. Environ. Toxicol. Chem., 25, (1), 227-232. doi:10.1897/04-414R.1. ECOREF#:87753</t>
        </is>
      </c>
    </row>
    <row r="82">
      <c r="A82" t="n">
        <v>1763231.0</v>
      </c>
      <c r="B82" t="inlineStr">
        <is>
          <t>1,1,2,2,3,3,4,4,5,5,6,6,7,7,8,8,8-Heptadecafluoro-1-octanesulfonic acid</t>
        </is>
      </c>
      <c r="C82"/>
      <c r="D82" t="inlineStr">
        <is>
          <t>Measured</t>
        </is>
      </c>
      <c r="E82"/>
      <c r="F82"/>
      <c r="G82"/>
      <c r="H82"/>
      <c r="I82"/>
      <c r="J82"/>
      <c r="K82" t="inlineStr">
        <is>
          <t>Lactuca sativa</t>
        </is>
      </c>
      <c r="L82" t="inlineStr">
        <is>
          <t>Lettuce</t>
        </is>
      </c>
      <c r="M82" t="inlineStr">
        <is>
          <t>Flowers, Trees, Shrubs, Ferns; Standard Test Species; U.S. Invasive Species</t>
        </is>
      </c>
      <c r="N82" t="inlineStr">
        <is>
          <t>Seed</t>
        </is>
      </c>
      <c r="O82"/>
      <c r="P82"/>
      <c r="Q82"/>
      <c r="R82"/>
      <c r="S82"/>
      <c r="T82"/>
      <c r="U82"/>
      <c r="V82" t="inlineStr">
        <is>
          <t>Environmental, unspecified</t>
        </is>
      </c>
      <c r="W82" t="inlineStr">
        <is>
          <t>Artificial soil</t>
        </is>
      </c>
      <c r="X82" t="inlineStr">
        <is>
          <t>Lab</t>
        </is>
      </c>
      <c r="Y82" t="n">
        <v>3.0</v>
      </c>
      <c r="Z82" t="inlineStr">
        <is>
          <t>Active ingredient</t>
        </is>
      </c>
      <c r="AA82"/>
      <c r="AB82" t="n">
        <v>3817.0</v>
      </c>
      <c r="AC82"/>
      <c r="AD82"/>
      <c r="AE82"/>
      <c r="AF82"/>
      <c r="AG82" t="inlineStr">
        <is>
          <t>ng/g soil</t>
        </is>
      </c>
      <c r="AH82"/>
      <c r="AI82"/>
      <c r="AJ82"/>
      <c r="AK82"/>
      <c r="AL82"/>
      <c r="AM82"/>
      <c r="AN82"/>
      <c r="AO82"/>
      <c r="AP82"/>
      <c r="AQ82"/>
      <c r="AR82"/>
      <c r="AS82"/>
      <c r="AT82"/>
      <c r="AU82"/>
      <c r="AV82"/>
      <c r="AW82"/>
      <c r="AX82" t="inlineStr">
        <is>
          <t>Accumulation</t>
        </is>
      </c>
      <c r="AY82" t="inlineStr">
        <is>
          <t>Residue</t>
        </is>
      </c>
      <c r="AZ82" t="inlineStr">
        <is>
          <t>BAF</t>
        </is>
      </c>
      <c r="BA82"/>
      <c r="BB82" t="n">
        <v>0.17</v>
      </c>
      <c r="BC82"/>
      <c r="BD82"/>
      <c r="BE82"/>
      <c r="BF82"/>
      <c r="BG82"/>
      <c r="BH82"/>
      <c r="BI82" t="inlineStr">
        <is>
          <t>RA</t>
        </is>
      </c>
      <c r="BJ82" t="inlineStr">
        <is>
          <t>Shoot</t>
        </is>
      </c>
      <c r="BK82"/>
      <c r="BL82" t="n">
        <v>119.0</v>
      </c>
      <c r="BM82"/>
      <c r="BN82"/>
      <c r="BO82"/>
      <c r="BP82"/>
      <c r="BQ82" t="inlineStr">
        <is>
          <t>Day(s)</t>
        </is>
      </c>
      <c r="BR82" t="inlineStr">
        <is>
          <t>Lal,M.S., M. Megharaj, R. Naidu, and M.M. Bahar</t>
        </is>
      </c>
      <c r="BS82" t="n">
        <v>184552.0</v>
      </c>
      <c r="BT82" t="inlineStr">
        <is>
          <t>Uptake of Perfluorooctane Sulfonate (PFOS) by Common Home-Grown Vegetable Plants and Potential Risks to Human Health</t>
        </is>
      </c>
      <c r="BU82" t="inlineStr">
        <is>
          <t>Environ. Technol. Innov.19:7 p.</t>
        </is>
      </c>
      <c r="BV82" t="n">
        <v>2020.0</v>
      </c>
      <c r="BW82" t="inlineStr">
        <is>
          <t>Lal,M.S., M. Megharaj, R. Naidu, and M.M. Bahar (2020). Uptake of Perfluorooctane Sulfonate (PFOS) by Common Home-Grown Vegetable Plants and Potential Risks to Human Health. Environ. Technol. Innov., 19, 7 p. doi:10.1016/j.eti.2020.100863. ECOREF#:184552</t>
        </is>
      </c>
    </row>
    <row r="83">
      <c r="A83" t="n">
        <v>1763231.0</v>
      </c>
      <c r="B83" t="inlineStr">
        <is>
          <t>1,1,2,2,3,3,4,4,5,5,6,6,7,7,8,8,8-Heptadecafluoro-1-octanesulfonic acid</t>
        </is>
      </c>
      <c r="C83"/>
      <c r="D83" t="inlineStr">
        <is>
          <t>Measured</t>
        </is>
      </c>
      <c r="E83"/>
      <c r="F83"/>
      <c r="G83"/>
      <c r="H83"/>
      <c r="I83"/>
      <c r="J83"/>
      <c r="K83" t="inlineStr">
        <is>
          <t>Lactuca sativa</t>
        </is>
      </c>
      <c r="L83" t="inlineStr">
        <is>
          <t>Lettuce</t>
        </is>
      </c>
      <c r="M83" t="inlineStr">
        <is>
          <t>Flowers, Trees, Shrubs, Ferns; Standard Test Species; U.S. Invasive Species</t>
        </is>
      </c>
      <c r="N83" t="inlineStr">
        <is>
          <t>Seed</t>
        </is>
      </c>
      <c r="O83"/>
      <c r="P83"/>
      <c r="Q83"/>
      <c r="R83"/>
      <c r="S83"/>
      <c r="T83"/>
      <c r="U83"/>
      <c r="V83" t="inlineStr">
        <is>
          <t>Environmental, unspecified</t>
        </is>
      </c>
      <c r="W83" t="inlineStr">
        <is>
          <t>Artificial soil</t>
        </is>
      </c>
      <c r="X83" t="inlineStr">
        <is>
          <t>Lab</t>
        </is>
      </c>
      <c r="Y83" t="n">
        <v>3.0</v>
      </c>
      <c r="Z83" t="inlineStr">
        <is>
          <t>Active ingredient</t>
        </is>
      </c>
      <c r="AA83"/>
      <c r="AB83" t="n">
        <v>3817.0</v>
      </c>
      <c r="AC83"/>
      <c r="AD83"/>
      <c r="AE83"/>
      <c r="AF83"/>
      <c r="AG83" t="inlineStr">
        <is>
          <t>ng/g soil</t>
        </is>
      </c>
      <c r="AH83"/>
      <c r="AI83"/>
      <c r="AJ83"/>
      <c r="AK83"/>
      <c r="AL83"/>
      <c r="AM83"/>
      <c r="AN83"/>
      <c r="AO83"/>
      <c r="AP83"/>
      <c r="AQ83"/>
      <c r="AR83"/>
      <c r="AS83"/>
      <c r="AT83"/>
      <c r="AU83"/>
      <c r="AV83"/>
      <c r="AW83"/>
      <c r="AX83" t="inlineStr">
        <is>
          <t>Accumulation</t>
        </is>
      </c>
      <c r="AY83" t="inlineStr">
        <is>
          <t>Residue</t>
        </is>
      </c>
      <c r="AZ83" t="inlineStr">
        <is>
          <t>BAF</t>
        </is>
      </c>
      <c r="BA83"/>
      <c r="BB83" t="n">
        <v>0.26</v>
      </c>
      <c r="BC83"/>
      <c r="BD83"/>
      <c r="BE83"/>
      <c r="BF83"/>
      <c r="BG83"/>
      <c r="BH83"/>
      <c r="BI83" t="inlineStr">
        <is>
          <t>RA</t>
        </is>
      </c>
      <c r="BJ83" t="inlineStr">
        <is>
          <t>Root</t>
        </is>
      </c>
      <c r="BK83"/>
      <c r="BL83" t="n">
        <v>119.0</v>
      </c>
      <c r="BM83"/>
      <c r="BN83"/>
      <c r="BO83"/>
      <c r="BP83"/>
      <c r="BQ83" t="inlineStr">
        <is>
          <t>Day(s)</t>
        </is>
      </c>
      <c r="BR83" t="inlineStr">
        <is>
          <t>Lal,M.S., M. Megharaj, R. Naidu, and M.M. Bahar</t>
        </is>
      </c>
      <c r="BS83" t="n">
        <v>184552.0</v>
      </c>
      <c r="BT83" t="inlineStr">
        <is>
          <t>Uptake of Perfluorooctane Sulfonate (PFOS) by Common Home-Grown Vegetable Plants and Potential Risks to Human Health</t>
        </is>
      </c>
      <c r="BU83" t="inlineStr">
        <is>
          <t>Environ. Technol. Innov.19:7 p.</t>
        </is>
      </c>
      <c r="BV83" t="n">
        <v>2020.0</v>
      </c>
      <c r="BW83" t="inlineStr">
        <is>
          <t>Lal,M.S., M. Megharaj, R. Naidu, and M.M. Bahar (2020). Uptake of Perfluorooctane Sulfonate (PFOS) by Common Home-Grown Vegetable Plants and Potential Risks to Human Health. Environ. Technol. Innov., 19, 7 p. doi:10.1016/j.eti.2020.100863. ECOREF#:184552</t>
        </is>
      </c>
    </row>
    <row r="84">
      <c r="A84" t="n">
        <v>1763231.0</v>
      </c>
      <c r="B84" t="inlineStr">
        <is>
          <t>1,1,2,2,3,3,4,4,5,5,6,6,7,7,8,8,8-Heptadecafluoro-1-octanesulfonic acid</t>
        </is>
      </c>
      <c r="C84"/>
      <c r="D84" t="inlineStr">
        <is>
          <t>Measured</t>
        </is>
      </c>
      <c r="E84"/>
      <c r="F84"/>
      <c r="G84"/>
      <c r="H84"/>
      <c r="I84"/>
      <c r="J84"/>
      <c r="K84" t="inlineStr">
        <is>
          <t>Lactuca sativa</t>
        </is>
      </c>
      <c r="L84" t="inlineStr">
        <is>
          <t>Lettuce</t>
        </is>
      </c>
      <c r="M84" t="inlineStr">
        <is>
          <t>Flowers, Trees, Shrubs, Ferns; Standard Test Species; U.S. Invasive Species</t>
        </is>
      </c>
      <c r="N84" t="inlineStr">
        <is>
          <t>Seed</t>
        </is>
      </c>
      <c r="O84"/>
      <c r="P84"/>
      <c r="Q84"/>
      <c r="R84"/>
      <c r="S84"/>
      <c r="T84"/>
      <c r="U84"/>
      <c r="V84" t="inlineStr">
        <is>
          <t>Environmental, unspecified</t>
        </is>
      </c>
      <c r="W84" t="inlineStr">
        <is>
          <t>Artificial soil</t>
        </is>
      </c>
      <c r="X84" t="inlineStr">
        <is>
          <t>Lab</t>
        </is>
      </c>
      <c r="Y84" t="n">
        <v>3.0</v>
      </c>
      <c r="Z84" t="inlineStr">
        <is>
          <t>Active ingredient</t>
        </is>
      </c>
      <c r="AA84"/>
      <c r="AB84" t="n">
        <v>232.0</v>
      </c>
      <c r="AC84"/>
      <c r="AD84"/>
      <c r="AE84"/>
      <c r="AF84"/>
      <c r="AG84" t="inlineStr">
        <is>
          <t>ng/g soil</t>
        </is>
      </c>
      <c r="AH84"/>
      <c r="AI84"/>
      <c r="AJ84"/>
      <c r="AK84"/>
      <c r="AL84"/>
      <c r="AM84"/>
      <c r="AN84"/>
      <c r="AO84"/>
      <c r="AP84"/>
      <c r="AQ84"/>
      <c r="AR84"/>
      <c r="AS84"/>
      <c r="AT84"/>
      <c r="AU84"/>
      <c r="AV84"/>
      <c r="AW84"/>
      <c r="AX84" t="inlineStr">
        <is>
          <t>Accumulation</t>
        </is>
      </c>
      <c r="AY84" t="inlineStr">
        <is>
          <t>Residue</t>
        </is>
      </c>
      <c r="AZ84" t="inlineStr">
        <is>
          <t>BAF</t>
        </is>
      </c>
      <c r="BA84"/>
      <c r="BB84" t="n">
        <v>0.22</v>
      </c>
      <c r="BC84"/>
      <c r="BD84"/>
      <c r="BE84"/>
      <c r="BF84"/>
      <c r="BG84"/>
      <c r="BH84"/>
      <c r="BI84" t="inlineStr">
        <is>
          <t>RA</t>
        </is>
      </c>
      <c r="BJ84" t="inlineStr">
        <is>
          <t>Shoot</t>
        </is>
      </c>
      <c r="BK84"/>
      <c r="BL84" t="n">
        <v>119.0</v>
      </c>
      <c r="BM84"/>
      <c r="BN84"/>
      <c r="BO84"/>
      <c r="BP84"/>
      <c r="BQ84" t="inlineStr">
        <is>
          <t>Day(s)</t>
        </is>
      </c>
      <c r="BR84" t="inlineStr">
        <is>
          <t>Lal,M.S., M. Megharaj, R. Naidu, and M.M. Bahar</t>
        </is>
      </c>
      <c r="BS84" t="n">
        <v>184552.0</v>
      </c>
      <c r="BT84" t="inlineStr">
        <is>
          <t>Uptake of Perfluorooctane Sulfonate (PFOS) by Common Home-Grown Vegetable Plants and Potential Risks to Human Health</t>
        </is>
      </c>
      <c r="BU84" t="inlineStr">
        <is>
          <t>Environ. Technol. Innov.19:7 p.</t>
        </is>
      </c>
      <c r="BV84" t="n">
        <v>2020.0</v>
      </c>
      <c r="BW84" t="inlineStr">
        <is>
          <t>Lal,M.S., M. Megharaj, R. Naidu, and M.M. Bahar (2020). Uptake of Perfluorooctane Sulfonate (PFOS) by Common Home-Grown Vegetable Plants and Potential Risks to Human Health. Environ. Technol. Innov., 19, 7 p. doi:10.1016/j.eti.2020.100863. ECOREF#:184552</t>
        </is>
      </c>
    </row>
    <row r="85">
      <c r="A85" t="n">
        <v>1763231.0</v>
      </c>
      <c r="B85" t="inlineStr">
        <is>
          <t>1,1,2,2,3,3,4,4,5,5,6,6,7,7,8,8,8-Heptadecafluoro-1-octanesulfonic acid</t>
        </is>
      </c>
      <c r="C85" t="inlineStr">
        <is>
          <t>Technical grade, technical product, technical formulation</t>
        </is>
      </c>
      <c r="D85" t="inlineStr">
        <is>
          <t>Measured</t>
        </is>
      </c>
      <c r="E85"/>
      <c r="F85"/>
      <c r="G85"/>
      <c r="H85"/>
      <c r="I85"/>
      <c r="J85"/>
      <c r="K85" t="inlineStr">
        <is>
          <t>Lactuca sativa</t>
        </is>
      </c>
      <c r="L85" t="inlineStr">
        <is>
          <t>Lettuce</t>
        </is>
      </c>
      <c r="M85" t="inlineStr">
        <is>
          <t>Flowers, Trees, Shrubs, Ferns; Standard Test Species; U.S. Invasive Species</t>
        </is>
      </c>
      <c r="N85" t="inlineStr">
        <is>
          <t>Seed</t>
        </is>
      </c>
      <c r="O85"/>
      <c r="P85"/>
      <c r="Q85"/>
      <c r="R85"/>
      <c r="S85"/>
      <c r="T85"/>
      <c r="U85"/>
      <c r="V85" t="inlineStr">
        <is>
          <t>Soil slurry</t>
        </is>
      </c>
      <c r="W85" t="inlineStr">
        <is>
          <t>Natural soil</t>
        </is>
      </c>
      <c r="X85" t="inlineStr">
        <is>
          <t>Lab</t>
        </is>
      </c>
      <c r="Y85" t="n">
        <v>2.0</v>
      </c>
      <c r="Z85" t="inlineStr">
        <is>
          <t>Active ingredient</t>
        </is>
      </c>
      <c r="AA85"/>
      <c r="AB85" t="n">
        <v>0.343</v>
      </c>
      <c r="AC85"/>
      <c r="AD85"/>
      <c r="AE85"/>
      <c r="AF85"/>
      <c r="AG85" t="inlineStr">
        <is>
          <t>ug/kg soil</t>
        </is>
      </c>
      <c r="AH85"/>
      <c r="AI85"/>
      <c r="AJ85"/>
      <c r="AK85"/>
      <c r="AL85"/>
      <c r="AM85"/>
      <c r="AN85"/>
      <c r="AO85"/>
      <c r="AP85"/>
      <c r="AQ85"/>
      <c r="AR85"/>
      <c r="AS85"/>
      <c r="AT85"/>
      <c r="AU85"/>
      <c r="AV85"/>
      <c r="AW85"/>
      <c r="AX85" t="inlineStr">
        <is>
          <t>Accumulation</t>
        </is>
      </c>
      <c r="AY85" t="inlineStr">
        <is>
          <t>Residue</t>
        </is>
      </c>
      <c r="AZ85" t="inlineStr">
        <is>
          <t>BAF</t>
        </is>
      </c>
      <c r="BA85"/>
      <c r="BB85" t="n">
        <v>0.297</v>
      </c>
      <c r="BC85"/>
      <c r="BD85"/>
      <c r="BE85"/>
      <c r="BF85"/>
      <c r="BG85"/>
      <c r="BH85"/>
      <c r="BI85" t="inlineStr">
        <is>
          <t>RA</t>
        </is>
      </c>
      <c r="BJ85" t="inlineStr">
        <is>
          <t>Shoot</t>
        </is>
      </c>
      <c r="BK85"/>
      <c r="BL85" t="n">
        <v>60.88</v>
      </c>
      <c r="BM85"/>
      <c r="BN85"/>
      <c r="BO85"/>
      <c r="BP85"/>
      <c r="BQ85" t="inlineStr">
        <is>
          <t>Day(s)</t>
        </is>
      </c>
      <c r="BR85" t="inlineStr">
        <is>
          <t>Lee,D.Y., G.H. Choi, D. Megson, K.Y. Oh, I.W. Choi, D.C. Seo, and J.H. Kim</t>
        </is>
      </c>
      <c r="BS85" t="n">
        <v>185956.0</v>
      </c>
      <c r="BT85" t="inlineStr">
        <is>
          <t>Effect of Soil Organic Matter on the Plant Uptake of Perfluorooctanoic Acid (PFOA) and Perfluorooctanesulphonic Acid (PFOS) in Lettuce on Granular Activated Carbon-Applied Soil</t>
        </is>
      </c>
      <c r="BU85" t="inlineStr">
        <is>
          <t>Environ. Geochem. Health43:2193-2202</t>
        </is>
      </c>
      <c r="BV85" t="n">
        <v>2021.0</v>
      </c>
      <c r="BW85"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86">
      <c r="A86" t="n">
        <v>1763231.0</v>
      </c>
      <c r="B86" t="inlineStr">
        <is>
          <t>1,1,2,2,3,3,4,4,5,5,6,6,7,7,8,8,8-Heptadecafluoro-1-octanesulfonic acid</t>
        </is>
      </c>
      <c r="C86" t="inlineStr">
        <is>
          <t>Technical grade, technical product, technical formulation</t>
        </is>
      </c>
      <c r="D86" t="inlineStr">
        <is>
          <t>Measured</t>
        </is>
      </c>
      <c r="E86"/>
      <c r="F86"/>
      <c r="G86"/>
      <c r="H86"/>
      <c r="I86"/>
      <c r="J86"/>
      <c r="K86" t="inlineStr">
        <is>
          <t>Lactuca sativa</t>
        </is>
      </c>
      <c r="L86" t="inlineStr">
        <is>
          <t>Lettuce</t>
        </is>
      </c>
      <c r="M86" t="inlineStr">
        <is>
          <t>Flowers, Trees, Shrubs, Ferns; Standard Test Species; U.S. Invasive Species</t>
        </is>
      </c>
      <c r="N86" t="inlineStr">
        <is>
          <t>Seed</t>
        </is>
      </c>
      <c r="O86"/>
      <c r="P86"/>
      <c r="Q86"/>
      <c r="R86"/>
      <c r="S86"/>
      <c r="T86"/>
      <c r="U86"/>
      <c r="V86" t="inlineStr">
        <is>
          <t>Soil slurry</t>
        </is>
      </c>
      <c r="W86" t="inlineStr">
        <is>
          <t>Natural soil</t>
        </is>
      </c>
      <c r="X86" t="inlineStr">
        <is>
          <t>Lab</t>
        </is>
      </c>
      <c r="Y86" t="n">
        <v>2.0</v>
      </c>
      <c r="Z86" t="inlineStr">
        <is>
          <t>Active ingredient</t>
        </is>
      </c>
      <c r="AA86"/>
      <c r="AB86" t="n">
        <v>1093.0</v>
      </c>
      <c r="AC86"/>
      <c r="AD86"/>
      <c r="AE86"/>
      <c r="AF86"/>
      <c r="AG86" t="inlineStr">
        <is>
          <t>ug/kg soil</t>
        </is>
      </c>
      <c r="AH86"/>
      <c r="AI86"/>
      <c r="AJ86"/>
      <c r="AK86"/>
      <c r="AL86"/>
      <c r="AM86"/>
      <c r="AN86"/>
      <c r="AO86"/>
      <c r="AP86"/>
      <c r="AQ86"/>
      <c r="AR86"/>
      <c r="AS86"/>
      <c r="AT86"/>
      <c r="AU86"/>
      <c r="AV86"/>
      <c r="AW86"/>
      <c r="AX86" t="inlineStr">
        <is>
          <t>Accumulation</t>
        </is>
      </c>
      <c r="AY86" t="inlineStr">
        <is>
          <t>Residue</t>
        </is>
      </c>
      <c r="AZ86" t="inlineStr">
        <is>
          <t>BAF</t>
        </is>
      </c>
      <c r="BA86"/>
      <c r="BB86" t="n">
        <v>0.207</v>
      </c>
      <c r="BC86"/>
      <c r="BD86"/>
      <c r="BE86"/>
      <c r="BF86"/>
      <c r="BG86"/>
      <c r="BH86"/>
      <c r="BI86" t="inlineStr">
        <is>
          <t>RA</t>
        </is>
      </c>
      <c r="BJ86" t="inlineStr">
        <is>
          <t>Shoot</t>
        </is>
      </c>
      <c r="BK86"/>
      <c r="BL86" t="n">
        <v>60.88</v>
      </c>
      <c r="BM86"/>
      <c r="BN86"/>
      <c r="BO86"/>
      <c r="BP86"/>
      <c r="BQ86" t="inlineStr">
        <is>
          <t>Day(s)</t>
        </is>
      </c>
      <c r="BR86" t="inlineStr">
        <is>
          <t>Lee,D.Y., G.H. Choi, D. Megson, K.Y. Oh, I.W. Choi, D.C. Seo, and J.H. Kim</t>
        </is>
      </c>
      <c r="BS86" t="n">
        <v>185956.0</v>
      </c>
      <c r="BT86" t="inlineStr">
        <is>
          <t>Effect of Soil Organic Matter on the Plant Uptake of Perfluorooctanoic Acid (PFOA) and Perfluorooctanesulphonic Acid (PFOS) in Lettuce on Granular Activated Carbon-Applied Soil</t>
        </is>
      </c>
      <c r="BU86" t="inlineStr">
        <is>
          <t>Environ. Geochem. Health43:2193-2202</t>
        </is>
      </c>
      <c r="BV86" t="n">
        <v>2021.0</v>
      </c>
      <c r="BW86"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87">
      <c r="A87" t="n">
        <v>1763231.0</v>
      </c>
      <c r="B87" t="inlineStr">
        <is>
          <t>1,1,2,2,3,3,4,4,5,5,6,6,7,7,8,8,8-Heptadecafluoro-1-octanesulfonic acid</t>
        </is>
      </c>
      <c r="C87"/>
      <c r="D87" t="inlineStr">
        <is>
          <t>Measured</t>
        </is>
      </c>
      <c r="E87"/>
      <c r="F87"/>
      <c r="G87"/>
      <c r="H87"/>
      <c r="I87"/>
      <c r="J87"/>
      <c r="K87" t="inlineStr">
        <is>
          <t>Lactuca sativa</t>
        </is>
      </c>
      <c r="L87" t="inlineStr">
        <is>
          <t>Lettuce</t>
        </is>
      </c>
      <c r="M87" t="inlineStr">
        <is>
          <t>Flowers, Trees, Shrubs, Ferns; Standard Test Species; U.S. Invasive Species</t>
        </is>
      </c>
      <c r="N87" t="inlineStr">
        <is>
          <t>Seed</t>
        </is>
      </c>
      <c r="O87"/>
      <c r="P87"/>
      <c r="Q87"/>
      <c r="R87"/>
      <c r="S87"/>
      <c r="T87"/>
      <c r="U87"/>
      <c r="V87" t="inlineStr">
        <is>
          <t>Environmental, unspecified</t>
        </is>
      </c>
      <c r="W87" t="inlineStr">
        <is>
          <t>Artificial soil</t>
        </is>
      </c>
      <c r="X87" t="inlineStr">
        <is>
          <t>Lab</t>
        </is>
      </c>
      <c r="Y87" t="n">
        <v>3.0</v>
      </c>
      <c r="Z87" t="inlineStr">
        <is>
          <t>Active ingredient</t>
        </is>
      </c>
      <c r="AA87"/>
      <c r="AB87" t="n">
        <v>232.0</v>
      </c>
      <c r="AC87"/>
      <c r="AD87"/>
      <c r="AE87"/>
      <c r="AF87"/>
      <c r="AG87" t="inlineStr">
        <is>
          <t>ng/g soil</t>
        </is>
      </c>
      <c r="AH87"/>
      <c r="AI87"/>
      <c r="AJ87"/>
      <c r="AK87"/>
      <c r="AL87"/>
      <c r="AM87"/>
      <c r="AN87"/>
      <c r="AO87"/>
      <c r="AP87"/>
      <c r="AQ87"/>
      <c r="AR87"/>
      <c r="AS87"/>
      <c r="AT87"/>
      <c r="AU87"/>
      <c r="AV87"/>
      <c r="AW87"/>
      <c r="AX87" t="inlineStr">
        <is>
          <t>Accumulation</t>
        </is>
      </c>
      <c r="AY87" t="inlineStr">
        <is>
          <t>Residue</t>
        </is>
      </c>
      <c r="AZ87" t="inlineStr">
        <is>
          <t>BAF</t>
        </is>
      </c>
      <c r="BA87"/>
      <c r="BB87" t="n">
        <v>0.59</v>
      </c>
      <c r="BC87"/>
      <c r="BD87"/>
      <c r="BE87"/>
      <c r="BF87"/>
      <c r="BG87"/>
      <c r="BH87"/>
      <c r="BI87" t="inlineStr">
        <is>
          <t>RA</t>
        </is>
      </c>
      <c r="BJ87" t="inlineStr">
        <is>
          <t>Root</t>
        </is>
      </c>
      <c r="BK87"/>
      <c r="BL87" t="n">
        <v>119.0</v>
      </c>
      <c r="BM87"/>
      <c r="BN87"/>
      <c r="BO87"/>
      <c r="BP87"/>
      <c r="BQ87" t="inlineStr">
        <is>
          <t>Day(s)</t>
        </is>
      </c>
      <c r="BR87" t="inlineStr">
        <is>
          <t>Lal,M.S., M. Megharaj, R. Naidu, and M.M. Bahar</t>
        </is>
      </c>
      <c r="BS87" t="n">
        <v>184552.0</v>
      </c>
      <c r="BT87" t="inlineStr">
        <is>
          <t>Uptake of Perfluorooctane Sulfonate (PFOS) by Common Home-Grown Vegetable Plants and Potential Risks to Human Health</t>
        </is>
      </c>
      <c r="BU87" t="inlineStr">
        <is>
          <t>Environ. Technol. Innov.19:7 p.</t>
        </is>
      </c>
      <c r="BV87" t="n">
        <v>2020.0</v>
      </c>
      <c r="BW87" t="inlineStr">
        <is>
          <t>Lal,M.S., M. Megharaj, R. Naidu, and M.M. Bahar (2020). Uptake of Perfluorooctane Sulfonate (PFOS) by Common Home-Grown Vegetable Plants and Potential Risks to Human Health. Environ. Technol. Innov., 19, 7 p. doi:10.1016/j.eti.2020.100863. ECOREF#:184552</t>
        </is>
      </c>
    </row>
    <row r="88">
      <c r="A88" t="n">
        <v>1763231.0</v>
      </c>
      <c r="B88" t="inlineStr">
        <is>
          <t>1,1,2,2,3,3,4,4,5,5,6,6,7,7,8,8,8-Heptadecafluoro-1-octanesulfonic acid</t>
        </is>
      </c>
      <c r="C88" t="inlineStr">
        <is>
          <t>Technical grade, technical product, technical formulation</t>
        </is>
      </c>
      <c r="D88" t="inlineStr">
        <is>
          <t>Measured</t>
        </is>
      </c>
      <c r="E88"/>
      <c r="F88"/>
      <c r="G88"/>
      <c r="H88"/>
      <c r="I88"/>
      <c r="J88"/>
      <c r="K88" t="inlineStr">
        <is>
          <t>Lactuca sativa</t>
        </is>
      </c>
      <c r="L88" t="inlineStr">
        <is>
          <t>Lettuce</t>
        </is>
      </c>
      <c r="M88" t="inlineStr">
        <is>
          <t>Flowers, Trees, Shrubs, Ferns; Standard Test Species; U.S. Invasive Species</t>
        </is>
      </c>
      <c r="N88" t="inlineStr">
        <is>
          <t>Seed</t>
        </is>
      </c>
      <c r="O88"/>
      <c r="P88"/>
      <c r="Q88"/>
      <c r="R88"/>
      <c r="S88"/>
      <c r="T88"/>
      <c r="U88"/>
      <c r="V88" t="inlineStr">
        <is>
          <t>Soil slurry</t>
        </is>
      </c>
      <c r="W88" t="inlineStr">
        <is>
          <t>Natural soil</t>
        </is>
      </c>
      <c r="X88" t="inlineStr">
        <is>
          <t>Lab</t>
        </is>
      </c>
      <c r="Y88" t="n">
        <v>2.0</v>
      </c>
      <c r="Z88" t="inlineStr">
        <is>
          <t>Active ingredient</t>
        </is>
      </c>
      <c r="AA88"/>
      <c r="AB88" t="n">
        <v>859.2</v>
      </c>
      <c r="AC88"/>
      <c r="AD88"/>
      <c r="AE88"/>
      <c r="AF88"/>
      <c r="AG88" t="inlineStr">
        <is>
          <t>ug/kg soil</t>
        </is>
      </c>
      <c r="AH88"/>
      <c r="AI88"/>
      <c r="AJ88"/>
      <c r="AK88"/>
      <c r="AL88"/>
      <c r="AM88"/>
      <c r="AN88"/>
      <c r="AO88"/>
      <c r="AP88"/>
      <c r="AQ88"/>
      <c r="AR88"/>
      <c r="AS88"/>
      <c r="AT88"/>
      <c r="AU88"/>
      <c r="AV88"/>
      <c r="AW88"/>
      <c r="AX88" t="inlineStr">
        <is>
          <t>Accumulation</t>
        </is>
      </c>
      <c r="AY88" t="inlineStr">
        <is>
          <t>Residue</t>
        </is>
      </c>
      <c r="AZ88" t="inlineStr">
        <is>
          <t>BAF</t>
        </is>
      </c>
      <c r="BA88"/>
      <c r="BB88" t="n">
        <v>0.1</v>
      </c>
      <c r="BC88"/>
      <c r="BD88"/>
      <c r="BE88"/>
      <c r="BF88"/>
      <c r="BG88"/>
      <c r="BH88"/>
      <c r="BI88" t="inlineStr">
        <is>
          <t>RA</t>
        </is>
      </c>
      <c r="BJ88" t="inlineStr">
        <is>
          <t>Shoot</t>
        </is>
      </c>
      <c r="BK88"/>
      <c r="BL88" t="n">
        <v>60.88</v>
      </c>
      <c r="BM88"/>
      <c r="BN88"/>
      <c r="BO88"/>
      <c r="BP88"/>
      <c r="BQ88" t="inlineStr">
        <is>
          <t>Day(s)</t>
        </is>
      </c>
      <c r="BR88" t="inlineStr">
        <is>
          <t>Lee,D.Y., G.H. Choi, D. Megson, K.Y. Oh, I.W. Choi, D.C. Seo, and J.H. Kim</t>
        </is>
      </c>
      <c r="BS88" t="n">
        <v>185956.0</v>
      </c>
      <c r="BT88" t="inlineStr">
        <is>
          <t>Effect of Soil Organic Matter on the Plant Uptake of Perfluorooctanoic Acid (PFOA) and Perfluorooctanesulphonic Acid (PFOS) in Lettuce on Granular Activated Carbon-Applied Soil</t>
        </is>
      </c>
      <c r="BU88" t="inlineStr">
        <is>
          <t>Environ. Geochem. Health43:2193-2202</t>
        </is>
      </c>
      <c r="BV88" t="n">
        <v>2021.0</v>
      </c>
      <c r="BW88"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89">
      <c r="A89" t="n">
        <v>1763231.0</v>
      </c>
      <c r="B89" t="inlineStr">
        <is>
          <t>1,1,2,2,3,3,4,4,5,5,6,6,7,7,8,8,8-Heptadecafluoro-1-octanesulfonic acid</t>
        </is>
      </c>
      <c r="C89" t="inlineStr">
        <is>
          <t>Technical grade, technical product, technical formulation</t>
        </is>
      </c>
      <c r="D89" t="inlineStr">
        <is>
          <t>Measured</t>
        </is>
      </c>
      <c r="E89"/>
      <c r="F89"/>
      <c r="G89"/>
      <c r="H89"/>
      <c r="I89"/>
      <c r="J89"/>
      <c r="K89" t="inlineStr">
        <is>
          <t>Lactuca sativa</t>
        </is>
      </c>
      <c r="L89" t="inlineStr">
        <is>
          <t>Lettuce</t>
        </is>
      </c>
      <c r="M89" t="inlineStr">
        <is>
          <t>Flowers, Trees, Shrubs, Ferns; Standard Test Species; U.S. Invasive Species</t>
        </is>
      </c>
      <c r="N89" t="inlineStr">
        <is>
          <t>Seed</t>
        </is>
      </c>
      <c r="O89"/>
      <c r="P89"/>
      <c r="Q89"/>
      <c r="R89"/>
      <c r="S89"/>
      <c r="T89"/>
      <c r="U89"/>
      <c r="V89" t="inlineStr">
        <is>
          <t>Soil slurry</t>
        </is>
      </c>
      <c r="W89" t="inlineStr">
        <is>
          <t>Natural soil</t>
        </is>
      </c>
      <c r="X89" t="inlineStr">
        <is>
          <t>Lab</t>
        </is>
      </c>
      <c r="Y89" t="n">
        <v>2.0</v>
      </c>
      <c r="Z89" t="inlineStr">
        <is>
          <t>Active ingredient</t>
        </is>
      </c>
      <c r="AA89"/>
      <c r="AB89" t="n">
        <v>3.701</v>
      </c>
      <c r="AC89"/>
      <c r="AD89"/>
      <c r="AE89"/>
      <c r="AF89"/>
      <c r="AG89" t="inlineStr">
        <is>
          <t>ug/kg soil</t>
        </is>
      </c>
      <c r="AH89"/>
      <c r="AI89"/>
      <c r="AJ89"/>
      <c r="AK89"/>
      <c r="AL89"/>
      <c r="AM89"/>
      <c r="AN89"/>
      <c r="AO89"/>
      <c r="AP89"/>
      <c r="AQ89"/>
      <c r="AR89"/>
      <c r="AS89"/>
      <c r="AT89"/>
      <c r="AU89"/>
      <c r="AV89"/>
      <c r="AW89"/>
      <c r="AX89" t="inlineStr">
        <is>
          <t>Accumulation</t>
        </is>
      </c>
      <c r="AY89" t="inlineStr">
        <is>
          <t>Residue</t>
        </is>
      </c>
      <c r="AZ89" t="inlineStr">
        <is>
          <t>BAF</t>
        </is>
      </c>
      <c r="BA89"/>
      <c r="BB89" t="n">
        <v>0.115</v>
      </c>
      <c r="BC89"/>
      <c r="BD89"/>
      <c r="BE89"/>
      <c r="BF89"/>
      <c r="BG89"/>
      <c r="BH89"/>
      <c r="BI89" t="inlineStr">
        <is>
          <t>RA</t>
        </is>
      </c>
      <c r="BJ89" t="inlineStr">
        <is>
          <t>Shoot</t>
        </is>
      </c>
      <c r="BK89"/>
      <c r="BL89" t="n">
        <v>60.88</v>
      </c>
      <c r="BM89"/>
      <c r="BN89"/>
      <c r="BO89"/>
      <c r="BP89"/>
      <c r="BQ89" t="inlineStr">
        <is>
          <t>Day(s)</t>
        </is>
      </c>
      <c r="BR89" t="inlineStr">
        <is>
          <t>Lee,D.Y., G.H. Choi, D. Megson, K.Y. Oh, I.W. Choi, D.C. Seo, and J.H. Kim</t>
        </is>
      </c>
      <c r="BS89" t="n">
        <v>185956.0</v>
      </c>
      <c r="BT89" t="inlineStr">
        <is>
          <t>Effect of Soil Organic Matter on the Plant Uptake of Perfluorooctanoic Acid (PFOA) and Perfluorooctanesulphonic Acid (PFOS) in Lettuce on Granular Activated Carbon-Applied Soil</t>
        </is>
      </c>
      <c r="BU89" t="inlineStr">
        <is>
          <t>Environ. Geochem. Health43:2193-2202</t>
        </is>
      </c>
      <c r="BV89" t="n">
        <v>2021.0</v>
      </c>
      <c r="BW89"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90">
      <c r="A90" t="n">
        <v>1763231.0</v>
      </c>
      <c r="B90" t="inlineStr">
        <is>
          <t>1,1,2,2,3,3,4,4,5,5,6,6,7,7,8,8,8-Heptadecafluoro-1-octanesulfonic acid</t>
        </is>
      </c>
      <c r="C90"/>
      <c r="D90" t="inlineStr">
        <is>
          <t>Measured</t>
        </is>
      </c>
      <c r="E90"/>
      <c r="F90"/>
      <c r="G90"/>
      <c r="H90"/>
      <c r="I90"/>
      <c r="J90"/>
      <c r="K90" t="inlineStr">
        <is>
          <t>Lactuca sativa</t>
        </is>
      </c>
      <c r="L90" t="inlineStr">
        <is>
          <t>Lettuce</t>
        </is>
      </c>
      <c r="M90" t="inlineStr">
        <is>
          <t>Flowers, Trees, Shrubs, Ferns; Standard Test Species; U.S. Invasive Species</t>
        </is>
      </c>
      <c r="N90" t="inlineStr">
        <is>
          <t>Seed</t>
        </is>
      </c>
      <c r="O90"/>
      <c r="P90"/>
      <c r="Q90"/>
      <c r="R90"/>
      <c r="S90"/>
      <c r="T90"/>
      <c r="U90"/>
      <c r="V90" t="inlineStr">
        <is>
          <t>Environmental, unspecified</t>
        </is>
      </c>
      <c r="W90" t="inlineStr">
        <is>
          <t>Artificial soil</t>
        </is>
      </c>
      <c r="X90" t="inlineStr">
        <is>
          <t>Lab</t>
        </is>
      </c>
      <c r="Y90" t="n">
        <v>3.0</v>
      </c>
      <c r="Z90" t="inlineStr">
        <is>
          <t>Active ingredient</t>
        </is>
      </c>
      <c r="AA90"/>
      <c r="AB90" t="n">
        <v>41947.0</v>
      </c>
      <c r="AC90"/>
      <c r="AD90"/>
      <c r="AE90"/>
      <c r="AF90"/>
      <c r="AG90" t="inlineStr">
        <is>
          <t>ng/g soil</t>
        </is>
      </c>
      <c r="AH90"/>
      <c r="AI90"/>
      <c r="AJ90"/>
      <c r="AK90"/>
      <c r="AL90"/>
      <c r="AM90"/>
      <c r="AN90"/>
      <c r="AO90"/>
      <c r="AP90"/>
      <c r="AQ90"/>
      <c r="AR90"/>
      <c r="AS90"/>
      <c r="AT90"/>
      <c r="AU90"/>
      <c r="AV90"/>
      <c r="AW90"/>
      <c r="AX90" t="inlineStr">
        <is>
          <t>Accumulation</t>
        </is>
      </c>
      <c r="AY90" t="inlineStr">
        <is>
          <t>Residue</t>
        </is>
      </c>
      <c r="AZ90" t="inlineStr">
        <is>
          <t>BAF</t>
        </is>
      </c>
      <c r="BA90"/>
      <c r="BB90" t="n">
        <v>0.17</v>
      </c>
      <c r="BC90"/>
      <c r="BD90"/>
      <c r="BE90"/>
      <c r="BF90"/>
      <c r="BG90"/>
      <c r="BH90"/>
      <c r="BI90" t="inlineStr">
        <is>
          <t>RA</t>
        </is>
      </c>
      <c r="BJ90" t="inlineStr">
        <is>
          <t>Root</t>
        </is>
      </c>
      <c r="BK90"/>
      <c r="BL90" t="n">
        <v>119.0</v>
      </c>
      <c r="BM90"/>
      <c r="BN90"/>
      <c r="BO90"/>
      <c r="BP90"/>
      <c r="BQ90" t="inlineStr">
        <is>
          <t>Day(s)</t>
        </is>
      </c>
      <c r="BR90" t="inlineStr">
        <is>
          <t>Lal,M.S., M. Megharaj, R. Naidu, and M.M. Bahar</t>
        </is>
      </c>
      <c r="BS90" t="n">
        <v>184552.0</v>
      </c>
      <c r="BT90" t="inlineStr">
        <is>
          <t>Uptake of Perfluorooctane Sulfonate (PFOS) by Common Home-Grown Vegetable Plants and Potential Risks to Human Health</t>
        </is>
      </c>
      <c r="BU90" t="inlineStr">
        <is>
          <t>Environ. Technol. Innov.19:7 p.</t>
        </is>
      </c>
      <c r="BV90" t="n">
        <v>2020.0</v>
      </c>
      <c r="BW90" t="inlineStr">
        <is>
          <t>Lal,M.S., M. Megharaj, R. Naidu, and M.M. Bahar (2020). Uptake of Perfluorooctane Sulfonate (PFOS) by Common Home-Grown Vegetable Plants and Potential Risks to Human Health. Environ. Technol. Innov., 19, 7 p. doi:10.1016/j.eti.2020.100863. ECOREF#:184552</t>
        </is>
      </c>
    </row>
    <row r="91">
      <c r="A91" t="n">
        <v>1763231.0</v>
      </c>
      <c r="B91" t="inlineStr">
        <is>
          <t>1,1,2,2,3,3,4,4,5,5,6,6,7,7,8,8,8-Heptadecafluoro-1-octanesulfonic acid</t>
        </is>
      </c>
      <c r="C91"/>
      <c r="D91" t="inlineStr">
        <is>
          <t>Measured</t>
        </is>
      </c>
      <c r="E91"/>
      <c r="F91"/>
      <c r="G91"/>
      <c r="H91"/>
      <c r="I91"/>
      <c r="J91"/>
      <c r="K91" t="inlineStr">
        <is>
          <t>Lactuca sativa</t>
        </is>
      </c>
      <c r="L91" t="inlineStr">
        <is>
          <t>Lettuce</t>
        </is>
      </c>
      <c r="M91" t="inlineStr">
        <is>
          <t>Flowers, Trees, Shrubs, Ferns; Standard Test Species; U.S. Invasive Species</t>
        </is>
      </c>
      <c r="N91" t="inlineStr">
        <is>
          <t>Seed</t>
        </is>
      </c>
      <c r="O91"/>
      <c r="P91"/>
      <c r="Q91"/>
      <c r="R91"/>
      <c r="S91"/>
      <c r="T91"/>
      <c r="U91"/>
      <c r="V91" t="inlineStr">
        <is>
          <t>Environmental, unspecified</t>
        </is>
      </c>
      <c r="W91" t="inlineStr">
        <is>
          <t>Artificial soil</t>
        </is>
      </c>
      <c r="X91" t="inlineStr">
        <is>
          <t>Lab</t>
        </is>
      </c>
      <c r="Y91" t="n">
        <v>3.0</v>
      </c>
      <c r="Z91" t="inlineStr">
        <is>
          <t>Active ingredient</t>
        </is>
      </c>
      <c r="AA91"/>
      <c r="AB91" t="n">
        <v>41947.0</v>
      </c>
      <c r="AC91"/>
      <c r="AD91"/>
      <c r="AE91"/>
      <c r="AF91"/>
      <c r="AG91" t="inlineStr">
        <is>
          <t>ng/g soil</t>
        </is>
      </c>
      <c r="AH91"/>
      <c r="AI91"/>
      <c r="AJ91"/>
      <c r="AK91"/>
      <c r="AL91"/>
      <c r="AM91"/>
      <c r="AN91"/>
      <c r="AO91"/>
      <c r="AP91"/>
      <c r="AQ91"/>
      <c r="AR91"/>
      <c r="AS91"/>
      <c r="AT91"/>
      <c r="AU91"/>
      <c r="AV91"/>
      <c r="AW91"/>
      <c r="AX91" t="inlineStr">
        <is>
          <t>Accumulation</t>
        </is>
      </c>
      <c r="AY91" t="inlineStr">
        <is>
          <t>Residue</t>
        </is>
      </c>
      <c r="AZ91" t="inlineStr">
        <is>
          <t>BAF</t>
        </is>
      </c>
      <c r="BA91"/>
      <c r="BB91" t="n">
        <v>0.29</v>
      </c>
      <c r="BC91"/>
      <c r="BD91"/>
      <c r="BE91"/>
      <c r="BF91"/>
      <c r="BG91"/>
      <c r="BH91"/>
      <c r="BI91" t="inlineStr">
        <is>
          <t>RA</t>
        </is>
      </c>
      <c r="BJ91" t="inlineStr">
        <is>
          <t>Shoot</t>
        </is>
      </c>
      <c r="BK91"/>
      <c r="BL91" t="n">
        <v>119.0</v>
      </c>
      <c r="BM91"/>
      <c r="BN91"/>
      <c r="BO91"/>
      <c r="BP91"/>
      <c r="BQ91" t="inlineStr">
        <is>
          <t>Day(s)</t>
        </is>
      </c>
      <c r="BR91" t="inlineStr">
        <is>
          <t>Lal,M.S., M. Megharaj, R. Naidu, and M.M. Bahar</t>
        </is>
      </c>
      <c r="BS91" t="n">
        <v>184552.0</v>
      </c>
      <c r="BT91" t="inlineStr">
        <is>
          <t>Uptake of Perfluorooctane Sulfonate (PFOS) by Common Home-Grown Vegetable Plants and Potential Risks to Human Health</t>
        </is>
      </c>
      <c r="BU91" t="inlineStr">
        <is>
          <t>Environ. Technol. Innov.19:7 p.</t>
        </is>
      </c>
      <c r="BV91" t="n">
        <v>2020.0</v>
      </c>
      <c r="BW91" t="inlineStr">
        <is>
          <t>Lal,M.S., M. Megharaj, R. Naidu, and M.M. Bahar (2020). Uptake of Perfluorooctane Sulfonate (PFOS) by Common Home-Grown Vegetable Plants and Potential Risks to Human Health. Environ. Technol. Innov., 19, 7 p. doi:10.1016/j.eti.2020.100863. ECOREF#:184552</t>
        </is>
      </c>
    </row>
    <row r="92">
      <c r="A92" t="n">
        <v>1763231.0</v>
      </c>
      <c r="B92" t="inlineStr">
        <is>
          <t>1,1,2,2,3,3,4,4,5,5,6,6,7,7,8,8,8-Heptadecafluoro-1-octanesulfonic acid</t>
        </is>
      </c>
      <c r="C92"/>
      <c r="D92" t="inlineStr">
        <is>
          <t>Measured</t>
        </is>
      </c>
      <c r="E92" t="inlineStr">
        <is>
          <t>&gt;=</t>
        </is>
      </c>
      <c r="F92" t="n">
        <v>98.0</v>
      </c>
      <c r="G92"/>
      <c r="H92"/>
      <c r="I92"/>
      <c r="J92"/>
      <c r="K92" t="inlineStr">
        <is>
          <t>Lactuca sativa</t>
        </is>
      </c>
      <c r="L92" t="inlineStr">
        <is>
          <t>Lettuce</t>
        </is>
      </c>
      <c r="M92" t="inlineStr">
        <is>
          <t>Flowers, Trees, Shrubs, Ferns; Standard Test Species; U.S. Invasive Species</t>
        </is>
      </c>
      <c r="N92" t="inlineStr">
        <is>
          <t>Seedling</t>
        </is>
      </c>
      <c r="O92"/>
      <c r="P92" t="n">
        <v>14.0</v>
      </c>
      <c r="Q92"/>
      <c r="R92"/>
      <c r="S92"/>
      <c r="T92"/>
      <c r="U92" t="inlineStr">
        <is>
          <t>Day(s)</t>
        </is>
      </c>
      <c r="V92" t="inlineStr">
        <is>
          <t>Environmental, unspecified</t>
        </is>
      </c>
      <c r="W92" t="inlineStr">
        <is>
          <t>Natural soil</t>
        </is>
      </c>
      <c r="X92" t="inlineStr">
        <is>
          <t>Lab</t>
        </is>
      </c>
      <c r="Y92" t="n">
        <v>3.0</v>
      </c>
      <c r="Z92" t="inlineStr">
        <is>
          <t>Active ingredient</t>
        </is>
      </c>
      <c r="AA92"/>
      <c r="AB92" t="n">
        <v>0.975</v>
      </c>
      <c r="AC92"/>
      <c r="AD92"/>
      <c r="AE92"/>
      <c r="AF92"/>
      <c r="AG92" t="inlineStr">
        <is>
          <t>mg/kg dry soil</t>
        </is>
      </c>
      <c r="AH92"/>
      <c r="AI92"/>
      <c r="AJ92"/>
      <c r="AK92"/>
      <c r="AL92"/>
      <c r="AM92"/>
      <c r="AN92"/>
      <c r="AO92"/>
      <c r="AP92"/>
      <c r="AQ92"/>
      <c r="AR92"/>
      <c r="AS92"/>
      <c r="AT92"/>
      <c r="AU92"/>
      <c r="AV92"/>
      <c r="AW92"/>
      <c r="AX92" t="inlineStr">
        <is>
          <t>Accumulation</t>
        </is>
      </c>
      <c r="AY92" t="inlineStr">
        <is>
          <t>Residue</t>
        </is>
      </c>
      <c r="AZ92" t="inlineStr">
        <is>
          <t>BCFD</t>
        </is>
      </c>
      <c r="BA92"/>
      <c r="BB92" t="n">
        <v>0.975</v>
      </c>
      <c r="BC92"/>
      <c r="BD92"/>
      <c r="BE92"/>
      <c r="BF92"/>
      <c r="BG92"/>
      <c r="BH92"/>
      <c r="BI92" t="inlineStr">
        <is>
          <t>mg/kg dry soil</t>
        </is>
      </c>
      <c r="BJ92" t="inlineStr">
        <is>
          <t>Shoot</t>
        </is>
      </c>
      <c r="BK92"/>
      <c r="BL92" t="n">
        <v>45.0</v>
      </c>
      <c r="BM92"/>
      <c r="BN92"/>
      <c r="BO92"/>
      <c r="BP92"/>
      <c r="BQ92" t="inlineStr">
        <is>
          <t>Day(s)</t>
        </is>
      </c>
      <c r="BR92" t="inlineStr">
        <is>
          <t>Yu,P.F., L. Xiang, X.H. Li, Z.R. Ding, C.H. Mo, Y.W. Li, H. Li, Q.Y. Cai, D.M. Zhou, and M.H. Wong</t>
        </is>
      </c>
      <c r="BS92" t="n">
        <v>182588.0</v>
      </c>
      <c r="BT92" t="inlineStr">
        <is>
          <t>Cultivar-Dependent Accumulation and Translocation of Perfluorooctanesulfonate Among Lettuce ( Lactuca sativa L.) Cultivars Grown on Perfluorooctanesulfonate-Contaminated Soil</t>
        </is>
      </c>
      <c r="BU92" t="inlineStr">
        <is>
          <t>J. Agric. Food Chem.66(50): 13096-13106</t>
        </is>
      </c>
      <c r="BV92" t="n">
        <v>2018.0</v>
      </c>
      <c r="BW9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93">
      <c r="A93" t="n">
        <v>1763231.0</v>
      </c>
      <c r="B93" t="inlineStr">
        <is>
          <t>1,1,2,2,3,3,4,4,5,5,6,6,7,7,8,8,8-Heptadecafluoro-1-octanesulfonic acid</t>
        </is>
      </c>
      <c r="C93"/>
      <c r="D93" t="inlineStr">
        <is>
          <t>Measured</t>
        </is>
      </c>
      <c r="E93" t="inlineStr">
        <is>
          <t>&gt;=</t>
        </is>
      </c>
      <c r="F93" t="n">
        <v>98.0</v>
      </c>
      <c r="G93"/>
      <c r="H93"/>
      <c r="I93"/>
      <c r="J93"/>
      <c r="K93" t="inlineStr">
        <is>
          <t>Lactuca sativa</t>
        </is>
      </c>
      <c r="L93" t="inlineStr">
        <is>
          <t>Lettuce</t>
        </is>
      </c>
      <c r="M93" t="inlineStr">
        <is>
          <t>Flowers, Trees, Shrubs, Ferns; Standard Test Species; U.S. Invasive Species</t>
        </is>
      </c>
      <c r="N93" t="inlineStr">
        <is>
          <t>Seedling</t>
        </is>
      </c>
      <c r="O93"/>
      <c r="P93" t="n">
        <v>14.0</v>
      </c>
      <c r="Q93"/>
      <c r="R93"/>
      <c r="S93"/>
      <c r="T93"/>
      <c r="U93" t="inlineStr">
        <is>
          <t>Day(s)</t>
        </is>
      </c>
      <c r="V93" t="inlineStr">
        <is>
          <t>Environmental, unspecified</t>
        </is>
      </c>
      <c r="W93" t="inlineStr">
        <is>
          <t>Natural soil</t>
        </is>
      </c>
      <c r="X93" t="inlineStr">
        <is>
          <t>Lab</t>
        </is>
      </c>
      <c r="Y93" t="n">
        <v>3.0</v>
      </c>
      <c r="Z93" t="inlineStr">
        <is>
          <t>Active ingredient</t>
        </is>
      </c>
      <c r="AA93"/>
      <c r="AB93" t="n">
        <v>0.191</v>
      </c>
      <c r="AC93"/>
      <c r="AD93"/>
      <c r="AE93"/>
      <c r="AF93"/>
      <c r="AG93" t="inlineStr">
        <is>
          <t>mg/kg dry soil</t>
        </is>
      </c>
      <c r="AH93"/>
      <c r="AI93"/>
      <c r="AJ93"/>
      <c r="AK93"/>
      <c r="AL93"/>
      <c r="AM93"/>
      <c r="AN93"/>
      <c r="AO93"/>
      <c r="AP93"/>
      <c r="AQ93"/>
      <c r="AR93"/>
      <c r="AS93"/>
      <c r="AT93"/>
      <c r="AU93"/>
      <c r="AV93"/>
      <c r="AW93"/>
      <c r="AX93" t="inlineStr">
        <is>
          <t>Accumulation</t>
        </is>
      </c>
      <c r="AY93" t="inlineStr">
        <is>
          <t>Residue</t>
        </is>
      </c>
      <c r="AZ93" t="inlineStr">
        <is>
          <t>BCFD</t>
        </is>
      </c>
      <c r="BA93"/>
      <c r="BB93" t="n">
        <v>0.191</v>
      </c>
      <c r="BC93"/>
      <c r="BD93"/>
      <c r="BE93"/>
      <c r="BF93"/>
      <c r="BG93"/>
      <c r="BH93"/>
      <c r="BI93" t="inlineStr">
        <is>
          <t>mg/kg dry soil</t>
        </is>
      </c>
      <c r="BJ93" t="inlineStr">
        <is>
          <t>Root</t>
        </is>
      </c>
      <c r="BK93"/>
      <c r="BL93" t="n">
        <v>45.0</v>
      </c>
      <c r="BM93"/>
      <c r="BN93"/>
      <c r="BO93"/>
      <c r="BP93"/>
      <c r="BQ93" t="inlineStr">
        <is>
          <t>Day(s)</t>
        </is>
      </c>
      <c r="BR93" t="inlineStr">
        <is>
          <t>Yu,P.F., L. Xiang, X.H. Li, Z.R. Ding, C.H. Mo, Y.W. Li, H. Li, Q.Y. Cai, D.M. Zhou, and M.H. Wong</t>
        </is>
      </c>
      <c r="BS93" t="n">
        <v>182588.0</v>
      </c>
      <c r="BT93" t="inlineStr">
        <is>
          <t>Cultivar-Dependent Accumulation and Translocation of Perfluorooctanesulfonate Among Lettuce ( Lactuca sativa L.) Cultivars Grown on Perfluorooctanesulfonate-Contaminated Soil</t>
        </is>
      </c>
      <c r="BU93" t="inlineStr">
        <is>
          <t>J. Agric. Food Chem.66(50): 13096-13106</t>
        </is>
      </c>
      <c r="BV93" t="n">
        <v>2018.0</v>
      </c>
      <c r="BW9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94">
      <c r="A94" t="n">
        <v>1763231.0</v>
      </c>
      <c r="B94" t="inlineStr">
        <is>
          <t>1,1,2,2,3,3,4,4,5,5,6,6,7,7,8,8,8-Heptadecafluoro-1-octanesulfonic acid</t>
        </is>
      </c>
      <c r="C94"/>
      <c r="D94" t="inlineStr">
        <is>
          <t>Measured</t>
        </is>
      </c>
      <c r="E94" t="inlineStr">
        <is>
          <t>&gt;=</t>
        </is>
      </c>
      <c r="F94" t="n">
        <v>98.0</v>
      </c>
      <c r="G94"/>
      <c r="H94"/>
      <c r="I94"/>
      <c r="J94"/>
      <c r="K94" t="inlineStr">
        <is>
          <t>Lactuca sativa</t>
        </is>
      </c>
      <c r="L94" t="inlineStr">
        <is>
          <t>Lettuce</t>
        </is>
      </c>
      <c r="M94" t="inlineStr">
        <is>
          <t>Flowers, Trees, Shrubs, Ferns; Standard Test Species; U.S. Invasive Species</t>
        </is>
      </c>
      <c r="N94" t="inlineStr">
        <is>
          <t>Seedling</t>
        </is>
      </c>
      <c r="O94"/>
      <c r="P94" t="n">
        <v>14.0</v>
      </c>
      <c r="Q94"/>
      <c r="R94"/>
      <c r="S94"/>
      <c r="T94"/>
      <c r="U94" t="inlineStr">
        <is>
          <t>Day(s)</t>
        </is>
      </c>
      <c r="V94" t="inlineStr">
        <is>
          <t>Environmental, unspecified</t>
        </is>
      </c>
      <c r="W94" t="inlineStr">
        <is>
          <t>Natural soil</t>
        </is>
      </c>
      <c r="X94" t="inlineStr">
        <is>
          <t>Lab</t>
        </is>
      </c>
      <c r="Y94" t="n">
        <v>3.0</v>
      </c>
      <c r="Z94" t="inlineStr">
        <is>
          <t>Active ingredient</t>
        </is>
      </c>
      <c r="AA94"/>
      <c r="AB94" t="n">
        <v>0.189</v>
      </c>
      <c r="AC94"/>
      <c r="AD94"/>
      <c r="AE94"/>
      <c r="AF94"/>
      <c r="AG94" t="inlineStr">
        <is>
          <t>mg/kg dry soil</t>
        </is>
      </c>
      <c r="AH94"/>
      <c r="AI94"/>
      <c r="AJ94"/>
      <c r="AK94"/>
      <c r="AL94"/>
      <c r="AM94"/>
      <c r="AN94"/>
      <c r="AO94"/>
      <c r="AP94"/>
      <c r="AQ94"/>
      <c r="AR94"/>
      <c r="AS94"/>
      <c r="AT94"/>
      <c r="AU94"/>
      <c r="AV94"/>
      <c r="AW94"/>
      <c r="AX94" t="inlineStr">
        <is>
          <t>Accumulation</t>
        </is>
      </c>
      <c r="AY94" t="inlineStr">
        <is>
          <t>Residue</t>
        </is>
      </c>
      <c r="AZ94" t="inlineStr">
        <is>
          <t>BCFD</t>
        </is>
      </c>
      <c r="BA94"/>
      <c r="BB94" t="n">
        <v>0.189</v>
      </c>
      <c r="BC94"/>
      <c r="BD94"/>
      <c r="BE94"/>
      <c r="BF94"/>
      <c r="BG94"/>
      <c r="BH94"/>
      <c r="BI94" t="inlineStr">
        <is>
          <t>mg/kg dry soil</t>
        </is>
      </c>
      <c r="BJ94" t="inlineStr">
        <is>
          <t>Root</t>
        </is>
      </c>
      <c r="BK94"/>
      <c r="BL94" t="n">
        <v>45.0</v>
      </c>
      <c r="BM94"/>
      <c r="BN94"/>
      <c r="BO94"/>
      <c r="BP94"/>
      <c r="BQ94" t="inlineStr">
        <is>
          <t>Day(s)</t>
        </is>
      </c>
      <c r="BR94" t="inlineStr">
        <is>
          <t>Yu,P.F., L. Xiang, X.H. Li, Z.R. Ding, C.H. Mo, Y.W. Li, H. Li, Q.Y. Cai, D.M. Zhou, and M.H. Wong</t>
        </is>
      </c>
      <c r="BS94" t="n">
        <v>182588.0</v>
      </c>
      <c r="BT94" t="inlineStr">
        <is>
          <t>Cultivar-Dependent Accumulation and Translocation of Perfluorooctanesulfonate Among Lettuce ( Lactuca sativa L.) Cultivars Grown on Perfluorooctanesulfonate-Contaminated Soil</t>
        </is>
      </c>
      <c r="BU94" t="inlineStr">
        <is>
          <t>J. Agric. Food Chem.66(50): 13096-13106</t>
        </is>
      </c>
      <c r="BV94" t="n">
        <v>2018.0</v>
      </c>
      <c r="BW9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95">
      <c r="A95" t="n">
        <v>1763231.0</v>
      </c>
      <c r="B95" t="inlineStr">
        <is>
          <t>1,1,2,2,3,3,4,4,5,5,6,6,7,7,8,8,8-Heptadecafluoro-1-octanesulfonic acid</t>
        </is>
      </c>
      <c r="C95"/>
      <c r="D95" t="inlineStr">
        <is>
          <t>Measured</t>
        </is>
      </c>
      <c r="E95" t="inlineStr">
        <is>
          <t>&gt;=</t>
        </is>
      </c>
      <c r="F95" t="n">
        <v>98.0</v>
      </c>
      <c r="G95"/>
      <c r="H95"/>
      <c r="I95"/>
      <c r="J95"/>
      <c r="K95" t="inlineStr">
        <is>
          <t>Lactuca sativa</t>
        </is>
      </c>
      <c r="L95" t="inlineStr">
        <is>
          <t>Lettuce</t>
        </is>
      </c>
      <c r="M95" t="inlineStr">
        <is>
          <t>Flowers, Trees, Shrubs, Ferns; Standard Test Species; U.S. Invasive Species</t>
        </is>
      </c>
      <c r="N95" t="inlineStr">
        <is>
          <t>Seedling</t>
        </is>
      </c>
      <c r="O95"/>
      <c r="P95" t="n">
        <v>14.0</v>
      </c>
      <c r="Q95"/>
      <c r="R95"/>
      <c r="S95"/>
      <c r="T95"/>
      <c r="U95" t="inlineStr">
        <is>
          <t>Day(s)</t>
        </is>
      </c>
      <c r="V95" t="inlineStr">
        <is>
          <t>Environmental, unspecified</t>
        </is>
      </c>
      <c r="W95" t="inlineStr">
        <is>
          <t>Natural soil</t>
        </is>
      </c>
      <c r="X95" t="inlineStr">
        <is>
          <t>Lab</t>
        </is>
      </c>
      <c r="Y95" t="n">
        <v>3.0</v>
      </c>
      <c r="Z95" t="inlineStr">
        <is>
          <t>Active ingredient</t>
        </is>
      </c>
      <c r="AA95"/>
      <c r="AB95" t="n">
        <v>0.987</v>
      </c>
      <c r="AC95"/>
      <c r="AD95"/>
      <c r="AE95"/>
      <c r="AF95"/>
      <c r="AG95" t="inlineStr">
        <is>
          <t>mg/kg dry soil</t>
        </is>
      </c>
      <c r="AH95"/>
      <c r="AI95"/>
      <c r="AJ95"/>
      <c r="AK95"/>
      <c r="AL95"/>
      <c r="AM95"/>
      <c r="AN95"/>
      <c r="AO95"/>
      <c r="AP95"/>
      <c r="AQ95"/>
      <c r="AR95"/>
      <c r="AS95"/>
      <c r="AT95"/>
      <c r="AU95"/>
      <c r="AV95"/>
      <c r="AW95"/>
      <c r="AX95" t="inlineStr">
        <is>
          <t>Accumulation</t>
        </is>
      </c>
      <c r="AY95" t="inlineStr">
        <is>
          <t>Residue</t>
        </is>
      </c>
      <c r="AZ95" t="inlineStr">
        <is>
          <t>BCFD</t>
        </is>
      </c>
      <c r="BA95"/>
      <c r="BB95" t="n">
        <v>0.987</v>
      </c>
      <c r="BC95"/>
      <c r="BD95"/>
      <c r="BE95"/>
      <c r="BF95"/>
      <c r="BG95"/>
      <c r="BH95"/>
      <c r="BI95" t="inlineStr">
        <is>
          <t>mg/kg dry soil</t>
        </is>
      </c>
      <c r="BJ95" t="inlineStr">
        <is>
          <t>Shoot</t>
        </is>
      </c>
      <c r="BK95"/>
      <c r="BL95" t="n">
        <v>45.0</v>
      </c>
      <c r="BM95"/>
      <c r="BN95"/>
      <c r="BO95"/>
      <c r="BP95"/>
      <c r="BQ95" t="inlineStr">
        <is>
          <t>Day(s)</t>
        </is>
      </c>
      <c r="BR95" t="inlineStr">
        <is>
          <t>Yu,P.F., L. Xiang, X.H. Li, Z.R. Ding, C.H. Mo, Y.W. Li, H. Li, Q.Y. Cai, D.M. Zhou, and M.H. Wong</t>
        </is>
      </c>
      <c r="BS95" t="n">
        <v>182588.0</v>
      </c>
      <c r="BT95" t="inlineStr">
        <is>
          <t>Cultivar-Dependent Accumulation and Translocation of Perfluorooctanesulfonate Among Lettuce ( Lactuca sativa L.) Cultivars Grown on Perfluorooctanesulfonate-Contaminated Soil</t>
        </is>
      </c>
      <c r="BU95" t="inlineStr">
        <is>
          <t>J. Agric. Food Chem.66(50): 13096-13106</t>
        </is>
      </c>
      <c r="BV95" t="n">
        <v>2018.0</v>
      </c>
      <c r="BW9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96">
      <c r="A96" t="n">
        <v>1763231.0</v>
      </c>
      <c r="B96" t="inlineStr">
        <is>
          <t>1,1,2,2,3,3,4,4,5,5,6,6,7,7,8,8,8-Heptadecafluoro-1-octanesulfonic acid</t>
        </is>
      </c>
      <c r="C96"/>
      <c r="D96" t="inlineStr">
        <is>
          <t>Measured</t>
        </is>
      </c>
      <c r="E96"/>
      <c r="F96" t="n">
        <v>98.0</v>
      </c>
      <c r="G96"/>
      <c r="H96"/>
      <c r="I96"/>
      <c r="J96"/>
      <c r="K96" t="inlineStr">
        <is>
          <t>Lactuca sativa</t>
        </is>
      </c>
      <c r="L96" t="inlineStr">
        <is>
          <t>Lettuce</t>
        </is>
      </c>
      <c r="M96" t="inlineStr">
        <is>
          <t>Flowers, Trees, Shrubs, Ferns; Standard Test Species; U.S. Invasive Species</t>
        </is>
      </c>
      <c r="N96" t="inlineStr">
        <is>
          <t>Seedling</t>
        </is>
      </c>
      <c r="O96"/>
      <c r="P96"/>
      <c r="Q96"/>
      <c r="R96" t="n">
        <v>12.0</v>
      </c>
      <c r="S96"/>
      <c r="T96" t="n">
        <v>14.0</v>
      </c>
      <c r="U96" t="inlineStr">
        <is>
          <t>Day(s)</t>
        </is>
      </c>
      <c r="V96" t="inlineStr">
        <is>
          <t>Environmental, unspecified</t>
        </is>
      </c>
      <c r="W96" t="inlineStr">
        <is>
          <t>Artificial soil</t>
        </is>
      </c>
      <c r="X96" t="inlineStr">
        <is>
          <t>Lab</t>
        </is>
      </c>
      <c r="Y96" t="n">
        <v>2.0</v>
      </c>
      <c r="Z96" t="inlineStr">
        <is>
          <t>Active ingredient</t>
        </is>
      </c>
      <c r="AA96"/>
      <c r="AB96"/>
      <c r="AC96"/>
      <c r="AD96" t="n">
        <v>481.0</v>
      </c>
      <c r="AE96"/>
      <c r="AF96" t="n">
        <v>505.0</v>
      </c>
      <c r="AG96" t="inlineStr">
        <is>
          <t>ng/g soil</t>
        </is>
      </c>
      <c r="AH96"/>
      <c r="AI96"/>
      <c r="AJ96"/>
      <c r="AK96"/>
      <c r="AL96"/>
      <c r="AM96"/>
      <c r="AN96"/>
      <c r="AO96"/>
      <c r="AP96"/>
      <c r="AQ96"/>
      <c r="AR96"/>
      <c r="AS96"/>
      <c r="AT96"/>
      <c r="AU96"/>
      <c r="AV96"/>
      <c r="AW96"/>
      <c r="AX96" t="inlineStr">
        <is>
          <t>Accumulation</t>
        </is>
      </c>
      <c r="AY96" t="inlineStr">
        <is>
          <t>Residue</t>
        </is>
      </c>
      <c r="AZ96" t="inlineStr">
        <is>
          <t>BCFD</t>
        </is>
      </c>
      <c r="BA96"/>
      <c r="BB96"/>
      <c r="BC96"/>
      <c r="BD96" t="n">
        <v>481.0</v>
      </c>
      <c r="BE96"/>
      <c r="BF96" t="n">
        <v>505.0</v>
      </c>
      <c r="BG96"/>
      <c r="BH96"/>
      <c r="BI96" t="inlineStr">
        <is>
          <t>ng/g soil</t>
        </is>
      </c>
      <c r="BJ96" t="inlineStr">
        <is>
          <t>Whole organism</t>
        </is>
      </c>
      <c r="BK96"/>
      <c r="BL96"/>
      <c r="BM96"/>
      <c r="BN96" t="n">
        <v>28.0</v>
      </c>
      <c r="BO96"/>
      <c r="BP96" t="n">
        <v>35.0</v>
      </c>
      <c r="BQ96" t="inlineStr">
        <is>
          <t>Day(s)</t>
        </is>
      </c>
      <c r="BR96" t="inlineStr">
        <is>
          <t>Bizkarguenaga,E., I. Zabaleta, L. Mijangos, A. Iparraguirre, L.A. Fernandez, A. Prieto, and O. Zuloaga</t>
        </is>
      </c>
      <c r="BS96" t="n">
        <v>184296.0</v>
      </c>
      <c r="BT96" t="inlineStr">
        <is>
          <t>Uptake of Perfluorooctanoic Acid, Perfluorooctane Sulfonate and Perfluorooctane Sulfonamide by Carrot and Lettuce from Compost Amended Soil</t>
        </is>
      </c>
      <c r="BU96" t="inlineStr">
        <is>
          <t>Sci. Total Environ.571:444-451</t>
        </is>
      </c>
      <c r="BV96" t="n">
        <v>2016.0</v>
      </c>
      <c r="BW96"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97">
      <c r="A97" t="n">
        <v>1763231.0</v>
      </c>
      <c r="B97" t="inlineStr">
        <is>
          <t>1,1,2,2,3,3,4,4,5,5,6,6,7,7,8,8,8-Heptadecafluoro-1-octanesulfonic acid</t>
        </is>
      </c>
      <c r="C97"/>
      <c r="D97" t="inlineStr">
        <is>
          <t>Measured</t>
        </is>
      </c>
      <c r="E97" t="inlineStr">
        <is>
          <t>&gt;=</t>
        </is>
      </c>
      <c r="F97" t="n">
        <v>98.0</v>
      </c>
      <c r="G97"/>
      <c r="H97"/>
      <c r="I97"/>
      <c r="J97"/>
      <c r="K97" t="inlineStr">
        <is>
          <t>Lactuca sativa</t>
        </is>
      </c>
      <c r="L97" t="inlineStr">
        <is>
          <t>Lettuce</t>
        </is>
      </c>
      <c r="M97" t="inlineStr">
        <is>
          <t>Flowers, Trees, Shrubs, Ferns; Standard Test Species; U.S. Invasive Species</t>
        </is>
      </c>
      <c r="N97" t="inlineStr">
        <is>
          <t>Seedling</t>
        </is>
      </c>
      <c r="O97"/>
      <c r="P97" t="n">
        <v>14.0</v>
      </c>
      <c r="Q97"/>
      <c r="R97"/>
      <c r="S97"/>
      <c r="T97"/>
      <c r="U97" t="inlineStr">
        <is>
          <t>Day(s)</t>
        </is>
      </c>
      <c r="V97" t="inlineStr">
        <is>
          <t>Environmental, unspecified</t>
        </is>
      </c>
      <c r="W97" t="inlineStr">
        <is>
          <t>Natural soil</t>
        </is>
      </c>
      <c r="X97" t="inlineStr">
        <is>
          <t>Lab</t>
        </is>
      </c>
      <c r="Y97" t="n">
        <v>3.0</v>
      </c>
      <c r="Z97" t="inlineStr">
        <is>
          <t>Active ingredient</t>
        </is>
      </c>
      <c r="AA97"/>
      <c r="AB97" t="n">
        <v>0.189</v>
      </c>
      <c r="AC97"/>
      <c r="AD97"/>
      <c r="AE97"/>
      <c r="AF97"/>
      <c r="AG97" t="inlineStr">
        <is>
          <t>mg/kg dry soil</t>
        </is>
      </c>
      <c r="AH97"/>
      <c r="AI97"/>
      <c r="AJ97"/>
      <c r="AK97"/>
      <c r="AL97"/>
      <c r="AM97"/>
      <c r="AN97"/>
      <c r="AO97"/>
      <c r="AP97"/>
      <c r="AQ97"/>
      <c r="AR97"/>
      <c r="AS97"/>
      <c r="AT97"/>
      <c r="AU97"/>
      <c r="AV97"/>
      <c r="AW97"/>
      <c r="AX97" t="inlineStr">
        <is>
          <t>Accumulation</t>
        </is>
      </c>
      <c r="AY97" t="inlineStr">
        <is>
          <t>Residue</t>
        </is>
      </c>
      <c r="AZ97" t="inlineStr">
        <is>
          <t>BCFD</t>
        </is>
      </c>
      <c r="BA97"/>
      <c r="BB97" t="n">
        <v>0.189</v>
      </c>
      <c r="BC97"/>
      <c r="BD97"/>
      <c r="BE97"/>
      <c r="BF97"/>
      <c r="BG97"/>
      <c r="BH97"/>
      <c r="BI97" t="inlineStr">
        <is>
          <t>mg/kg dry soil</t>
        </is>
      </c>
      <c r="BJ97" t="inlineStr">
        <is>
          <t>Shoot</t>
        </is>
      </c>
      <c r="BK97"/>
      <c r="BL97" t="n">
        <v>45.0</v>
      </c>
      <c r="BM97"/>
      <c r="BN97"/>
      <c r="BO97"/>
      <c r="BP97"/>
      <c r="BQ97" t="inlineStr">
        <is>
          <t>Day(s)</t>
        </is>
      </c>
      <c r="BR97" t="inlineStr">
        <is>
          <t>Yu,P.F., L. Xiang, X.H. Li, Z.R. Ding, C.H. Mo, Y.W. Li, H. Li, Q.Y. Cai, D.M. Zhou, and M.H. Wong</t>
        </is>
      </c>
      <c r="BS97" t="n">
        <v>182588.0</v>
      </c>
      <c r="BT97" t="inlineStr">
        <is>
          <t>Cultivar-Dependent Accumulation and Translocation of Perfluorooctanesulfonate Among Lettuce ( Lactuca sativa L.) Cultivars Grown on Perfluorooctanesulfonate-Contaminated Soil</t>
        </is>
      </c>
      <c r="BU97" t="inlineStr">
        <is>
          <t>J. Agric. Food Chem.66(50): 13096-13106</t>
        </is>
      </c>
      <c r="BV97" t="n">
        <v>2018.0</v>
      </c>
      <c r="BW9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98">
      <c r="A98" t="n">
        <v>1763231.0</v>
      </c>
      <c r="B98" t="inlineStr">
        <is>
          <t>1,1,2,2,3,3,4,4,5,5,6,6,7,7,8,8,8-Heptadecafluoro-1-octanesulfonic acid</t>
        </is>
      </c>
      <c r="C98"/>
      <c r="D98" t="inlineStr">
        <is>
          <t>Measured</t>
        </is>
      </c>
      <c r="E98" t="inlineStr">
        <is>
          <t>&gt;=</t>
        </is>
      </c>
      <c r="F98" t="n">
        <v>98.0</v>
      </c>
      <c r="G98"/>
      <c r="H98"/>
      <c r="I98"/>
      <c r="J98"/>
      <c r="K98" t="inlineStr">
        <is>
          <t>Lactuca sativa</t>
        </is>
      </c>
      <c r="L98" t="inlineStr">
        <is>
          <t>Lettuce</t>
        </is>
      </c>
      <c r="M98" t="inlineStr">
        <is>
          <t>Flowers, Trees, Shrubs, Ferns; Standard Test Species; U.S. Invasive Species</t>
        </is>
      </c>
      <c r="N98" t="inlineStr">
        <is>
          <t>Seedling</t>
        </is>
      </c>
      <c r="O98"/>
      <c r="P98" t="n">
        <v>14.0</v>
      </c>
      <c r="Q98"/>
      <c r="R98"/>
      <c r="S98"/>
      <c r="T98"/>
      <c r="U98" t="inlineStr">
        <is>
          <t>Day(s)</t>
        </is>
      </c>
      <c r="V98" t="inlineStr">
        <is>
          <t>Environmental, unspecified</t>
        </is>
      </c>
      <c r="W98" t="inlineStr">
        <is>
          <t>Natural soil</t>
        </is>
      </c>
      <c r="X98" t="inlineStr">
        <is>
          <t>Lab</t>
        </is>
      </c>
      <c r="Y98" t="n">
        <v>3.0</v>
      </c>
      <c r="Z98" t="inlineStr">
        <is>
          <t>Active ingredient</t>
        </is>
      </c>
      <c r="AA98"/>
      <c r="AB98" t="n">
        <v>0.191</v>
      </c>
      <c r="AC98"/>
      <c r="AD98"/>
      <c r="AE98"/>
      <c r="AF98"/>
      <c r="AG98" t="inlineStr">
        <is>
          <t>mg/kg dry soil</t>
        </is>
      </c>
      <c r="AH98"/>
      <c r="AI98"/>
      <c r="AJ98"/>
      <c r="AK98"/>
      <c r="AL98"/>
      <c r="AM98"/>
      <c r="AN98"/>
      <c r="AO98"/>
      <c r="AP98"/>
      <c r="AQ98"/>
      <c r="AR98"/>
      <c r="AS98"/>
      <c r="AT98"/>
      <c r="AU98"/>
      <c r="AV98"/>
      <c r="AW98"/>
      <c r="AX98" t="inlineStr">
        <is>
          <t>Accumulation</t>
        </is>
      </c>
      <c r="AY98" t="inlineStr">
        <is>
          <t>Residue</t>
        </is>
      </c>
      <c r="AZ98" t="inlineStr">
        <is>
          <t>BCFD</t>
        </is>
      </c>
      <c r="BA98"/>
      <c r="BB98" t="n">
        <v>0.191</v>
      </c>
      <c r="BC98"/>
      <c r="BD98"/>
      <c r="BE98"/>
      <c r="BF98"/>
      <c r="BG98"/>
      <c r="BH98"/>
      <c r="BI98" t="inlineStr">
        <is>
          <t>mg/kg dry soil</t>
        </is>
      </c>
      <c r="BJ98" t="inlineStr">
        <is>
          <t>Shoot</t>
        </is>
      </c>
      <c r="BK98"/>
      <c r="BL98" t="n">
        <v>45.0</v>
      </c>
      <c r="BM98"/>
      <c r="BN98"/>
      <c r="BO98"/>
      <c r="BP98"/>
      <c r="BQ98" t="inlineStr">
        <is>
          <t>Day(s)</t>
        </is>
      </c>
      <c r="BR98" t="inlineStr">
        <is>
          <t>Yu,P.F., L. Xiang, X.H. Li, Z.R. Ding, C.H. Mo, Y.W. Li, H. Li, Q.Y. Cai, D.M. Zhou, and M.H. Wong</t>
        </is>
      </c>
      <c r="BS98" t="n">
        <v>182588.0</v>
      </c>
      <c r="BT98" t="inlineStr">
        <is>
          <t>Cultivar-Dependent Accumulation and Translocation of Perfluorooctanesulfonate Among Lettuce ( Lactuca sativa L.) Cultivars Grown on Perfluorooctanesulfonate-Contaminated Soil</t>
        </is>
      </c>
      <c r="BU98" t="inlineStr">
        <is>
          <t>J. Agric. Food Chem.66(50): 13096-13106</t>
        </is>
      </c>
      <c r="BV98" t="n">
        <v>2018.0</v>
      </c>
      <c r="BW9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99">
      <c r="A99" t="n">
        <v>1763231.0</v>
      </c>
      <c r="B99" t="inlineStr">
        <is>
          <t>1,1,2,2,3,3,4,4,5,5,6,6,7,7,8,8,8-Heptadecafluoro-1-octanesulfonic acid</t>
        </is>
      </c>
      <c r="C99"/>
      <c r="D99" t="inlineStr">
        <is>
          <t>Measured</t>
        </is>
      </c>
      <c r="E99"/>
      <c r="F99" t="n">
        <v>98.0</v>
      </c>
      <c r="G99"/>
      <c r="H99"/>
      <c r="I99"/>
      <c r="J99"/>
      <c r="K99" t="inlineStr">
        <is>
          <t>Lactuca sativa</t>
        </is>
      </c>
      <c r="L99" t="inlineStr">
        <is>
          <t>Lettuce</t>
        </is>
      </c>
      <c r="M99" t="inlineStr">
        <is>
          <t>Flowers, Trees, Shrubs, Ferns; Standard Test Species; U.S. Invasive Species</t>
        </is>
      </c>
      <c r="N99" t="inlineStr">
        <is>
          <t>Seedling</t>
        </is>
      </c>
      <c r="O99"/>
      <c r="P99"/>
      <c r="Q99"/>
      <c r="R99" t="n">
        <v>12.0</v>
      </c>
      <c r="S99"/>
      <c r="T99" t="n">
        <v>14.0</v>
      </c>
      <c r="U99" t="inlineStr">
        <is>
          <t>Day(s)</t>
        </is>
      </c>
      <c r="V99" t="inlineStr">
        <is>
          <t>Environmental, unspecified</t>
        </is>
      </c>
      <c r="W99" t="inlineStr">
        <is>
          <t>Artificial soil</t>
        </is>
      </c>
      <c r="X99" t="inlineStr">
        <is>
          <t>Lab</t>
        </is>
      </c>
      <c r="Y99" t="n">
        <v>2.0</v>
      </c>
      <c r="Z99" t="inlineStr">
        <is>
          <t>Active ingredient</t>
        </is>
      </c>
      <c r="AA99"/>
      <c r="AB99"/>
      <c r="AC99"/>
      <c r="AD99" t="n">
        <v>481.0</v>
      </c>
      <c r="AE99"/>
      <c r="AF99" t="n">
        <v>555.0</v>
      </c>
      <c r="AG99" t="inlineStr">
        <is>
          <t>ng/g soil</t>
        </is>
      </c>
      <c r="AH99"/>
      <c r="AI99"/>
      <c r="AJ99"/>
      <c r="AK99"/>
      <c r="AL99"/>
      <c r="AM99"/>
      <c r="AN99"/>
      <c r="AO99"/>
      <c r="AP99"/>
      <c r="AQ99"/>
      <c r="AR99"/>
      <c r="AS99"/>
      <c r="AT99"/>
      <c r="AU99"/>
      <c r="AV99"/>
      <c r="AW99"/>
      <c r="AX99" t="inlineStr">
        <is>
          <t>Accumulation</t>
        </is>
      </c>
      <c r="AY99" t="inlineStr">
        <is>
          <t>Residue</t>
        </is>
      </c>
      <c r="AZ99" t="inlineStr">
        <is>
          <t>BCFD</t>
        </is>
      </c>
      <c r="BA99"/>
      <c r="BB99"/>
      <c r="BC99"/>
      <c r="BD99" t="n">
        <v>481.0</v>
      </c>
      <c r="BE99"/>
      <c r="BF99" t="n">
        <v>555.0</v>
      </c>
      <c r="BG99"/>
      <c r="BH99"/>
      <c r="BI99" t="inlineStr">
        <is>
          <t>ng/g soil</t>
        </is>
      </c>
      <c r="BJ99" t="inlineStr">
        <is>
          <t>Heart</t>
        </is>
      </c>
      <c r="BK99"/>
      <c r="BL99"/>
      <c r="BM99"/>
      <c r="BN99" t="n">
        <v>28.0</v>
      </c>
      <c r="BO99"/>
      <c r="BP99" t="n">
        <v>35.0</v>
      </c>
      <c r="BQ99" t="inlineStr">
        <is>
          <t>Day(s)</t>
        </is>
      </c>
      <c r="BR99" t="inlineStr">
        <is>
          <t>Bizkarguenaga,E., I. Zabaleta, L. Mijangos, A. Iparraguirre, L.A. Fernandez, A. Prieto, and O. Zuloaga</t>
        </is>
      </c>
      <c r="BS99" t="n">
        <v>184296.0</v>
      </c>
      <c r="BT99" t="inlineStr">
        <is>
          <t>Uptake of Perfluorooctanoic Acid, Perfluorooctane Sulfonate and Perfluorooctane Sulfonamide by Carrot and Lettuce from Compost Amended Soil</t>
        </is>
      </c>
      <c r="BU99" t="inlineStr">
        <is>
          <t>Sci. Total Environ.571:444-451</t>
        </is>
      </c>
      <c r="BV99" t="n">
        <v>2016.0</v>
      </c>
      <c r="BW99"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0">
      <c r="A100" t="n">
        <v>1763231.0</v>
      </c>
      <c r="B100" t="inlineStr">
        <is>
          <t>1,1,2,2,3,3,4,4,5,5,6,6,7,7,8,8,8-Heptadecafluoro-1-octanesulfonic acid</t>
        </is>
      </c>
      <c r="C100"/>
      <c r="D100" t="inlineStr">
        <is>
          <t>Measured</t>
        </is>
      </c>
      <c r="E100"/>
      <c r="F100" t="n">
        <v>98.0</v>
      </c>
      <c r="G100"/>
      <c r="H100"/>
      <c r="I100"/>
      <c r="J100"/>
      <c r="K100" t="inlineStr">
        <is>
          <t>Lactuca sativa</t>
        </is>
      </c>
      <c r="L100" t="inlineStr">
        <is>
          <t>Lettuce</t>
        </is>
      </c>
      <c r="M100" t="inlineStr">
        <is>
          <t>Flowers, Trees, Shrubs, Ferns; Standard Test Species; U.S. Invasive Species</t>
        </is>
      </c>
      <c r="N100" t="inlineStr">
        <is>
          <t>Seedling</t>
        </is>
      </c>
      <c r="O100"/>
      <c r="P100"/>
      <c r="Q100"/>
      <c r="R100" t="n">
        <v>12.0</v>
      </c>
      <c r="S100"/>
      <c r="T100" t="n">
        <v>14.0</v>
      </c>
      <c r="U100" t="inlineStr">
        <is>
          <t>Day(s)</t>
        </is>
      </c>
      <c r="V100" t="inlineStr">
        <is>
          <t>Environmental, unspecified</t>
        </is>
      </c>
      <c r="W100" t="inlineStr">
        <is>
          <t>Artificial soil</t>
        </is>
      </c>
      <c r="X100" t="inlineStr">
        <is>
          <t>Lab</t>
        </is>
      </c>
      <c r="Y100" t="n">
        <v>2.0</v>
      </c>
      <c r="Z100" t="inlineStr">
        <is>
          <t>Active ingredient</t>
        </is>
      </c>
      <c r="AA100"/>
      <c r="AB100"/>
      <c r="AC100"/>
      <c r="AD100" t="n">
        <v>481.0</v>
      </c>
      <c r="AE100"/>
      <c r="AF100" t="n">
        <v>555.0</v>
      </c>
      <c r="AG100" t="inlineStr">
        <is>
          <t>ng/g soil</t>
        </is>
      </c>
      <c r="AH100"/>
      <c r="AI100"/>
      <c r="AJ100"/>
      <c r="AK100"/>
      <c r="AL100"/>
      <c r="AM100"/>
      <c r="AN100"/>
      <c r="AO100"/>
      <c r="AP100"/>
      <c r="AQ100"/>
      <c r="AR100"/>
      <c r="AS100"/>
      <c r="AT100"/>
      <c r="AU100"/>
      <c r="AV100"/>
      <c r="AW100"/>
      <c r="AX100" t="inlineStr">
        <is>
          <t>Accumulation</t>
        </is>
      </c>
      <c r="AY100" t="inlineStr">
        <is>
          <t>Residue</t>
        </is>
      </c>
      <c r="AZ100" t="inlineStr">
        <is>
          <t>BCFD</t>
        </is>
      </c>
      <c r="BA100"/>
      <c r="BB100"/>
      <c r="BC100"/>
      <c r="BD100" t="n">
        <v>481.0</v>
      </c>
      <c r="BE100"/>
      <c r="BF100" t="n">
        <v>555.0</v>
      </c>
      <c r="BG100"/>
      <c r="BH100"/>
      <c r="BI100" t="inlineStr">
        <is>
          <t>ng/g soil</t>
        </is>
      </c>
      <c r="BJ100" t="inlineStr">
        <is>
          <t>Leafneedle</t>
        </is>
      </c>
      <c r="BK100"/>
      <c r="BL100"/>
      <c r="BM100"/>
      <c r="BN100" t="n">
        <v>28.0</v>
      </c>
      <c r="BO100"/>
      <c r="BP100" t="n">
        <v>35.0</v>
      </c>
      <c r="BQ100" t="inlineStr">
        <is>
          <t>Day(s)</t>
        </is>
      </c>
      <c r="BR100" t="inlineStr">
        <is>
          <t>Bizkarguenaga,E., I. Zabaleta, L. Mijangos, A. Iparraguirre, L.A. Fernandez, A. Prieto, and O. Zuloaga</t>
        </is>
      </c>
      <c r="BS100" t="n">
        <v>184296.0</v>
      </c>
      <c r="BT100" t="inlineStr">
        <is>
          <t>Uptake of Perfluorooctanoic Acid, Perfluorooctane Sulfonate and Perfluorooctane Sulfonamide by Carrot and Lettuce from Compost Amended Soil</t>
        </is>
      </c>
      <c r="BU100" t="inlineStr">
        <is>
          <t>Sci. Total Environ.571:444-451</t>
        </is>
      </c>
      <c r="BV100" t="n">
        <v>2016.0</v>
      </c>
      <c r="BW100"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1">
      <c r="A101" t="n">
        <v>1763231.0</v>
      </c>
      <c r="B101" t="inlineStr">
        <is>
          <t>1,1,2,2,3,3,4,4,5,5,6,6,7,7,8,8,8-Heptadecafluoro-1-octanesulfonic acid</t>
        </is>
      </c>
      <c r="C101"/>
      <c r="D101" t="inlineStr">
        <is>
          <t>Measured</t>
        </is>
      </c>
      <c r="E101" t="inlineStr">
        <is>
          <t>&gt;=</t>
        </is>
      </c>
      <c r="F101" t="n">
        <v>98.0</v>
      </c>
      <c r="G101"/>
      <c r="H101"/>
      <c r="I101"/>
      <c r="J101"/>
      <c r="K101" t="inlineStr">
        <is>
          <t>Lactuca sativa</t>
        </is>
      </c>
      <c r="L101" t="inlineStr">
        <is>
          <t>Lettuce</t>
        </is>
      </c>
      <c r="M101" t="inlineStr">
        <is>
          <t>Flowers, Trees, Shrubs, Ferns; Standard Test Species; U.S. Invasive Species</t>
        </is>
      </c>
      <c r="N101" t="inlineStr">
        <is>
          <t>Seedling</t>
        </is>
      </c>
      <c r="O101"/>
      <c r="P101" t="n">
        <v>14.0</v>
      </c>
      <c r="Q101"/>
      <c r="R101"/>
      <c r="S101"/>
      <c r="T101"/>
      <c r="U101" t="inlineStr">
        <is>
          <t>Day(s)</t>
        </is>
      </c>
      <c r="V101" t="inlineStr">
        <is>
          <t>Environmental, unspecified</t>
        </is>
      </c>
      <c r="W101" t="inlineStr">
        <is>
          <t>Natural soil</t>
        </is>
      </c>
      <c r="X101" t="inlineStr">
        <is>
          <t>Lab</t>
        </is>
      </c>
      <c r="Y101" t="n">
        <v>3.0</v>
      </c>
      <c r="Z101" t="inlineStr">
        <is>
          <t>Active ingredient</t>
        </is>
      </c>
      <c r="AA101"/>
      <c r="AB101" t="n">
        <v>0.987</v>
      </c>
      <c r="AC101"/>
      <c r="AD101"/>
      <c r="AE101"/>
      <c r="AF101"/>
      <c r="AG101" t="inlineStr">
        <is>
          <t>mg/kg dry soil</t>
        </is>
      </c>
      <c r="AH101"/>
      <c r="AI101"/>
      <c r="AJ101"/>
      <c r="AK101"/>
      <c r="AL101"/>
      <c r="AM101"/>
      <c r="AN101"/>
      <c r="AO101"/>
      <c r="AP101"/>
      <c r="AQ101"/>
      <c r="AR101"/>
      <c r="AS101"/>
      <c r="AT101"/>
      <c r="AU101"/>
      <c r="AV101"/>
      <c r="AW101"/>
      <c r="AX101" t="inlineStr">
        <is>
          <t>Accumulation</t>
        </is>
      </c>
      <c r="AY101" t="inlineStr">
        <is>
          <t>Residue</t>
        </is>
      </c>
      <c r="AZ101" t="inlineStr">
        <is>
          <t>BCFD</t>
        </is>
      </c>
      <c r="BA101"/>
      <c r="BB101" t="n">
        <v>0.987</v>
      </c>
      <c r="BC101"/>
      <c r="BD101"/>
      <c r="BE101"/>
      <c r="BF101"/>
      <c r="BG101"/>
      <c r="BH101"/>
      <c r="BI101" t="inlineStr">
        <is>
          <t>mg/kg dry soil</t>
        </is>
      </c>
      <c r="BJ101" t="inlineStr">
        <is>
          <t>Root</t>
        </is>
      </c>
      <c r="BK101"/>
      <c r="BL101" t="n">
        <v>45.0</v>
      </c>
      <c r="BM101"/>
      <c r="BN101"/>
      <c r="BO101"/>
      <c r="BP101"/>
      <c r="BQ101" t="inlineStr">
        <is>
          <t>Day(s)</t>
        </is>
      </c>
      <c r="BR101" t="inlineStr">
        <is>
          <t>Yu,P.F., L. Xiang, X.H. Li, Z.R. Ding, C.H. Mo, Y.W. Li, H. Li, Q.Y. Cai, D.M. Zhou, and M.H. Wong</t>
        </is>
      </c>
      <c r="BS101" t="n">
        <v>182588.0</v>
      </c>
      <c r="BT101" t="inlineStr">
        <is>
          <t>Cultivar-Dependent Accumulation and Translocation of Perfluorooctanesulfonate Among Lettuce ( Lactuca sativa L.) Cultivars Grown on Perfluorooctanesulfonate-Contaminated Soil</t>
        </is>
      </c>
      <c r="BU101" t="inlineStr">
        <is>
          <t>J. Agric. Food Chem.66(50): 13096-13106</t>
        </is>
      </c>
      <c r="BV101" t="n">
        <v>2018.0</v>
      </c>
      <c r="BW1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2">
      <c r="A102" t="n">
        <v>1763231.0</v>
      </c>
      <c r="B102" t="inlineStr">
        <is>
          <t>1,1,2,2,3,3,4,4,5,5,6,6,7,7,8,8,8-Heptadecafluoro-1-octanesulfonic acid</t>
        </is>
      </c>
      <c r="C102"/>
      <c r="D102" t="inlineStr">
        <is>
          <t>Measured</t>
        </is>
      </c>
      <c r="E102" t="inlineStr">
        <is>
          <t>&gt;=</t>
        </is>
      </c>
      <c r="F102" t="n">
        <v>98.0</v>
      </c>
      <c r="G102"/>
      <c r="H102"/>
      <c r="I102"/>
      <c r="J102"/>
      <c r="K102" t="inlineStr">
        <is>
          <t>Lactuca sativa</t>
        </is>
      </c>
      <c r="L102" t="inlineStr">
        <is>
          <t>Lettuce</t>
        </is>
      </c>
      <c r="M102" t="inlineStr">
        <is>
          <t>Flowers, Trees, Shrubs, Ferns; Standard Test Species; U.S. Invasive Species</t>
        </is>
      </c>
      <c r="N102" t="inlineStr">
        <is>
          <t>Seedling</t>
        </is>
      </c>
      <c r="O102"/>
      <c r="P102" t="n">
        <v>14.0</v>
      </c>
      <c r="Q102"/>
      <c r="R102"/>
      <c r="S102"/>
      <c r="T102"/>
      <c r="U102" t="inlineStr">
        <is>
          <t>Day(s)</t>
        </is>
      </c>
      <c r="V102" t="inlineStr">
        <is>
          <t>Environmental, unspecified</t>
        </is>
      </c>
      <c r="W102" t="inlineStr">
        <is>
          <t>Natural soil</t>
        </is>
      </c>
      <c r="X102" t="inlineStr">
        <is>
          <t>Lab</t>
        </is>
      </c>
      <c r="Y102" t="n">
        <v>3.0</v>
      </c>
      <c r="Z102" t="inlineStr">
        <is>
          <t>Active ingredient</t>
        </is>
      </c>
      <c r="AA102"/>
      <c r="AB102" t="n">
        <v>0.975</v>
      </c>
      <c r="AC102"/>
      <c r="AD102"/>
      <c r="AE102"/>
      <c r="AF102"/>
      <c r="AG102" t="inlineStr">
        <is>
          <t>mg/kg dry soil</t>
        </is>
      </c>
      <c r="AH102"/>
      <c r="AI102"/>
      <c r="AJ102"/>
      <c r="AK102"/>
      <c r="AL102"/>
      <c r="AM102"/>
      <c r="AN102"/>
      <c r="AO102"/>
      <c r="AP102"/>
      <c r="AQ102"/>
      <c r="AR102"/>
      <c r="AS102"/>
      <c r="AT102"/>
      <c r="AU102"/>
      <c r="AV102"/>
      <c r="AW102"/>
      <c r="AX102" t="inlineStr">
        <is>
          <t>Accumulation</t>
        </is>
      </c>
      <c r="AY102" t="inlineStr">
        <is>
          <t>Residue</t>
        </is>
      </c>
      <c r="AZ102" t="inlineStr">
        <is>
          <t>BCFD</t>
        </is>
      </c>
      <c r="BA102"/>
      <c r="BB102" t="n">
        <v>0.975</v>
      </c>
      <c r="BC102"/>
      <c r="BD102"/>
      <c r="BE102"/>
      <c r="BF102"/>
      <c r="BG102"/>
      <c r="BH102"/>
      <c r="BI102" t="inlineStr">
        <is>
          <t>mg/kg dry soil</t>
        </is>
      </c>
      <c r="BJ102" t="inlineStr">
        <is>
          <t>Root</t>
        </is>
      </c>
      <c r="BK102"/>
      <c r="BL102" t="n">
        <v>45.0</v>
      </c>
      <c r="BM102"/>
      <c r="BN102"/>
      <c r="BO102"/>
      <c r="BP102"/>
      <c r="BQ102" t="inlineStr">
        <is>
          <t>Day(s)</t>
        </is>
      </c>
      <c r="BR102" t="inlineStr">
        <is>
          <t>Yu,P.F., L. Xiang, X.H. Li, Z.R. Ding, C.H. Mo, Y.W. Li, H. Li, Q.Y. Cai, D.M. Zhou, and M.H. Wong</t>
        </is>
      </c>
      <c r="BS102" t="n">
        <v>182588.0</v>
      </c>
      <c r="BT102" t="inlineStr">
        <is>
          <t>Cultivar-Dependent Accumulation and Translocation of Perfluorooctanesulfonate Among Lettuce ( Lactuca sativa L.) Cultivars Grown on Perfluorooctanesulfonate-Contaminated Soil</t>
        </is>
      </c>
      <c r="BU102" t="inlineStr">
        <is>
          <t>J. Agric. Food Chem.66(50): 13096-13106</t>
        </is>
      </c>
      <c r="BV102" t="n">
        <v>2018.0</v>
      </c>
      <c r="BW1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3">
      <c r="A103" t="n">
        <v>1763231.0</v>
      </c>
      <c r="B103" t="inlineStr">
        <is>
          <t>1,1,2,2,3,3,4,4,5,5,6,6,7,7,8,8,8-Heptadecafluoro-1-octanesulfonic acid</t>
        </is>
      </c>
      <c r="C103"/>
      <c r="D103" t="inlineStr">
        <is>
          <t>Measured</t>
        </is>
      </c>
      <c r="E103" t="inlineStr">
        <is>
          <t>&gt;=</t>
        </is>
      </c>
      <c r="F103" t="n">
        <v>98.0</v>
      </c>
      <c r="G103"/>
      <c r="H103"/>
      <c r="I103"/>
      <c r="J103"/>
      <c r="K103" t="inlineStr">
        <is>
          <t>Lactuca sativa</t>
        </is>
      </c>
      <c r="L103" t="inlineStr">
        <is>
          <t>Lettuce</t>
        </is>
      </c>
      <c r="M103" t="inlineStr">
        <is>
          <t>Flowers, Trees, Shrubs, Ferns; Standard Test Species; U.S. Invasive Species</t>
        </is>
      </c>
      <c r="N103" t="inlineStr">
        <is>
          <t>Seedling</t>
        </is>
      </c>
      <c r="O103"/>
      <c r="P103" t="n">
        <v>14.0</v>
      </c>
      <c r="Q103"/>
      <c r="R103"/>
      <c r="S103"/>
      <c r="T103"/>
      <c r="U103" t="inlineStr">
        <is>
          <t>Day(s)</t>
        </is>
      </c>
      <c r="V103" t="inlineStr">
        <is>
          <t>Environmental, unspecified</t>
        </is>
      </c>
      <c r="W103" t="inlineStr">
        <is>
          <t>Natural soil</t>
        </is>
      </c>
      <c r="X103" t="inlineStr">
        <is>
          <t>Lab</t>
        </is>
      </c>
      <c r="Y103" t="n">
        <v>3.0</v>
      </c>
      <c r="Z103" t="inlineStr">
        <is>
          <t>Active ingredient</t>
        </is>
      </c>
      <c r="AA103"/>
      <c r="AB103" t="n">
        <v>0.987</v>
      </c>
      <c r="AC103"/>
      <c r="AD103"/>
      <c r="AE103"/>
      <c r="AF103"/>
      <c r="AG103" t="inlineStr">
        <is>
          <t>mg/kg dry soil</t>
        </is>
      </c>
      <c r="AH103"/>
      <c r="AI103"/>
      <c r="AJ103"/>
      <c r="AK103"/>
      <c r="AL103"/>
      <c r="AM103"/>
      <c r="AN103"/>
      <c r="AO103"/>
      <c r="AP103"/>
      <c r="AQ103"/>
      <c r="AR103"/>
      <c r="AS103"/>
      <c r="AT103"/>
      <c r="AU103"/>
      <c r="AV103"/>
      <c r="AW103"/>
      <c r="AX103" t="inlineStr">
        <is>
          <t>Accumulation</t>
        </is>
      </c>
      <c r="AY103" t="inlineStr">
        <is>
          <t>Residue</t>
        </is>
      </c>
      <c r="AZ103" t="inlineStr">
        <is>
          <t>BCFD</t>
        </is>
      </c>
      <c r="BA103"/>
      <c r="BB103" t="n">
        <v>0.987</v>
      </c>
      <c r="BC103"/>
      <c r="BD103"/>
      <c r="BE103"/>
      <c r="BF103"/>
      <c r="BG103"/>
      <c r="BH103"/>
      <c r="BI103" t="inlineStr">
        <is>
          <t>mg/kg dry soil</t>
        </is>
      </c>
      <c r="BJ103" t="inlineStr">
        <is>
          <t>Shoot</t>
        </is>
      </c>
      <c r="BK103"/>
      <c r="BL103" t="n">
        <v>45.0</v>
      </c>
      <c r="BM103"/>
      <c r="BN103"/>
      <c r="BO103"/>
      <c r="BP103"/>
      <c r="BQ103" t="inlineStr">
        <is>
          <t>Day(s)</t>
        </is>
      </c>
      <c r="BR103" t="inlineStr">
        <is>
          <t>Yu,P.F., L. Xiang, X.H. Li, Z.R. Ding, C.H. Mo, Y.W. Li, H. Li, Q.Y. Cai, D.M. Zhou, and M.H. Wong</t>
        </is>
      </c>
      <c r="BS103" t="n">
        <v>182588.0</v>
      </c>
      <c r="BT103" t="inlineStr">
        <is>
          <t>Cultivar-Dependent Accumulation and Translocation of Perfluorooctanesulfonate Among Lettuce ( Lactuca sativa L.) Cultivars Grown on Perfluorooctanesulfonate-Contaminated Soil</t>
        </is>
      </c>
      <c r="BU103" t="inlineStr">
        <is>
          <t>J. Agric. Food Chem.66(50): 13096-13106</t>
        </is>
      </c>
      <c r="BV103" t="n">
        <v>2018.0</v>
      </c>
      <c r="BW10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4">
      <c r="A104" t="n">
        <v>1763231.0</v>
      </c>
      <c r="B104" t="inlineStr">
        <is>
          <t>1,1,2,2,3,3,4,4,5,5,6,6,7,7,8,8,8-Heptadecafluoro-1-octanesulfonic acid</t>
        </is>
      </c>
      <c r="C104"/>
      <c r="D104" t="inlineStr">
        <is>
          <t>Measured</t>
        </is>
      </c>
      <c r="E104" t="inlineStr">
        <is>
          <t>&gt;=</t>
        </is>
      </c>
      <c r="F104" t="n">
        <v>98.0</v>
      </c>
      <c r="G104"/>
      <c r="H104"/>
      <c r="I104"/>
      <c r="J104"/>
      <c r="K104" t="inlineStr">
        <is>
          <t>Lactuca sativa</t>
        </is>
      </c>
      <c r="L104" t="inlineStr">
        <is>
          <t>Lettuce</t>
        </is>
      </c>
      <c r="M104" t="inlineStr">
        <is>
          <t>Flowers, Trees, Shrubs, Ferns; Standard Test Species; U.S. Invasive Species</t>
        </is>
      </c>
      <c r="N104" t="inlineStr">
        <is>
          <t>Seedling</t>
        </is>
      </c>
      <c r="O104"/>
      <c r="P104" t="n">
        <v>14.0</v>
      </c>
      <c r="Q104"/>
      <c r="R104"/>
      <c r="S104"/>
      <c r="T104"/>
      <c r="U104" t="inlineStr">
        <is>
          <t>Day(s)</t>
        </is>
      </c>
      <c r="V104" t="inlineStr">
        <is>
          <t>Environmental, unspecified</t>
        </is>
      </c>
      <c r="W104" t="inlineStr">
        <is>
          <t>Natural soil</t>
        </is>
      </c>
      <c r="X104" t="inlineStr">
        <is>
          <t>Lab</t>
        </is>
      </c>
      <c r="Y104" t="n">
        <v>3.0</v>
      </c>
      <c r="Z104" t="inlineStr">
        <is>
          <t>Active ingredient</t>
        </is>
      </c>
      <c r="AA104"/>
      <c r="AB104" t="n">
        <v>0.192</v>
      </c>
      <c r="AC104"/>
      <c r="AD104"/>
      <c r="AE104"/>
      <c r="AF104"/>
      <c r="AG104" t="inlineStr">
        <is>
          <t>mg/kg dry soil</t>
        </is>
      </c>
      <c r="AH104"/>
      <c r="AI104"/>
      <c r="AJ104"/>
      <c r="AK104"/>
      <c r="AL104"/>
      <c r="AM104"/>
      <c r="AN104"/>
      <c r="AO104"/>
      <c r="AP104"/>
      <c r="AQ104"/>
      <c r="AR104"/>
      <c r="AS104"/>
      <c r="AT104"/>
      <c r="AU104"/>
      <c r="AV104"/>
      <c r="AW104"/>
      <c r="AX104" t="inlineStr">
        <is>
          <t>Accumulation</t>
        </is>
      </c>
      <c r="AY104" t="inlineStr">
        <is>
          <t>Residue</t>
        </is>
      </c>
      <c r="AZ104" t="inlineStr">
        <is>
          <t>BCFD</t>
        </is>
      </c>
      <c r="BA104"/>
      <c r="BB104" t="n">
        <v>0.192</v>
      </c>
      <c r="BC104"/>
      <c r="BD104"/>
      <c r="BE104"/>
      <c r="BF104"/>
      <c r="BG104"/>
      <c r="BH104"/>
      <c r="BI104" t="inlineStr">
        <is>
          <t>mg/kg dry soil</t>
        </is>
      </c>
      <c r="BJ104" t="inlineStr">
        <is>
          <t>Shoot</t>
        </is>
      </c>
      <c r="BK104"/>
      <c r="BL104" t="n">
        <v>45.0</v>
      </c>
      <c r="BM104"/>
      <c r="BN104"/>
      <c r="BO104"/>
      <c r="BP104"/>
      <c r="BQ104" t="inlineStr">
        <is>
          <t>Day(s)</t>
        </is>
      </c>
      <c r="BR104" t="inlineStr">
        <is>
          <t>Yu,P.F., L. Xiang, X.H. Li, Z.R. Ding, C.H. Mo, Y.W. Li, H. Li, Q.Y. Cai, D.M. Zhou, and M.H. Wong</t>
        </is>
      </c>
      <c r="BS104" t="n">
        <v>182588.0</v>
      </c>
      <c r="BT104" t="inlineStr">
        <is>
          <t>Cultivar-Dependent Accumulation and Translocation of Perfluorooctanesulfonate Among Lettuce ( Lactuca sativa L.) Cultivars Grown on Perfluorooctanesulfonate-Contaminated Soil</t>
        </is>
      </c>
      <c r="BU104" t="inlineStr">
        <is>
          <t>J. Agric. Food Chem.66(50): 13096-13106</t>
        </is>
      </c>
      <c r="BV104" t="n">
        <v>2018.0</v>
      </c>
      <c r="BW10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5">
      <c r="A105" t="n">
        <v>1763231.0</v>
      </c>
      <c r="B105" t="inlineStr">
        <is>
          <t>1,1,2,2,3,3,4,4,5,5,6,6,7,7,8,8,8-Heptadecafluoro-1-octanesulfonic acid</t>
        </is>
      </c>
      <c r="C105"/>
      <c r="D105" t="inlineStr">
        <is>
          <t>Measured</t>
        </is>
      </c>
      <c r="E105" t="inlineStr">
        <is>
          <t>&gt;=</t>
        </is>
      </c>
      <c r="F105" t="n">
        <v>98.0</v>
      </c>
      <c r="G105"/>
      <c r="H105"/>
      <c r="I105"/>
      <c r="J105"/>
      <c r="K105" t="inlineStr">
        <is>
          <t>Lactuca sativa</t>
        </is>
      </c>
      <c r="L105" t="inlineStr">
        <is>
          <t>Lettuce</t>
        </is>
      </c>
      <c r="M105" t="inlineStr">
        <is>
          <t>Flowers, Trees, Shrubs, Ferns; Standard Test Species; U.S. Invasive Species</t>
        </is>
      </c>
      <c r="N105" t="inlineStr">
        <is>
          <t>Seedling</t>
        </is>
      </c>
      <c r="O105"/>
      <c r="P105" t="n">
        <v>14.0</v>
      </c>
      <c r="Q105"/>
      <c r="R105"/>
      <c r="S105"/>
      <c r="T105"/>
      <c r="U105" t="inlineStr">
        <is>
          <t>Day(s)</t>
        </is>
      </c>
      <c r="V105" t="inlineStr">
        <is>
          <t>Environmental, unspecified</t>
        </is>
      </c>
      <c r="W105" t="inlineStr">
        <is>
          <t>Natural soil</t>
        </is>
      </c>
      <c r="X105" t="inlineStr">
        <is>
          <t>Lab</t>
        </is>
      </c>
      <c r="Y105" t="n">
        <v>3.0</v>
      </c>
      <c r="Z105" t="inlineStr">
        <is>
          <t>Active ingredient</t>
        </is>
      </c>
      <c r="AA105"/>
      <c r="AB105" t="n">
        <v>0.192</v>
      </c>
      <c r="AC105"/>
      <c r="AD105"/>
      <c r="AE105"/>
      <c r="AF105"/>
      <c r="AG105" t="inlineStr">
        <is>
          <t>mg/kg dry soil</t>
        </is>
      </c>
      <c r="AH105"/>
      <c r="AI105"/>
      <c r="AJ105"/>
      <c r="AK105"/>
      <c r="AL105"/>
      <c r="AM105"/>
      <c r="AN105"/>
      <c r="AO105"/>
      <c r="AP105"/>
      <c r="AQ105"/>
      <c r="AR105"/>
      <c r="AS105"/>
      <c r="AT105"/>
      <c r="AU105"/>
      <c r="AV105"/>
      <c r="AW105"/>
      <c r="AX105" t="inlineStr">
        <is>
          <t>Accumulation</t>
        </is>
      </c>
      <c r="AY105" t="inlineStr">
        <is>
          <t>Residue</t>
        </is>
      </c>
      <c r="AZ105" t="inlineStr">
        <is>
          <t>BCFD</t>
        </is>
      </c>
      <c r="BA105"/>
      <c r="BB105" t="n">
        <v>0.192</v>
      </c>
      <c r="BC105"/>
      <c r="BD105"/>
      <c r="BE105"/>
      <c r="BF105"/>
      <c r="BG105"/>
      <c r="BH105"/>
      <c r="BI105" t="inlineStr">
        <is>
          <t>mg/kg dry soil</t>
        </is>
      </c>
      <c r="BJ105" t="inlineStr">
        <is>
          <t>Root</t>
        </is>
      </c>
      <c r="BK105"/>
      <c r="BL105" t="n">
        <v>45.0</v>
      </c>
      <c r="BM105"/>
      <c r="BN105"/>
      <c r="BO105"/>
      <c r="BP105"/>
      <c r="BQ105" t="inlineStr">
        <is>
          <t>Day(s)</t>
        </is>
      </c>
      <c r="BR105" t="inlineStr">
        <is>
          <t>Yu,P.F., L. Xiang, X.H. Li, Z.R. Ding, C.H. Mo, Y.W. Li, H. Li, Q.Y. Cai, D.M. Zhou, and M.H. Wong</t>
        </is>
      </c>
      <c r="BS105" t="n">
        <v>182588.0</v>
      </c>
      <c r="BT105" t="inlineStr">
        <is>
          <t>Cultivar-Dependent Accumulation and Translocation of Perfluorooctanesulfonate Among Lettuce ( Lactuca sativa L.) Cultivars Grown on Perfluorooctanesulfonate-Contaminated Soil</t>
        </is>
      </c>
      <c r="BU105" t="inlineStr">
        <is>
          <t>J. Agric. Food Chem.66(50): 13096-13106</t>
        </is>
      </c>
      <c r="BV105" t="n">
        <v>2018.0</v>
      </c>
      <c r="BW10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6">
      <c r="A106" t="n">
        <v>1763231.0</v>
      </c>
      <c r="B106" t="inlineStr">
        <is>
          <t>1,1,2,2,3,3,4,4,5,5,6,6,7,7,8,8,8-Heptadecafluoro-1-octanesulfonic acid</t>
        </is>
      </c>
      <c r="C106"/>
      <c r="D106" t="inlineStr">
        <is>
          <t>Measured</t>
        </is>
      </c>
      <c r="E106" t="inlineStr">
        <is>
          <t>&gt;=</t>
        </is>
      </c>
      <c r="F106" t="n">
        <v>98.0</v>
      </c>
      <c r="G106"/>
      <c r="H106"/>
      <c r="I106"/>
      <c r="J106"/>
      <c r="K106" t="inlineStr">
        <is>
          <t>Lactuca sativa</t>
        </is>
      </c>
      <c r="L106" t="inlineStr">
        <is>
          <t>Lettuce</t>
        </is>
      </c>
      <c r="M106" t="inlineStr">
        <is>
          <t>Flowers, Trees, Shrubs, Ferns; Standard Test Species; U.S. Invasive Species</t>
        </is>
      </c>
      <c r="N106" t="inlineStr">
        <is>
          <t>Seedling</t>
        </is>
      </c>
      <c r="O106"/>
      <c r="P106" t="n">
        <v>14.0</v>
      </c>
      <c r="Q106"/>
      <c r="R106"/>
      <c r="S106"/>
      <c r="T106"/>
      <c r="U106" t="inlineStr">
        <is>
          <t>Day(s)</t>
        </is>
      </c>
      <c r="V106" t="inlineStr">
        <is>
          <t>Environmental, unspecified</t>
        </is>
      </c>
      <c r="W106" t="inlineStr">
        <is>
          <t>Natural soil</t>
        </is>
      </c>
      <c r="X106" t="inlineStr">
        <is>
          <t>Lab</t>
        </is>
      </c>
      <c r="Y106" t="n">
        <v>3.0</v>
      </c>
      <c r="Z106" t="inlineStr">
        <is>
          <t>Active ingredient</t>
        </is>
      </c>
      <c r="AA106"/>
      <c r="AB106" t="n">
        <v>0.987</v>
      </c>
      <c r="AC106"/>
      <c r="AD106"/>
      <c r="AE106"/>
      <c r="AF106"/>
      <c r="AG106" t="inlineStr">
        <is>
          <t>mg/kg dry soil</t>
        </is>
      </c>
      <c r="AH106"/>
      <c r="AI106"/>
      <c r="AJ106"/>
      <c r="AK106"/>
      <c r="AL106"/>
      <c r="AM106"/>
      <c r="AN106"/>
      <c r="AO106"/>
      <c r="AP106"/>
      <c r="AQ106"/>
      <c r="AR106"/>
      <c r="AS106"/>
      <c r="AT106"/>
      <c r="AU106"/>
      <c r="AV106"/>
      <c r="AW106"/>
      <c r="AX106" t="inlineStr">
        <is>
          <t>Accumulation</t>
        </is>
      </c>
      <c r="AY106" t="inlineStr">
        <is>
          <t>Residue</t>
        </is>
      </c>
      <c r="AZ106" t="inlineStr">
        <is>
          <t>BCFD</t>
        </is>
      </c>
      <c r="BA106"/>
      <c r="BB106" t="n">
        <v>0.987</v>
      </c>
      <c r="BC106"/>
      <c r="BD106"/>
      <c r="BE106"/>
      <c r="BF106"/>
      <c r="BG106"/>
      <c r="BH106"/>
      <c r="BI106" t="inlineStr">
        <is>
          <t>mg/kg dry soil</t>
        </is>
      </c>
      <c r="BJ106" t="inlineStr">
        <is>
          <t>Root</t>
        </is>
      </c>
      <c r="BK106"/>
      <c r="BL106" t="n">
        <v>45.0</v>
      </c>
      <c r="BM106"/>
      <c r="BN106"/>
      <c r="BO106"/>
      <c r="BP106"/>
      <c r="BQ106" t="inlineStr">
        <is>
          <t>Day(s)</t>
        </is>
      </c>
      <c r="BR106" t="inlineStr">
        <is>
          <t>Yu,P.F., L. Xiang, X.H. Li, Z.R. Ding, C.H. Mo, Y.W. Li, H. Li, Q.Y. Cai, D.M. Zhou, and M.H. Wong</t>
        </is>
      </c>
      <c r="BS106" t="n">
        <v>182588.0</v>
      </c>
      <c r="BT106" t="inlineStr">
        <is>
          <t>Cultivar-Dependent Accumulation and Translocation of Perfluorooctanesulfonate Among Lettuce ( Lactuca sativa L.) Cultivars Grown on Perfluorooctanesulfonate-Contaminated Soil</t>
        </is>
      </c>
      <c r="BU106" t="inlineStr">
        <is>
          <t>J. Agric. Food Chem.66(50): 13096-13106</t>
        </is>
      </c>
      <c r="BV106" t="n">
        <v>2018.0</v>
      </c>
      <c r="BW10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7">
      <c r="A107" t="n">
        <v>1763231.0</v>
      </c>
      <c r="B107" t="inlineStr">
        <is>
          <t>1,1,2,2,3,3,4,4,5,5,6,6,7,7,8,8,8-Heptadecafluoro-1-octanesulfonic acid</t>
        </is>
      </c>
      <c r="C107"/>
      <c r="D107" t="inlineStr">
        <is>
          <t>Measured</t>
        </is>
      </c>
      <c r="E107" t="inlineStr">
        <is>
          <t>&gt;=</t>
        </is>
      </c>
      <c r="F107" t="n">
        <v>98.0</v>
      </c>
      <c r="G107"/>
      <c r="H107"/>
      <c r="I107"/>
      <c r="J107"/>
      <c r="K107" t="inlineStr">
        <is>
          <t>Lactuca sativa</t>
        </is>
      </c>
      <c r="L107" t="inlineStr">
        <is>
          <t>Lettuce</t>
        </is>
      </c>
      <c r="M107" t="inlineStr">
        <is>
          <t>Flowers, Trees, Shrubs, Ferns; Standard Test Species; U.S. Invasive Species</t>
        </is>
      </c>
      <c r="N107" t="inlineStr">
        <is>
          <t>Seedling</t>
        </is>
      </c>
      <c r="O107"/>
      <c r="P107" t="n">
        <v>14.0</v>
      </c>
      <c r="Q107"/>
      <c r="R107"/>
      <c r="S107"/>
      <c r="T107"/>
      <c r="U107" t="inlineStr">
        <is>
          <t>Day(s)</t>
        </is>
      </c>
      <c r="V107" t="inlineStr">
        <is>
          <t>Environmental, unspecified</t>
        </is>
      </c>
      <c r="W107" t="inlineStr">
        <is>
          <t>Natural soil</t>
        </is>
      </c>
      <c r="X107" t="inlineStr">
        <is>
          <t>Lab</t>
        </is>
      </c>
      <c r="Y107" t="n">
        <v>3.0</v>
      </c>
      <c r="Z107" t="inlineStr">
        <is>
          <t>Active ingredient</t>
        </is>
      </c>
      <c r="AA107"/>
      <c r="AB107" t="n">
        <v>0.192</v>
      </c>
      <c r="AC107"/>
      <c r="AD107"/>
      <c r="AE107"/>
      <c r="AF107"/>
      <c r="AG107" t="inlineStr">
        <is>
          <t>mg/kg dry soil</t>
        </is>
      </c>
      <c r="AH107"/>
      <c r="AI107"/>
      <c r="AJ107"/>
      <c r="AK107"/>
      <c r="AL107"/>
      <c r="AM107"/>
      <c r="AN107"/>
      <c r="AO107"/>
      <c r="AP107"/>
      <c r="AQ107"/>
      <c r="AR107"/>
      <c r="AS107"/>
      <c r="AT107"/>
      <c r="AU107"/>
      <c r="AV107"/>
      <c r="AW107"/>
      <c r="AX107" t="inlineStr">
        <is>
          <t>Accumulation</t>
        </is>
      </c>
      <c r="AY107" t="inlineStr">
        <is>
          <t>Residue</t>
        </is>
      </c>
      <c r="AZ107" t="inlineStr">
        <is>
          <t>BCFD</t>
        </is>
      </c>
      <c r="BA107"/>
      <c r="BB107" t="n">
        <v>0.192</v>
      </c>
      <c r="BC107"/>
      <c r="BD107"/>
      <c r="BE107"/>
      <c r="BF107"/>
      <c r="BG107"/>
      <c r="BH107"/>
      <c r="BI107" t="inlineStr">
        <is>
          <t>mg/kg dry soil</t>
        </is>
      </c>
      <c r="BJ107" t="inlineStr">
        <is>
          <t>Root</t>
        </is>
      </c>
      <c r="BK107"/>
      <c r="BL107" t="n">
        <v>45.0</v>
      </c>
      <c r="BM107"/>
      <c r="BN107"/>
      <c r="BO107"/>
      <c r="BP107"/>
      <c r="BQ107" t="inlineStr">
        <is>
          <t>Day(s)</t>
        </is>
      </c>
      <c r="BR107" t="inlineStr">
        <is>
          <t>Yu,P.F., L. Xiang, X.H. Li, Z.R. Ding, C.H. Mo, Y.W. Li, H. Li, Q.Y. Cai, D.M. Zhou, and M.H. Wong</t>
        </is>
      </c>
      <c r="BS107" t="n">
        <v>182588.0</v>
      </c>
      <c r="BT107" t="inlineStr">
        <is>
          <t>Cultivar-Dependent Accumulation and Translocation of Perfluorooctanesulfonate Among Lettuce ( Lactuca sativa L.) Cultivars Grown on Perfluorooctanesulfonate-Contaminated Soil</t>
        </is>
      </c>
      <c r="BU107" t="inlineStr">
        <is>
          <t>J. Agric. Food Chem.66(50): 13096-13106</t>
        </is>
      </c>
      <c r="BV107" t="n">
        <v>2018.0</v>
      </c>
      <c r="BW10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8">
      <c r="A108" t="n">
        <v>1763231.0</v>
      </c>
      <c r="B108" t="inlineStr">
        <is>
          <t>1,1,2,2,3,3,4,4,5,5,6,6,7,7,8,8,8-Heptadecafluoro-1-octanesulfonic acid</t>
        </is>
      </c>
      <c r="C108"/>
      <c r="D108" t="inlineStr">
        <is>
          <t>Measured</t>
        </is>
      </c>
      <c r="E108" t="inlineStr">
        <is>
          <t>&gt;=</t>
        </is>
      </c>
      <c r="F108" t="n">
        <v>98.0</v>
      </c>
      <c r="G108"/>
      <c r="H108"/>
      <c r="I108"/>
      <c r="J108"/>
      <c r="K108" t="inlineStr">
        <is>
          <t>Lactuca sativa</t>
        </is>
      </c>
      <c r="L108" t="inlineStr">
        <is>
          <t>Lettuce</t>
        </is>
      </c>
      <c r="M108" t="inlineStr">
        <is>
          <t>Flowers, Trees, Shrubs, Ferns; Standard Test Species; U.S. Invasive Species</t>
        </is>
      </c>
      <c r="N108" t="inlineStr">
        <is>
          <t>Seedling</t>
        </is>
      </c>
      <c r="O108"/>
      <c r="P108" t="n">
        <v>14.0</v>
      </c>
      <c r="Q108"/>
      <c r="R108"/>
      <c r="S108"/>
      <c r="T108"/>
      <c r="U108" t="inlineStr">
        <is>
          <t>Day(s)</t>
        </is>
      </c>
      <c r="V108" t="inlineStr">
        <is>
          <t>Environmental, unspecified</t>
        </is>
      </c>
      <c r="W108" t="inlineStr">
        <is>
          <t>Natural soil</t>
        </is>
      </c>
      <c r="X108" t="inlineStr">
        <is>
          <t>Lab</t>
        </is>
      </c>
      <c r="Y108" t="n">
        <v>3.0</v>
      </c>
      <c r="Z108" t="inlineStr">
        <is>
          <t>Active ingredient</t>
        </is>
      </c>
      <c r="AA108"/>
      <c r="AB108" t="n">
        <v>0.987</v>
      </c>
      <c r="AC108"/>
      <c r="AD108"/>
      <c r="AE108"/>
      <c r="AF108"/>
      <c r="AG108" t="inlineStr">
        <is>
          <t>mg/kg dry soil</t>
        </is>
      </c>
      <c r="AH108"/>
      <c r="AI108"/>
      <c r="AJ108"/>
      <c r="AK108"/>
      <c r="AL108"/>
      <c r="AM108"/>
      <c r="AN108"/>
      <c r="AO108"/>
      <c r="AP108"/>
      <c r="AQ108"/>
      <c r="AR108"/>
      <c r="AS108"/>
      <c r="AT108"/>
      <c r="AU108"/>
      <c r="AV108"/>
      <c r="AW108"/>
      <c r="AX108" t="inlineStr">
        <is>
          <t>Accumulation</t>
        </is>
      </c>
      <c r="AY108" t="inlineStr">
        <is>
          <t>Residue</t>
        </is>
      </c>
      <c r="AZ108" t="inlineStr">
        <is>
          <t>BCFD</t>
        </is>
      </c>
      <c r="BA108"/>
      <c r="BB108" t="n">
        <v>0.987</v>
      </c>
      <c r="BC108"/>
      <c r="BD108"/>
      <c r="BE108"/>
      <c r="BF108"/>
      <c r="BG108"/>
      <c r="BH108"/>
      <c r="BI108" t="inlineStr">
        <is>
          <t>mg/kg dry soil</t>
        </is>
      </c>
      <c r="BJ108" t="inlineStr">
        <is>
          <t>Root</t>
        </is>
      </c>
      <c r="BK108"/>
      <c r="BL108" t="n">
        <v>45.0</v>
      </c>
      <c r="BM108"/>
      <c r="BN108"/>
      <c r="BO108"/>
      <c r="BP108"/>
      <c r="BQ108" t="inlineStr">
        <is>
          <t>Day(s)</t>
        </is>
      </c>
      <c r="BR108" t="inlineStr">
        <is>
          <t>Yu,P.F., L. Xiang, X.H. Li, Z.R. Ding, C.H. Mo, Y.W. Li, H. Li, Q.Y. Cai, D.M. Zhou, and M.H. Wong</t>
        </is>
      </c>
      <c r="BS108" t="n">
        <v>182588.0</v>
      </c>
      <c r="BT108" t="inlineStr">
        <is>
          <t>Cultivar-Dependent Accumulation and Translocation of Perfluorooctanesulfonate Among Lettuce ( Lactuca sativa L.) Cultivars Grown on Perfluorooctanesulfonate-Contaminated Soil</t>
        </is>
      </c>
      <c r="BU108" t="inlineStr">
        <is>
          <t>J. Agric. Food Chem.66(50): 13096-13106</t>
        </is>
      </c>
      <c r="BV108" t="n">
        <v>2018.0</v>
      </c>
      <c r="BW10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09">
      <c r="A109" t="n">
        <v>1763231.0</v>
      </c>
      <c r="B109" t="inlineStr">
        <is>
          <t>1,1,2,2,3,3,4,4,5,5,6,6,7,7,8,8,8-Heptadecafluoro-1-octanesulfonic acid</t>
        </is>
      </c>
      <c r="C109"/>
      <c r="D109" t="inlineStr">
        <is>
          <t>Measured</t>
        </is>
      </c>
      <c r="E109" t="inlineStr">
        <is>
          <t>&gt;=</t>
        </is>
      </c>
      <c r="F109" t="n">
        <v>98.0</v>
      </c>
      <c r="G109"/>
      <c r="H109"/>
      <c r="I109"/>
      <c r="J109"/>
      <c r="K109" t="inlineStr">
        <is>
          <t>Lactuca sativa</t>
        </is>
      </c>
      <c r="L109" t="inlineStr">
        <is>
          <t>Lettuce</t>
        </is>
      </c>
      <c r="M109" t="inlineStr">
        <is>
          <t>Flowers, Trees, Shrubs, Ferns; Standard Test Species; U.S. Invasive Species</t>
        </is>
      </c>
      <c r="N109" t="inlineStr">
        <is>
          <t>Seedling</t>
        </is>
      </c>
      <c r="O109"/>
      <c r="P109" t="n">
        <v>14.0</v>
      </c>
      <c r="Q109"/>
      <c r="R109"/>
      <c r="S109"/>
      <c r="T109"/>
      <c r="U109" t="inlineStr">
        <is>
          <t>Day(s)</t>
        </is>
      </c>
      <c r="V109" t="inlineStr">
        <is>
          <t>Environmental, unspecified</t>
        </is>
      </c>
      <c r="W109" t="inlineStr">
        <is>
          <t>Natural soil</t>
        </is>
      </c>
      <c r="X109" t="inlineStr">
        <is>
          <t>Lab</t>
        </is>
      </c>
      <c r="Y109" t="n">
        <v>3.0</v>
      </c>
      <c r="Z109" t="inlineStr">
        <is>
          <t>Active ingredient</t>
        </is>
      </c>
      <c r="AA109"/>
      <c r="AB109" t="n">
        <v>0.192</v>
      </c>
      <c r="AC109"/>
      <c r="AD109"/>
      <c r="AE109"/>
      <c r="AF109"/>
      <c r="AG109" t="inlineStr">
        <is>
          <t>mg/kg dry soil</t>
        </is>
      </c>
      <c r="AH109"/>
      <c r="AI109"/>
      <c r="AJ109"/>
      <c r="AK109"/>
      <c r="AL109"/>
      <c r="AM109"/>
      <c r="AN109"/>
      <c r="AO109"/>
      <c r="AP109"/>
      <c r="AQ109"/>
      <c r="AR109"/>
      <c r="AS109"/>
      <c r="AT109"/>
      <c r="AU109"/>
      <c r="AV109"/>
      <c r="AW109"/>
      <c r="AX109" t="inlineStr">
        <is>
          <t>Accumulation</t>
        </is>
      </c>
      <c r="AY109" t="inlineStr">
        <is>
          <t>Residue</t>
        </is>
      </c>
      <c r="AZ109" t="inlineStr">
        <is>
          <t>BCFD</t>
        </is>
      </c>
      <c r="BA109"/>
      <c r="BB109" t="n">
        <v>0.192</v>
      </c>
      <c r="BC109"/>
      <c r="BD109"/>
      <c r="BE109"/>
      <c r="BF109"/>
      <c r="BG109"/>
      <c r="BH109"/>
      <c r="BI109" t="inlineStr">
        <is>
          <t>mg/kg dry soil</t>
        </is>
      </c>
      <c r="BJ109" t="inlineStr">
        <is>
          <t>Shoot</t>
        </is>
      </c>
      <c r="BK109"/>
      <c r="BL109" t="n">
        <v>45.0</v>
      </c>
      <c r="BM109"/>
      <c r="BN109"/>
      <c r="BO109"/>
      <c r="BP109"/>
      <c r="BQ109" t="inlineStr">
        <is>
          <t>Day(s)</t>
        </is>
      </c>
      <c r="BR109" t="inlineStr">
        <is>
          <t>Yu,P.F., L. Xiang, X.H. Li, Z.R. Ding, C.H. Mo, Y.W. Li, H. Li, Q.Y. Cai, D.M. Zhou, and M.H. Wong</t>
        </is>
      </c>
      <c r="BS109" t="n">
        <v>182588.0</v>
      </c>
      <c r="BT109" t="inlineStr">
        <is>
          <t>Cultivar-Dependent Accumulation and Translocation of Perfluorooctanesulfonate Among Lettuce ( Lactuca sativa L.) Cultivars Grown on Perfluorooctanesulfonate-Contaminated Soil</t>
        </is>
      </c>
      <c r="BU109" t="inlineStr">
        <is>
          <t>J. Agric. Food Chem.66(50): 13096-13106</t>
        </is>
      </c>
      <c r="BV109" t="n">
        <v>2018.0</v>
      </c>
      <c r="BW10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10">
      <c r="A110" t="n">
        <v>1763231.0</v>
      </c>
      <c r="B110" t="inlineStr">
        <is>
          <t>1,1,2,2,3,3,4,4,5,5,6,6,7,7,8,8,8-Heptadecafluoro-1-octanesulfonic acid</t>
        </is>
      </c>
      <c r="C110"/>
      <c r="D110" t="inlineStr">
        <is>
          <t>Measured</t>
        </is>
      </c>
      <c r="E110" t="inlineStr">
        <is>
          <t>&gt;=</t>
        </is>
      </c>
      <c r="F110" t="n">
        <v>98.0</v>
      </c>
      <c r="G110"/>
      <c r="H110"/>
      <c r="I110"/>
      <c r="J110"/>
      <c r="K110" t="inlineStr">
        <is>
          <t>Lactuca sativa</t>
        </is>
      </c>
      <c r="L110" t="inlineStr">
        <is>
          <t>Lettuce</t>
        </is>
      </c>
      <c r="M110" t="inlineStr">
        <is>
          <t>Flowers, Trees, Shrubs, Ferns; Standard Test Species; U.S. Invasive Species</t>
        </is>
      </c>
      <c r="N110" t="inlineStr">
        <is>
          <t>Seedling</t>
        </is>
      </c>
      <c r="O110"/>
      <c r="P110" t="n">
        <v>14.0</v>
      </c>
      <c r="Q110"/>
      <c r="R110"/>
      <c r="S110"/>
      <c r="T110"/>
      <c r="U110" t="inlineStr">
        <is>
          <t>Day(s)</t>
        </is>
      </c>
      <c r="V110" t="inlineStr">
        <is>
          <t>Environmental, unspecified</t>
        </is>
      </c>
      <c r="W110" t="inlineStr">
        <is>
          <t>Natural soil</t>
        </is>
      </c>
      <c r="X110" t="inlineStr">
        <is>
          <t>Lab</t>
        </is>
      </c>
      <c r="Y110" t="n">
        <v>3.0</v>
      </c>
      <c r="Z110" t="inlineStr">
        <is>
          <t>Active ingredient</t>
        </is>
      </c>
      <c r="AA110"/>
      <c r="AB110" t="n">
        <v>0.189</v>
      </c>
      <c r="AC110"/>
      <c r="AD110"/>
      <c r="AE110"/>
      <c r="AF110"/>
      <c r="AG110" t="inlineStr">
        <is>
          <t>mg/kg dry soil</t>
        </is>
      </c>
      <c r="AH110"/>
      <c r="AI110"/>
      <c r="AJ110"/>
      <c r="AK110"/>
      <c r="AL110"/>
      <c r="AM110"/>
      <c r="AN110"/>
      <c r="AO110"/>
      <c r="AP110"/>
      <c r="AQ110"/>
      <c r="AR110"/>
      <c r="AS110"/>
      <c r="AT110"/>
      <c r="AU110"/>
      <c r="AV110"/>
      <c r="AW110"/>
      <c r="AX110" t="inlineStr">
        <is>
          <t>Accumulation</t>
        </is>
      </c>
      <c r="AY110" t="inlineStr">
        <is>
          <t>Residue</t>
        </is>
      </c>
      <c r="AZ110" t="inlineStr">
        <is>
          <t>BCFD</t>
        </is>
      </c>
      <c r="BA110"/>
      <c r="BB110" t="n">
        <v>0.189</v>
      </c>
      <c r="BC110"/>
      <c r="BD110"/>
      <c r="BE110"/>
      <c r="BF110"/>
      <c r="BG110"/>
      <c r="BH110"/>
      <c r="BI110" t="inlineStr">
        <is>
          <t>mg/kg dry soil</t>
        </is>
      </c>
      <c r="BJ110" t="inlineStr">
        <is>
          <t>Shoot</t>
        </is>
      </c>
      <c r="BK110"/>
      <c r="BL110" t="n">
        <v>45.0</v>
      </c>
      <c r="BM110"/>
      <c r="BN110"/>
      <c r="BO110"/>
      <c r="BP110"/>
      <c r="BQ110" t="inlineStr">
        <is>
          <t>Day(s)</t>
        </is>
      </c>
      <c r="BR110" t="inlineStr">
        <is>
          <t>Yu,P.F., L. Xiang, X.H. Li, Z.R. Ding, C.H. Mo, Y.W. Li, H. Li, Q.Y. Cai, D.M. Zhou, and M.H. Wong</t>
        </is>
      </c>
      <c r="BS110" t="n">
        <v>182588.0</v>
      </c>
      <c r="BT110" t="inlineStr">
        <is>
          <t>Cultivar-Dependent Accumulation and Translocation of Perfluorooctanesulfonate Among Lettuce ( Lactuca sativa L.) Cultivars Grown on Perfluorooctanesulfonate-Contaminated Soil</t>
        </is>
      </c>
      <c r="BU110" t="inlineStr">
        <is>
          <t>J. Agric. Food Chem.66(50): 13096-13106</t>
        </is>
      </c>
      <c r="BV110" t="n">
        <v>2018.0</v>
      </c>
      <c r="BW1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11">
      <c r="A111" t="n">
        <v>1763231.0</v>
      </c>
      <c r="B111" t="inlineStr">
        <is>
          <t>1,1,2,2,3,3,4,4,5,5,6,6,7,7,8,8,8-Heptadecafluoro-1-octanesulfonic acid</t>
        </is>
      </c>
      <c r="C111"/>
      <c r="D111" t="inlineStr">
        <is>
          <t>Measured</t>
        </is>
      </c>
      <c r="E111" t="inlineStr">
        <is>
          <t>&gt;=</t>
        </is>
      </c>
      <c r="F111" t="n">
        <v>98.0</v>
      </c>
      <c r="G111"/>
      <c r="H111"/>
      <c r="I111"/>
      <c r="J111"/>
      <c r="K111" t="inlineStr">
        <is>
          <t>Lactuca sativa</t>
        </is>
      </c>
      <c r="L111" t="inlineStr">
        <is>
          <t>Lettuce</t>
        </is>
      </c>
      <c r="M111" t="inlineStr">
        <is>
          <t>Flowers, Trees, Shrubs, Ferns; Standard Test Species; U.S. Invasive Species</t>
        </is>
      </c>
      <c r="N111" t="inlineStr">
        <is>
          <t>Seedling</t>
        </is>
      </c>
      <c r="O111"/>
      <c r="P111" t="n">
        <v>14.0</v>
      </c>
      <c r="Q111"/>
      <c r="R111"/>
      <c r="S111"/>
      <c r="T111"/>
      <c r="U111" t="inlineStr">
        <is>
          <t>Day(s)</t>
        </is>
      </c>
      <c r="V111" t="inlineStr">
        <is>
          <t>Environmental, unspecified</t>
        </is>
      </c>
      <c r="W111" t="inlineStr">
        <is>
          <t>Natural soil</t>
        </is>
      </c>
      <c r="X111" t="inlineStr">
        <is>
          <t>Lab</t>
        </is>
      </c>
      <c r="Y111" t="n">
        <v>3.0</v>
      </c>
      <c r="Z111" t="inlineStr">
        <is>
          <t>Active ingredient</t>
        </is>
      </c>
      <c r="AA111"/>
      <c r="AB111" t="n">
        <v>0.987</v>
      </c>
      <c r="AC111"/>
      <c r="AD111"/>
      <c r="AE111"/>
      <c r="AF111"/>
      <c r="AG111" t="inlineStr">
        <is>
          <t>mg/kg dry soil</t>
        </is>
      </c>
      <c r="AH111"/>
      <c r="AI111"/>
      <c r="AJ111"/>
      <c r="AK111"/>
      <c r="AL111"/>
      <c r="AM111"/>
      <c r="AN111"/>
      <c r="AO111"/>
      <c r="AP111"/>
      <c r="AQ111"/>
      <c r="AR111"/>
      <c r="AS111"/>
      <c r="AT111"/>
      <c r="AU111"/>
      <c r="AV111"/>
      <c r="AW111"/>
      <c r="AX111" t="inlineStr">
        <is>
          <t>Accumulation</t>
        </is>
      </c>
      <c r="AY111" t="inlineStr">
        <is>
          <t>Residue</t>
        </is>
      </c>
      <c r="AZ111" t="inlineStr">
        <is>
          <t>BCFD</t>
        </is>
      </c>
      <c r="BA111"/>
      <c r="BB111" t="n">
        <v>0.987</v>
      </c>
      <c r="BC111"/>
      <c r="BD111"/>
      <c r="BE111"/>
      <c r="BF111"/>
      <c r="BG111"/>
      <c r="BH111"/>
      <c r="BI111" t="inlineStr">
        <is>
          <t>mg/kg dry soil</t>
        </is>
      </c>
      <c r="BJ111" t="inlineStr">
        <is>
          <t>Shoot</t>
        </is>
      </c>
      <c r="BK111"/>
      <c r="BL111" t="n">
        <v>45.0</v>
      </c>
      <c r="BM111"/>
      <c r="BN111"/>
      <c r="BO111"/>
      <c r="BP111"/>
      <c r="BQ111" t="inlineStr">
        <is>
          <t>Day(s)</t>
        </is>
      </c>
      <c r="BR111" t="inlineStr">
        <is>
          <t>Yu,P.F., L. Xiang, X.H. Li, Z.R. Ding, C.H. Mo, Y.W. Li, H. Li, Q.Y. Cai, D.M. Zhou, and M.H. Wong</t>
        </is>
      </c>
      <c r="BS111" t="n">
        <v>182588.0</v>
      </c>
      <c r="BT111" t="inlineStr">
        <is>
          <t>Cultivar-Dependent Accumulation and Translocation of Perfluorooctanesulfonate Among Lettuce ( Lactuca sativa L.) Cultivars Grown on Perfluorooctanesulfonate-Contaminated Soil</t>
        </is>
      </c>
      <c r="BU111" t="inlineStr">
        <is>
          <t>J. Agric. Food Chem.66(50): 13096-13106</t>
        </is>
      </c>
      <c r="BV111" t="n">
        <v>2018.0</v>
      </c>
      <c r="BW11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12">
      <c r="A112" t="n">
        <v>1763231.0</v>
      </c>
      <c r="B112" t="inlineStr">
        <is>
          <t>1,1,2,2,3,3,4,4,5,5,6,6,7,7,8,8,8-Heptadecafluoro-1-octanesulfonic acid</t>
        </is>
      </c>
      <c r="C112"/>
      <c r="D112" t="inlineStr">
        <is>
          <t>Measured</t>
        </is>
      </c>
      <c r="E112" t="inlineStr">
        <is>
          <t>&gt;=</t>
        </is>
      </c>
      <c r="F112" t="n">
        <v>98.0</v>
      </c>
      <c r="G112"/>
      <c r="H112"/>
      <c r="I112"/>
      <c r="J112"/>
      <c r="K112" t="inlineStr">
        <is>
          <t>Lactuca sativa</t>
        </is>
      </c>
      <c r="L112" t="inlineStr">
        <is>
          <t>Lettuce</t>
        </is>
      </c>
      <c r="M112" t="inlineStr">
        <is>
          <t>Flowers, Trees, Shrubs, Ferns; Standard Test Species; U.S. Invasive Species</t>
        </is>
      </c>
      <c r="N112" t="inlineStr">
        <is>
          <t>Seedling</t>
        </is>
      </c>
      <c r="O112"/>
      <c r="P112" t="n">
        <v>14.0</v>
      </c>
      <c r="Q112"/>
      <c r="R112"/>
      <c r="S112"/>
      <c r="T112"/>
      <c r="U112" t="inlineStr">
        <is>
          <t>Day(s)</t>
        </is>
      </c>
      <c r="V112" t="inlineStr">
        <is>
          <t>Environmental, unspecified</t>
        </is>
      </c>
      <c r="W112" t="inlineStr">
        <is>
          <t>Natural soil</t>
        </is>
      </c>
      <c r="X112" t="inlineStr">
        <is>
          <t>Lab</t>
        </is>
      </c>
      <c r="Y112" t="n">
        <v>3.0</v>
      </c>
      <c r="Z112" t="inlineStr">
        <is>
          <t>Active ingredient</t>
        </is>
      </c>
      <c r="AA112"/>
      <c r="AB112" t="n">
        <v>0.189</v>
      </c>
      <c r="AC112"/>
      <c r="AD112"/>
      <c r="AE112"/>
      <c r="AF112"/>
      <c r="AG112" t="inlineStr">
        <is>
          <t>mg/kg dry soil</t>
        </is>
      </c>
      <c r="AH112"/>
      <c r="AI112"/>
      <c r="AJ112"/>
      <c r="AK112"/>
      <c r="AL112"/>
      <c r="AM112"/>
      <c r="AN112"/>
      <c r="AO112"/>
      <c r="AP112"/>
      <c r="AQ112"/>
      <c r="AR112"/>
      <c r="AS112"/>
      <c r="AT112"/>
      <c r="AU112"/>
      <c r="AV112"/>
      <c r="AW112"/>
      <c r="AX112" t="inlineStr">
        <is>
          <t>Accumulation</t>
        </is>
      </c>
      <c r="AY112" t="inlineStr">
        <is>
          <t>Residue</t>
        </is>
      </c>
      <c r="AZ112" t="inlineStr">
        <is>
          <t>BCFD</t>
        </is>
      </c>
      <c r="BA112"/>
      <c r="BB112" t="n">
        <v>0.189</v>
      </c>
      <c r="BC112"/>
      <c r="BD112"/>
      <c r="BE112"/>
      <c r="BF112"/>
      <c r="BG112"/>
      <c r="BH112"/>
      <c r="BI112" t="inlineStr">
        <is>
          <t>mg/kg dry soil</t>
        </is>
      </c>
      <c r="BJ112" t="inlineStr">
        <is>
          <t>Root</t>
        </is>
      </c>
      <c r="BK112"/>
      <c r="BL112" t="n">
        <v>45.0</v>
      </c>
      <c r="BM112"/>
      <c r="BN112"/>
      <c r="BO112"/>
      <c r="BP112"/>
      <c r="BQ112" t="inlineStr">
        <is>
          <t>Day(s)</t>
        </is>
      </c>
      <c r="BR112" t="inlineStr">
        <is>
          <t>Yu,P.F., L. Xiang, X.H. Li, Z.R. Ding, C.H. Mo, Y.W. Li, H. Li, Q.Y. Cai, D.M. Zhou, and M.H. Wong</t>
        </is>
      </c>
      <c r="BS112" t="n">
        <v>182588.0</v>
      </c>
      <c r="BT112" t="inlineStr">
        <is>
          <t>Cultivar-Dependent Accumulation and Translocation of Perfluorooctanesulfonate Among Lettuce ( Lactuca sativa L.) Cultivars Grown on Perfluorooctanesulfonate-Contaminated Soil</t>
        </is>
      </c>
      <c r="BU112" t="inlineStr">
        <is>
          <t>J. Agric. Food Chem.66(50): 13096-13106</t>
        </is>
      </c>
      <c r="BV112" t="n">
        <v>2018.0</v>
      </c>
      <c r="BW11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13">
      <c r="A113" t="n">
        <v>1763231.0</v>
      </c>
      <c r="B113" t="inlineStr">
        <is>
          <t>1,1,2,2,3,3,4,4,5,5,6,6,7,7,8,8,8-Heptadecafluoro-1-octanesulfonic acid</t>
        </is>
      </c>
      <c r="C113"/>
      <c r="D113" t="inlineStr">
        <is>
          <t>Measured</t>
        </is>
      </c>
      <c r="E113" t="inlineStr">
        <is>
          <t>&gt;=</t>
        </is>
      </c>
      <c r="F113" t="n">
        <v>98.0</v>
      </c>
      <c r="G113"/>
      <c r="H113"/>
      <c r="I113"/>
      <c r="J113"/>
      <c r="K113" t="inlineStr">
        <is>
          <t>Lactuca sativa</t>
        </is>
      </c>
      <c r="L113" t="inlineStr">
        <is>
          <t>Lettuce</t>
        </is>
      </c>
      <c r="M113" t="inlineStr">
        <is>
          <t>Flowers, Trees, Shrubs, Ferns; Standard Test Species; U.S. Invasive Species</t>
        </is>
      </c>
      <c r="N113" t="inlineStr">
        <is>
          <t>Seedling</t>
        </is>
      </c>
      <c r="O113"/>
      <c r="P113" t="n">
        <v>14.0</v>
      </c>
      <c r="Q113"/>
      <c r="R113"/>
      <c r="S113"/>
      <c r="T113"/>
      <c r="U113" t="inlineStr">
        <is>
          <t>Day(s)</t>
        </is>
      </c>
      <c r="V113" t="inlineStr">
        <is>
          <t>Environmental, unspecified</t>
        </is>
      </c>
      <c r="W113" t="inlineStr">
        <is>
          <t>Natural soil</t>
        </is>
      </c>
      <c r="X113" t="inlineStr">
        <is>
          <t>Lab</t>
        </is>
      </c>
      <c r="Y113" t="n">
        <v>3.0</v>
      </c>
      <c r="Z113" t="inlineStr">
        <is>
          <t>Active ingredient</t>
        </is>
      </c>
      <c r="AA113"/>
      <c r="AB113" t="n">
        <v>0.988</v>
      </c>
      <c r="AC113"/>
      <c r="AD113"/>
      <c r="AE113"/>
      <c r="AF113"/>
      <c r="AG113" t="inlineStr">
        <is>
          <t>mg/kg dry soil</t>
        </is>
      </c>
      <c r="AH113"/>
      <c r="AI113"/>
      <c r="AJ113"/>
      <c r="AK113"/>
      <c r="AL113"/>
      <c r="AM113"/>
      <c r="AN113"/>
      <c r="AO113"/>
      <c r="AP113"/>
      <c r="AQ113"/>
      <c r="AR113"/>
      <c r="AS113"/>
      <c r="AT113"/>
      <c r="AU113"/>
      <c r="AV113"/>
      <c r="AW113"/>
      <c r="AX113" t="inlineStr">
        <is>
          <t>Accumulation</t>
        </is>
      </c>
      <c r="AY113" t="inlineStr">
        <is>
          <t>Residue</t>
        </is>
      </c>
      <c r="AZ113" t="inlineStr">
        <is>
          <t>BCFD</t>
        </is>
      </c>
      <c r="BA113"/>
      <c r="BB113" t="n">
        <v>0.988</v>
      </c>
      <c r="BC113"/>
      <c r="BD113"/>
      <c r="BE113"/>
      <c r="BF113"/>
      <c r="BG113"/>
      <c r="BH113"/>
      <c r="BI113" t="inlineStr">
        <is>
          <t>mg/kg dry soil</t>
        </is>
      </c>
      <c r="BJ113" t="inlineStr">
        <is>
          <t>Root</t>
        </is>
      </c>
      <c r="BK113"/>
      <c r="BL113" t="n">
        <v>45.0</v>
      </c>
      <c r="BM113"/>
      <c r="BN113"/>
      <c r="BO113"/>
      <c r="BP113"/>
      <c r="BQ113" t="inlineStr">
        <is>
          <t>Day(s)</t>
        </is>
      </c>
      <c r="BR113" t="inlineStr">
        <is>
          <t>Yu,P.F., L. Xiang, X.H. Li, Z.R. Ding, C.H. Mo, Y.W. Li, H. Li, Q.Y. Cai, D.M. Zhou, and M.H. Wong</t>
        </is>
      </c>
      <c r="BS113" t="n">
        <v>182588.0</v>
      </c>
      <c r="BT113" t="inlineStr">
        <is>
          <t>Cultivar-Dependent Accumulation and Translocation of Perfluorooctanesulfonate Among Lettuce ( Lactuca sativa L.) Cultivars Grown on Perfluorooctanesulfonate-Contaminated Soil</t>
        </is>
      </c>
      <c r="BU113" t="inlineStr">
        <is>
          <t>J. Agric. Food Chem.66(50): 13096-13106</t>
        </is>
      </c>
      <c r="BV113" t="n">
        <v>2018.0</v>
      </c>
      <c r="BW11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14">
      <c r="A114" t="n">
        <v>1763231.0</v>
      </c>
      <c r="B114" t="inlineStr">
        <is>
          <t>1,1,2,2,3,3,4,4,5,5,6,6,7,7,8,8,8-Heptadecafluoro-1-octanesulfonic acid</t>
        </is>
      </c>
      <c r="C114"/>
      <c r="D114" t="inlineStr">
        <is>
          <t>Measured</t>
        </is>
      </c>
      <c r="E114" t="inlineStr">
        <is>
          <t>&gt;=</t>
        </is>
      </c>
      <c r="F114" t="n">
        <v>98.0</v>
      </c>
      <c r="G114"/>
      <c r="H114"/>
      <c r="I114"/>
      <c r="J114"/>
      <c r="K114" t="inlineStr">
        <is>
          <t>Lactuca sativa</t>
        </is>
      </c>
      <c r="L114" t="inlineStr">
        <is>
          <t>Lettuce</t>
        </is>
      </c>
      <c r="M114" t="inlineStr">
        <is>
          <t>Flowers, Trees, Shrubs, Ferns; Standard Test Species; U.S. Invasive Species</t>
        </is>
      </c>
      <c r="N114" t="inlineStr">
        <is>
          <t>Seedling</t>
        </is>
      </c>
      <c r="O114"/>
      <c r="P114" t="n">
        <v>14.0</v>
      </c>
      <c r="Q114"/>
      <c r="R114"/>
      <c r="S114"/>
      <c r="T114"/>
      <c r="U114" t="inlineStr">
        <is>
          <t>Day(s)</t>
        </is>
      </c>
      <c r="V114" t="inlineStr">
        <is>
          <t>Environmental, unspecified</t>
        </is>
      </c>
      <c r="W114" t="inlineStr">
        <is>
          <t>Natural soil</t>
        </is>
      </c>
      <c r="X114" t="inlineStr">
        <is>
          <t>Lab</t>
        </is>
      </c>
      <c r="Y114" t="n">
        <v>3.0</v>
      </c>
      <c r="Z114" t="inlineStr">
        <is>
          <t>Active ingredient</t>
        </is>
      </c>
      <c r="AA114"/>
      <c r="AB114" t="n">
        <v>0.988</v>
      </c>
      <c r="AC114"/>
      <c r="AD114"/>
      <c r="AE114"/>
      <c r="AF114"/>
      <c r="AG114" t="inlineStr">
        <is>
          <t>mg/kg dry soil</t>
        </is>
      </c>
      <c r="AH114"/>
      <c r="AI114"/>
      <c r="AJ114"/>
      <c r="AK114"/>
      <c r="AL114"/>
      <c r="AM114"/>
      <c r="AN114"/>
      <c r="AO114"/>
      <c r="AP114"/>
      <c r="AQ114"/>
      <c r="AR114"/>
      <c r="AS114"/>
      <c r="AT114"/>
      <c r="AU114"/>
      <c r="AV114"/>
      <c r="AW114"/>
      <c r="AX114" t="inlineStr">
        <is>
          <t>Accumulation</t>
        </is>
      </c>
      <c r="AY114" t="inlineStr">
        <is>
          <t>Residue</t>
        </is>
      </c>
      <c r="AZ114" t="inlineStr">
        <is>
          <t>BCFD</t>
        </is>
      </c>
      <c r="BA114"/>
      <c r="BB114" t="n">
        <v>0.988</v>
      </c>
      <c r="BC114"/>
      <c r="BD114"/>
      <c r="BE114"/>
      <c r="BF114"/>
      <c r="BG114"/>
      <c r="BH114"/>
      <c r="BI114" t="inlineStr">
        <is>
          <t>mg/kg dry soil</t>
        </is>
      </c>
      <c r="BJ114" t="inlineStr">
        <is>
          <t>Shoot</t>
        </is>
      </c>
      <c r="BK114"/>
      <c r="BL114" t="n">
        <v>45.0</v>
      </c>
      <c r="BM114"/>
      <c r="BN114"/>
      <c r="BO114"/>
      <c r="BP114"/>
      <c r="BQ114" t="inlineStr">
        <is>
          <t>Day(s)</t>
        </is>
      </c>
      <c r="BR114" t="inlineStr">
        <is>
          <t>Yu,P.F., L. Xiang, X.H. Li, Z.R. Ding, C.H. Mo, Y.W. Li, H. Li, Q.Y. Cai, D.M. Zhou, and M.H. Wong</t>
        </is>
      </c>
      <c r="BS114" t="n">
        <v>182588.0</v>
      </c>
      <c r="BT114" t="inlineStr">
        <is>
          <t>Cultivar-Dependent Accumulation and Translocation of Perfluorooctanesulfonate Among Lettuce ( Lactuca sativa L.) Cultivars Grown on Perfluorooctanesulfonate-Contaminated Soil</t>
        </is>
      </c>
      <c r="BU114" t="inlineStr">
        <is>
          <t>J. Agric. Food Chem.66(50): 13096-13106</t>
        </is>
      </c>
      <c r="BV114" t="n">
        <v>2018.0</v>
      </c>
      <c r="BW11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15">
      <c r="A115" t="n">
        <v>1763231.0</v>
      </c>
      <c r="B115" t="inlineStr">
        <is>
          <t>1,1,2,2,3,3,4,4,5,5,6,6,7,7,8,8,8-Heptadecafluoro-1-octanesulfonic acid</t>
        </is>
      </c>
      <c r="C115"/>
      <c r="D115" t="inlineStr">
        <is>
          <t>Measured</t>
        </is>
      </c>
      <c r="E115"/>
      <c r="F115" t="n">
        <v>98.0</v>
      </c>
      <c r="G115"/>
      <c r="H115"/>
      <c r="I115"/>
      <c r="J115"/>
      <c r="K115" t="inlineStr">
        <is>
          <t>Lactuca sativa</t>
        </is>
      </c>
      <c r="L115" t="inlineStr">
        <is>
          <t>Lettuce</t>
        </is>
      </c>
      <c r="M115" t="inlineStr">
        <is>
          <t>Flowers, Trees, Shrubs, Ferns; Standard Test Species; U.S. Invasive Species</t>
        </is>
      </c>
      <c r="N115" t="inlineStr">
        <is>
          <t>Seedling</t>
        </is>
      </c>
      <c r="O115"/>
      <c r="P115"/>
      <c r="Q115"/>
      <c r="R115" t="n">
        <v>12.0</v>
      </c>
      <c r="S115"/>
      <c r="T115" t="n">
        <v>14.0</v>
      </c>
      <c r="U115" t="inlineStr">
        <is>
          <t>Day(s)</t>
        </is>
      </c>
      <c r="V115" t="inlineStr">
        <is>
          <t>Environmental, unspecified</t>
        </is>
      </c>
      <c r="W115" t="inlineStr">
        <is>
          <t>Artificial soil</t>
        </is>
      </c>
      <c r="X115" t="inlineStr">
        <is>
          <t>Lab</t>
        </is>
      </c>
      <c r="Y115" t="n">
        <v>2.0</v>
      </c>
      <c r="Z115" t="inlineStr">
        <is>
          <t>Active ingredient</t>
        </is>
      </c>
      <c r="AA115"/>
      <c r="AB115"/>
      <c r="AC115"/>
      <c r="AD115" t="n">
        <v>510.0</v>
      </c>
      <c r="AE115"/>
      <c r="AF115" t="n">
        <v>555.0</v>
      </c>
      <c r="AG115" t="inlineStr">
        <is>
          <t>ng/g soil</t>
        </is>
      </c>
      <c r="AH115"/>
      <c r="AI115"/>
      <c r="AJ115"/>
      <c r="AK115"/>
      <c r="AL115"/>
      <c r="AM115"/>
      <c r="AN115"/>
      <c r="AO115"/>
      <c r="AP115"/>
      <c r="AQ115"/>
      <c r="AR115"/>
      <c r="AS115"/>
      <c r="AT115"/>
      <c r="AU115"/>
      <c r="AV115"/>
      <c r="AW115"/>
      <c r="AX115" t="inlineStr">
        <is>
          <t>Accumulation</t>
        </is>
      </c>
      <c r="AY115" t="inlineStr">
        <is>
          <t>Residue</t>
        </is>
      </c>
      <c r="AZ115" t="inlineStr">
        <is>
          <t>BCFD</t>
        </is>
      </c>
      <c r="BA115"/>
      <c r="BB115"/>
      <c r="BC115"/>
      <c r="BD115" t="n">
        <v>510.0</v>
      </c>
      <c r="BE115"/>
      <c r="BF115" t="n">
        <v>555.0</v>
      </c>
      <c r="BG115"/>
      <c r="BH115"/>
      <c r="BI115" t="inlineStr">
        <is>
          <t>ng/g soil</t>
        </is>
      </c>
      <c r="BJ115" t="inlineStr">
        <is>
          <t>Whole organism</t>
        </is>
      </c>
      <c r="BK115"/>
      <c r="BL115"/>
      <c r="BM115"/>
      <c r="BN115" t="n">
        <v>28.0</v>
      </c>
      <c r="BO115"/>
      <c r="BP115" t="n">
        <v>35.0</v>
      </c>
      <c r="BQ115" t="inlineStr">
        <is>
          <t>Day(s)</t>
        </is>
      </c>
      <c r="BR115" t="inlineStr">
        <is>
          <t>Bizkarguenaga,E., I. Zabaleta, L. Mijangos, A. Iparraguirre, L.A. Fernandez, A. Prieto, and O. Zuloaga</t>
        </is>
      </c>
      <c r="BS115" t="n">
        <v>184296.0</v>
      </c>
      <c r="BT115" t="inlineStr">
        <is>
          <t>Uptake of Perfluorooctanoic Acid, Perfluorooctane Sulfonate and Perfluorooctane Sulfonamide by Carrot and Lettuce from Compost Amended Soil</t>
        </is>
      </c>
      <c r="BU115" t="inlineStr">
        <is>
          <t>Sci. Total Environ.571:444-451</t>
        </is>
      </c>
      <c r="BV115" t="n">
        <v>2016.0</v>
      </c>
      <c r="BW115"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16">
      <c r="A116" t="n">
        <v>1763231.0</v>
      </c>
      <c r="B116" t="inlineStr">
        <is>
          <t>1,1,2,2,3,3,4,4,5,5,6,6,7,7,8,8,8-Heptadecafluoro-1-octanesulfonic acid</t>
        </is>
      </c>
      <c r="C116"/>
      <c r="D116" t="inlineStr">
        <is>
          <t>Unmeasured</t>
        </is>
      </c>
      <c r="E116"/>
      <c r="F116" t="n">
        <v>99.0</v>
      </c>
      <c r="G116"/>
      <c r="H116"/>
      <c r="I116"/>
      <c r="J116"/>
      <c r="K116" t="inlineStr">
        <is>
          <t>Lactuca sativa</t>
        </is>
      </c>
      <c r="L116" t="inlineStr">
        <is>
          <t>Lettuce</t>
        </is>
      </c>
      <c r="M116" t="inlineStr">
        <is>
          <t>Flowers, Trees, Shrubs, Ferns; Standard Test Species; U.S. Invasive Species</t>
        </is>
      </c>
      <c r="N116" t="inlineStr">
        <is>
          <t>Seedling</t>
        </is>
      </c>
      <c r="O116"/>
      <c r="P116" t="n">
        <v>28.0</v>
      </c>
      <c r="Q116"/>
      <c r="R116"/>
      <c r="S116"/>
      <c r="T116"/>
      <c r="U116" t="inlineStr">
        <is>
          <t>Day(s)</t>
        </is>
      </c>
      <c r="V116" t="inlineStr">
        <is>
          <t>Hydroponic</t>
        </is>
      </c>
      <c r="W116" t="inlineStr">
        <is>
          <t>Hydroponic</t>
        </is>
      </c>
      <c r="X116" t="inlineStr">
        <is>
          <t>Lab</t>
        </is>
      </c>
      <c r="Y116" t="n">
        <v>2.0</v>
      </c>
      <c r="Z116" t="inlineStr">
        <is>
          <t>Active ingredient</t>
        </is>
      </c>
      <c r="AA116"/>
      <c r="AB116" t="n">
        <v>0.5</v>
      </c>
      <c r="AC116"/>
      <c r="AD116"/>
      <c r="AE116"/>
      <c r="AF116"/>
      <c r="AG116" t="inlineStr">
        <is>
          <t>mg/L</t>
        </is>
      </c>
      <c r="AH116"/>
      <c r="AI116"/>
      <c r="AJ116"/>
      <c r="AK116"/>
      <c r="AL116"/>
      <c r="AM116"/>
      <c r="AN116"/>
      <c r="AO116"/>
      <c r="AP116"/>
      <c r="AQ116"/>
      <c r="AR116"/>
      <c r="AS116"/>
      <c r="AT116"/>
      <c r="AU116"/>
      <c r="AV116"/>
      <c r="AW116"/>
      <c r="AX116" t="inlineStr">
        <is>
          <t>Accumulation</t>
        </is>
      </c>
      <c r="AY116" t="inlineStr">
        <is>
          <t>Residue</t>
        </is>
      </c>
      <c r="AZ116"/>
      <c r="BA116"/>
      <c r="BB116" t="n">
        <v>0.5</v>
      </c>
      <c r="BC116"/>
      <c r="BD116"/>
      <c r="BE116"/>
      <c r="BF116"/>
      <c r="BG116"/>
      <c r="BH116"/>
      <c r="BI116" t="inlineStr">
        <is>
          <t>mg/L</t>
        </is>
      </c>
      <c r="BJ116" t="inlineStr">
        <is>
          <t>Multiple entries</t>
        </is>
      </c>
      <c r="BK116"/>
      <c r="BL116" t="n">
        <v>7.0</v>
      </c>
      <c r="BM116"/>
      <c r="BN116"/>
      <c r="BO116"/>
      <c r="BP116"/>
      <c r="BQ116" t="inlineStr">
        <is>
          <t>Day(s)</t>
        </is>
      </c>
      <c r="BR116" t="inlineStr">
        <is>
          <t>Adu,O., S.S. Duza, V.K. Sharma, and X. Ma</t>
        </is>
      </c>
      <c r="BS116" t="n">
        <v>195040.0</v>
      </c>
      <c r="BT116" t="inlineStr">
        <is>
          <t>Effects of Nitrogen Fertilizer Types on the Uptake and Translocation of PFAS and Metabolomic Activities of Hydroponically Cultivated Lettuce (Lactuca sativa)</t>
        </is>
      </c>
      <c r="BU116" t="inlineStr">
        <is>
          <t>J. Agric. Food Chem.73(18): 10907-10913</t>
        </is>
      </c>
      <c r="BV116" t="n">
        <v>2025.0</v>
      </c>
      <c r="BW116" t="inlineStr">
        <is>
          <t>Adu,O., S.S. Duza, V.K. Sharma, and X. Ma (2025). Effects of Nitrogen Fertilizer Types on the Uptake and Translocation of PFAS and Metabolomic Activities of Hydroponically Cultivated Lettuce (Lactuca sativa). J. Agric. Food Chem., 73, (18), 10907-10913. ECOREF#:195040</t>
        </is>
      </c>
    </row>
    <row r="117">
      <c r="A117" t="n">
        <v>1763231.0</v>
      </c>
      <c r="B117" t="inlineStr">
        <is>
          <t>1,1,2,2,3,3,4,4,5,5,6,6,7,7,8,8,8-Heptadecafluoro-1-octanesulfonic acid</t>
        </is>
      </c>
      <c r="C117"/>
      <c r="D117" t="inlineStr">
        <is>
          <t>Unmeasured</t>
        </is>
      </c>
      <c r="E117"/>
      <c r="F117" t="n">
        <v>99.0</v>
      </c>
      <c r="G117"/>
      <c r="H117"/>
      <c r="I117"/>
      <c r="J117"/>
      <c r="K117" t="inlineStr">
        <is>
          <t>Lactuca sativa</t>
        </is>
      </c>
      <c r="L117" t="inlineStr">
        <is>
          <t>Lettuce</t>
        </is>
      </c>
      <c r="M117" t="inlineStr">
        <is>
          <t>Flowers, Trees, Shrubs, Ferns; Standard Test Species; U.S. Invasive Species</t>
        </is>
      </c>
      <c r="N117" t="inlineStr">
        <is>
          <t>Seedling</t>
        </is>
      </c>
      <c r="O117"/>
      <c r="P117" t="n">
        <v>28.0</v>
      </c>
      <c r="Q117"/>
      <c r="R117"/>
      <c r="S117"/>
      <c r="T117"/>
      <c r="U117" t="inlineStr">
        <is>
          <t>Day(s)</t>
        </is>
      </c>
      <c r="V117" t="inlineStr">
        <is>
          <t>Hydroponic</t>
        </is>
      </c>
      <c r="W117" t="inlineStr">
        <is>
          <t>Hydroponic</t>
        </is>
      </c>
      <c r="X117" t="inlineStr">
        <is>
          <t>Lab</t>
        </is>
      </c>
      <c r="Y117" t="n">
        <v>2.0</v>
      </c>
      <c r="Z117" t="inlineStr">
        <is>
          <t>Active ingredient</t>
        </is>
      </c>
      <c r="AA117"/>
      <c r="AB117" t="n">
        <v>0.5</v>
      </c>
      <c r="AC117"/>
      <c r="AD117"/>
      <c r="AE117"/>
      <c r="AF117"/>
      <c r="AG117" t="inlineStr">
        <is>
          <t>mg/L</t>
        </is>
      </c>
      <c r="AH117"/>
      <c r="AI117"/>
      <c r="AJ117"/>
      <c r="AK117"/>
      <c r="AL117"/>
      <c r="AM117"/>
      <c r="AN117"/>
      <c r="AO117"/>
      <c r="AP117"/>
      <c r="AQ117"/>
      <c r="AR117"/>
      <c r="AS117"/>
      <c r="AT117"/>
      <c r="AU117"/>
      <c r="AV117"/>
      <c r="AW117"/>
      <c r="AX117" t="inlineStr">
        <is>
          <t>Accumulation</t>
        </is>
      </c>
      <c r="AY117" t="inlineStr">
        <is>
          <t>Residue</t>
        </is>
      </c>
      <c r="AZ117"/>
      <c r="BA117"/>
      <c r="BB117" t="n">
        <v>0.5</v>
      </c>
      <c r="BC117"/>
      <c r="BD117"/>
      <c r="BE117"/>
      <c r="BF117"/>
      <c r="BG117"/>
      <c r="BH117"/>
      <c r="BI117" t="inlineStr">
        <is>
          <t>mg/L</t>
        </is>
      </c>
      <c r="BJ117" t="inlineStr">
        <is>
          <t>Multiple entries</t>
        </is>
      </c>
      <c r="BK117"/>
      <c r="BL117" t="n">
        <v>7.0</v>
      </c>
      <c r="BM117"/>
      <c r="BN117"/>
      <c r="BO117"/>
      <c r="BP117"/>
      <c r="BQ117" t="inlineStr">
        <is>
          <t>Day(s)</t>
        </is>
      </c>
      <c r="BR117" t="inlineStr">
        <is>
          <t>Adu,O., S.S. Duza, V.K. Sharma, and X. Ma</t>
        </is>
      </c>
      <c r="BS117" t="n">
        <v>195040.0</v>
      </c>
      <c r="BT117" t="inlineStr">
        <is>
          <t>Effects of Nitrogen Fertilizer Types on the Uptake and Translocation of PFAS and Metabolomic Activities of Hydroponically Cultivated Lettuce (Lactuca sativa)</t>
        </is>
      </c>
      <c r="BU117" t="inlineStr">
        <is>
          <t>J. Agric. Food Chem.73(18): 10907-10913</t>
        </is>
      </c>
      <c r="BV117" t="n">
        <v>2025.0</v>
      </c>
      <c r="BW117" t="inlineStr">
        <is>
          <t>Adu,O., S.S. Duza, V.K. Sharma, and X. Ma (2025). Effects of Nitrogen Fertilizer Types on the Uptake and Translocation of PFAS and Metabolomic Activities of Hydroponically Cultivated Lettuce (Lactuca sativa). J. Agric. Food Chem., 73, (18), 10907-10913. ECOREF#:195040</t>
        </is>
      </c>
    </row>
    <row r="118">
      <c r="A118" t="n">
        <v>1763231.0</v>
      </c>
      <c r="B118" t="inlineStr">
        <is>
          <t>1,1,2,2,3,3,4,4,5,5,6,6,7,7,8,8,8-Heptadecafluoro-1-octanesulfonic acid</t>
        </is>
      </c>
      <c r="C118"/>
      <c r="D118" t="inlineStr">
        <is>
          <t>Measured</t>
        </is>
      </c>
      <c r="E118" t="inlineStr">
        <is>
          <t>&gt;=</t>
        </is>
      </c>
      <c r="F118" t="n">
        <v>98.0</v>
      </c>
      <c r="G118"/>
      <c r="H118"/>
      <c r="I118"/>
      <c r="J118"/>
      <c r="K118" t="inlineStr">
        <is>
          <t>Lactuca sativa</t>
        </is>
      </c>
      <c r="L118" t="inlineStr">
        <is>
          <t>Lettuce</t>
        </is>
      </c>
      <c r="M118" t="inlineStr">
        <is>
          <t>Flowers, Trees, Shrubs, Ferns; Standard Test Species; U.S. Invasive Species</t>
        </is>
      </c>
      <c r="N118" t="inlineStr">
        <is>
          <t>Seedling</t>
        </is>
      </c>
      <c r="O118"/>
      <c r="P118" t="n">
        <v>2.0</v>
      </c>
      <c r="Q118"/>
      <c r="R118"/>
      <c r="S118"/>
      <c r="T118"/>
      <c r="U118" t="inlineStr">
        <is>
          <t>Week(s)</t>
        </is>
      </c>
      <c r="V118" t="inlineStr">
        <is>
          <t>Environmental, unspecified</t>
        </is>
      </c>
      <c r="W118" t="inlineStr">
        <is>
          <t>Natural soil</t>
        </is>
      </c>
      <c r="X118" t="inlineStr">
        <is>
          <t>Lab</t>
        </is>
      </c>
      <c r="Y118" t="n">
        <v>3.0</v>
      </c>
      <c r="Z118" t="inlineStr">
        <is>
          <t>Active ingredient</t>
        </is>
      </c>
      <c r="AA118"/>
      <c r="AB118"/>
      <c r="AC118"/>
      <c r="AD118" t="n">
        <v>0.193</v>
      </c>
      <c r="AE118"/>
      <c r="AF118" t="n">
        <v>0.991</v>
      </c>
      <c r="AG118" t="inlineStr">
        <is>
          <t>mg/kg dry soil</t>
        </is>
      </c>
      <c r="AH118"/>
      <c r="AI118"/>
      <c r="AJ118"/>
      <c r="AK118"/>
      <c r="AL118"/>
      <c r="AM118"/>
      <c r="AN118"/>
      <c r="AO118"/>
      <c r="AP118"/>
      <c r="AQ118"/>
      <c r="AR118"/>
      <c r="AS118"/>
      <c r="AT118"/>
      <c r="AU118"/>
      <c r="AV118"/>
      <c r="AW118"/>
      <c r="AX118" t="inlineStr">
        <is>
          <t>Accumulation</t>
        </is>
      </c>
      <c r="AY118" t="inlineStr">
        <is>
          <t>Residue</t>
        </is>
      </c>
      <c r="AZ118"/>
      <c r="BA118"/>
      <c r="BB118"/>
      <c r="BC118"/>
      <c r="BD118" t="n">
        <v>0.193</v>
      </c>
      <c r="BE118"/>
      <c r="BF118" t="n">
        <v>0.991</v>
      </c>
      <c r="BG118"/>
      <c r="BH118"/>
      <c r="BI118" t="inlineStr">
        <is>
          <t>mg/kg dry soil</t>
        </is>
      </c>
      <c r="BJ118" t="inlineStr">
        <is>
          <t>Multiple entries</t>
        </is>
      </c>
      <c r="BK118"/>
      <c r="BL118" t="n">
        <v>45.0</v>
      </c>
      <c r="BM118"/>
      <c r="BN118"/>
      <c r="BO118"/>
      <c r="BP118"/>
      <c r="BQ118" t="inlineStr">
        <is>
          <t>Day(s)</t>
        </is>
      </c>
      <c r="BR118" t="inlineStr">
        <is>
          <t>Yu,P.F., Y.W. Li, L.J. Zou, B.L. Liu, L. Xiang, H.M. Zhao, H. Li, Q.Y. Cai, X.W. Hou, C.H. Mo, M.H. Wong, and Q.X. Li</t>
        </is>
      </c>
      <c r="BS118" t="n">
        <v>187869.0</v>
      </c>
      <c r="BT118" t="inlineStr">
        <is>
          <t>Variety-Selective Rhizospheric Activation, Uptake, and Subcellular Distribution of Perfluorooctanesulfonate (PFOS) in Lettuce (Lactuca Sativa L.)</t>
        </is>
      </c>
      <c r="BU118" t="inlineStr">
        <is>
          <t>Environ. Sci. Technol.55(13): 8730-8741</t>
        </is>
      </c>
      <c r="BV118" t="n">
        <v>2021.0</v>
      </c>
      <c r="BW118"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19">
      <c r="A119" t="n">
        <v>1763231.0</v>
      </c>
      <c r="B119" t="inlineStr">
        <is>
          <t>1,1,2,2,3,3,4,4,5,5,6,6,7,7,8,8,8-Heptadecafluoro-1-octanesulfonic acid</t>
        </is>
      </c>
      <c r="C119"/>
      <c r="D119" t="inlineStr">
        <is>
          <t>Measured</t>
        </is>
      </c>
      <c r="E119" t="inlineStr">
        <is>
          <t>&gt;=</t>
        </is>
      </c>
      <c r="F119" t="n">
        <v>98.0</v>
      </c>
      <c r="G119"/>
      <c r="H119"/>
      <c r="I119"/>
      <c r="J119"/>
      <c r="K119" t="inlineStr">
        <is>
          <t>Lactuca sativa</t>
        </is>
      </c>
      <c r="L119" t="inlineStr">
        <is>
          <t>Lettuce</t>
        </is>
      </c>
      <c r="M119" t="inlineStr">
        <is>
          <t>Flowers, Trees, Shrubs, Ferns; Standard Test Species; U.S. Invasive Species</t>
        </is>
      </c>
      <c r="N119" t="inlineStr">
        <is>
          <t>Seedling</t>
        </is>
      </c>
      <c r="O119"/>
      <c r="P119" t="n">
        <v>30.0</v>
      </c>
      <c r="Q119"/>
      <c r="R119"/>
      <c r="S119"/>
      <c r="T119"/>
      <c r="U119" t="inlineStr">
        <is>
          <t>Day(s)</t>
        </is>
      </c>
      <c r="V119" t="inlineStr">
        <is>
          <t>Hydroponic</t>
        </is>
      </c>
      <c r="W119" t="inlineStr">
        <is>
          <t>Hydroponic</t>
        </is>
      </c>
      <c r="X119" t="inlineStr">
        <is>
          <t>Lab</t>
        </is>
      </c>
      <c r="Y119" t="n">
        <v>6.0</v>
      </c>
      <c r="Z119" t="inlineStr">
        <is>
          <t>Active ingredient</t>
        </is>
      </c>
      <c r="AA119"/>
      <c r="AB119"/>
      <c r="AC119"/>
      <c r="AD119" t="n">
        <v>0.091</v>
      </c>
      <c r="AE119"/>
      <c r="AF119" t="n">
        <v>0.992</v>
      </c>
      <c r="AG119" t="inlineStr">
        <is>
          <t>mg/L</t>
        </is>
      </c>
      <c r="AH119"/>
      <c r="AI119"/>
      <c r="AJ119"/>
      <c r="AK119"/>
      <c r="AL119"/>
      <c r="AM119"/>
      <c r="AN119"/>
      <c r="AO119"/>
      <c r="AP119"/>
      <c r="AQ119"/>
      <c r="AR119"/>
      <c r="AS119"/>
      <c r="AT119"/>
      <c r="AU119"/>
      <c r="AV119"/>
      <c r="AW119"/>
      <c r="AX119" t="inlineStr">
        <is>
          <t>Accumulation</t>
        </is>
      </c>
      <c r="AY119" t="inlineStr">
        <is>
          <t>Residue</t>
        </is>
      </c>
      <c r="AZ119"/>
      <c r="BA119"/>
      <c r="BB119"/>
      <c r="BC119"/>
      <c r="BD119" t="n">
        <v>0.091</v>
      </c>
      <c r="BE119"/>
      <c r="BF119" t="n">
        <v>0.992</v>
      </c>
      <c r="BG119"/>
      <c r="BH119"/>
      <c r="BI119" t="inlineStr">
        <is>
          <t>mg/L</t>
        </is>
      </c>
      <c r="BJ119" t="inlineStr">
        <is>
          <t>Root</t>
        </is>
      </c>
      <c r="BK119"/>
      <c r="BL119" t="n">
        <v>0.25</v>
      </c>
      <c r="BM119"/>
      <c r="BN119"/>
      <c r="BO119"/>
      <c r="BP119"/>
      <c r="BQ119" t="inlineStr">
        <is>
          <t>Day(s)</t>
        </is>
      </c>
      <c r="BR119" t="inlineStr">
        <is>
          <t>Yu,P.F., Y.W. Li, L.J. Zou, B.L. Liu, L. Xiang, H.M. Zhao, H. Li, Q.Y. Cai, X.W. Hou, C.H. Mo, M.H. Wong, and Q.X. Li</t>
        </is>
      </c>
      <c r="BS119" t="n">
        <v>187869.0</v>
      </c>
      <c r="BT119" t="inlineStr">
        <is>
          <t>Variety-Selective Rhizospheric Activation, Uptake, and Subcellular Distribution of Perfluorooctanesulfonate (PFOS) in Lettuce (Lactuca Sativa L.)</t>
        </is>
      </c>
      <c r="BU119" t="inlineStr">
        <is>
          <t>Environ. Sci. Technol.55(13): 8730-8741</t>
        </is>
      </c>
      <c r="BV119" t="n">
        <v>2021.0</v>
      </c>
      <c r="BW119"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20">
      <c r="A120" t="n">
        <v>1763231.0</v>
      </c>
      <c r="B120" t="inlineStr">
        <is>
          <t>1,1,2,2,3,3,4,4,5,5,6,6,7,7,8,8,8-Heptadecafluoro-1-octanesulfonic acid</t>
        </is>
      </c>
      <c r="C120"/>
      <c r="D120" t="inlineStr">
        <is>
          <t>Unmeasured</t>
        </is>
      </c>
      <c r="E120"/>
      <c r="F120" t="n">
        <v>99.0</v>
      </c>
      <c r="G120"/>
      <c r="H120"/>
      <c r="I120"/>
      <c r="J120"/>
      <c r="K120" t="inlineStr">
        <is>
          <t>Lactuca sativa</t>
        </is>
      </c>
      <c r="L120" t="inlineStr">
        <is>
          <t>Lettuce</t>
        </is>
      </c>
      <c r="M120" t="inlineStr">
        <is>
          <t>Flowers, Trees, Shrubs, Ferns; Standard Test Species; U.S. Invasive Species</t>
        </is>
      </c>
      <c r="N120" t="inlineStr">
        <is>
          <t>Seedling</t>
        </is>
      </c>
      <c r="O120"/>
      <c r="P120" t="n">
        <v>28.0</v>
      </c>
      <c r="Q120"/>
      <c r="R120"/>
      <c r="S120"/>
      <c r="T120"/>
      <c r="U120" t="inlineStr">
        <is>
          <t>Day(s)</t>
        </is>
      </c>
      <c r="V120" t="inlineStr">
        <is>
          <t>Hydroponic</t>
        </is>
      </c>
      <c r="W120" t="inlineStr">
        <is>
          <t>Hydroponic</t>
        </is>
      </c>
      <c r="X120" t="inlineStr">
        <is>
          <t>Lab</t>
        </is>
      </c>
      <c r="Y120" t="n">
        <v>2.0</v>
      </c>
      <c r="Z120" t="inlineStr">
        <is>
          <t>Active ingredient</t>
        </is>
      </c>
      <c r="AA120"/>
      <c r="AB120" t="n">
        <v>0.5</v>
      </c>
      <c r="AC120"/>
      <c r="AD120"/>
      <c r="AE120"/>
      <c r="AF120"/>
      <c r="AG120" t="inlineStr">
        <is>
          <t>mg/L</t>
        </is>
      </c>
      <c r="AH120"/>
      <c r="AI120"/>
      <c r="AJ120"/>
      <c r="AK120"/>
      <c r="AL120"/>
      <c r="AM120"/>
      <c r="AN120"/>
      <c r="AO120"/>
      <c r="AP120"/>
      <c r="AQ120"/>
      <c r="AR120"/>
      <c r="AS120"/>
      <c r="AT120"/>
      <c r="AU120"/>
      <c r="AV120"/>
      <c r="AW120"/>
      <c r="AX120" t="inlineStr">
        <is>
          <t>Accumulation</t>
        </is>
      </c>
      <c r="AY120" t="inlineStr">
        <is>
          <t>Residue</t>
        </is>
      </c>
      <c r="AZ120"/>
      <c r="BA120"/>
      <c r="BB120" t="n">
        <v>0.5</v>
      </c>
      <c r="BC120"/>
      <c r="BD120"/>
      <c r="BE120"/>
      <c r="BF120"/>
      <c r="BG120"/>
      <c r="BH120"/>
      <c r="BI120" t="inlineStr">
        <is>
          <t>mg/L</t>
        </is>
      </c>
      <c r="BJ120" t="inlineStr">
        <is>
          <t>Multiple entries</t>
        </is>
      </c>
      <c r="BK120"/>
      <c r="BL120" t="n">
        <v>7.0</v>
      </c>
      <c r="BM120"/>
      <c r="BN120"/>
      <c r="BO120"/>
      <c r="BP120"/>
      <c r="BQ120" t="inlineStr">
        <is>
          <t>Day(s)</t>
        </is>
      </c>
      <c r="BR120" t="inlineStr">
        <is>
          <t>Adu,O., S.S. Duza, V.K. Sharma, and X. Ma</t>
        </is>
      </c>
      <c r="BS120" t="n">
        <v>195040.0</v>
      </c>
      <c r="BT120" t="inlineStr">
        <is>
          <t>Effects of Nitrogen Fertilizer Types on the Uptake and Translocation of PFAS and Metabolomic Activities of Hydroponically Cultivated Lettuce (Lactuca sativa)</t>
        </is>
      </c>
      <c r="BU120" t="inlineStr">
        <is>
          <t>J. Agric. Food Chem.73(18): 10907-10913</t>
        </is>
      </c>
      <c r="BV120" t="n">
        <v>2025.0</v>
      </c>
      <c r="BW120" t="inlineStr">
        <is>
          <t>Adu,O., S.S. Duza, V.K. Sharma, and X. Ma (2025). Effects of Nitrogen Fertilizer Types on the Uptake and Translocation of PFAS and Metabolomic Activities of Hydroponically Cultivated Lettuce (Lactuca sativa). J. Agric. Food Chem., 73, (18), 10907-10913. ECOREF#:195040</t>
        </is>
      </c>
    </row>
    <row r="121">
      <c r="A121" t="n">
        <v>1763231.0</v>
      </c>
      <c r="B121" t="inlineStr">
        <is>
          <t>1,1,2,2,3,3,4,4,5,5,6,6,7,7,8,8,8-Heptadecafluoro-1-octanesulfonic acid</t>
        </is>
      </c>
      <c r="C121"/>
      <c r="D121" t="inlineStr">
        <is>
          <t>Measured</t>
        </is>
      </c>
      <c r="E121" t="inlineStr">
        <is>
          <t>&gt;=</t>
        </is>
      </c>
      <c r="F121" t="n">
        <v>98.0</v>
      </c>
      <c r="G121"/>
      <c r="H121"/>
      <c r="I121"/>
      <c r="J121"/>
      <c r="K121" t="inlineStr">
        <is>
          <t>Lactuca sativa</t>
        </is>
      </c>
      <c r="L121" t="inlineStr">
        <is>
          <t>Lettuce</t>
        </is>
      </c>
      <c r="M121" t="inlineStr">
        <is>
          <t>Flowers, Trees, Shrubs, Ferns; Standard Test Species; U.S. Invasive Species</t>
        </is>
      </c>
      <c r="N121" t="inlineStr">
        <is>
          <t>Seedling</t>
        </is>
      </c>
      <c r="O121"/>
      <c r="P121" t="n">
        <v>30.0</v>
      </c>
      <c r="Q121"/>
      <c r="R121"/>
      <c r="S121"/>
      <c r="T121"/>
      <c r="U121" t="inlineStr">
        <is>
          <t>Day(s)</t>
        </is>
      </c>
      <c r="V121" t="inlineStr">
        <is>
          <t>Hydroponic</t>
        </is>
      </c>
      <c r="W121" t="inlineStr">
        <is>
          <t>Hydroponic</t>
        </is>
      </c>
      <c r="X121" t="inlineStr">
        <is>
          <t>Lab</t>
        </is>
      </c>
      <c r="Y121" t="n">
        <v>2.0</v>
      </c>
      <c r="Z121" t="inlineStr">
        <is>
          <t>Active ingredient</t>
        </is>
      </c>
      <c r="AA121"/>
      <c r="AB121" t="n">
        <v>0.993</v>
      </c>
      <c r="AC121"/>
      <c r="AD121"/>
      <c r="AE121"/>
      <c r="AF121"/>
      <c r="AG121" t="inlineStr">
        <is>
          <t>mg/L</t>
        </is>
      </c>
      <c r="AH121"/>
      <c r="AI121"/>
      <c r="AJ121"/>
      <c r="AK121"/>
      <c r="AL121"/>
      <c r="AM121"/>
      <c r="AN121"/>
      <c r="AO121"/>
      <c r="AP121"/>
      <c r="AQ121"/>
      <c r="AR121"/>
      <c r="AS121"/>
      <c r="AT121"/>
      <c r="AU121"/>
      <c r="AV121"/>
      <c r="AW121"/>
      <c r="AX121" t="inlineStr">
        <is>
          <t>Accumulation</t>
        </is>
      </c>
      <c r="AY121" t="inlineStr">
        <is>
          <t>Residue</t>
        </is>
      </c>
      <c r="AZ121"/>
      <c r="BA121"/>
      <c r="BB121" t="n">
        <v>0.993</v>
      </c>
      <c r="BC121"/>
      <c r="BD121"/>
      <c r="BE121"/>
      <c r="BF121"/>
      <c r="BG121"/>
      <c r="BH121"/>
      <c r="BI121" t="inlineStr">
        <is>
          <t>mg/L</t>
        </is>
      </c>
      <c r="BJ121" t="inlineStr">
        <is>
          <t>Multiple entries</t>
        </is>
      </c>
      <c r="BK121"/>
      <c r="BL121"/>
      <c r="BM121"/>
      <c r="BN121" t="n">
        <v>0.0833</v>
      </c>
      <c r="BO121"/>
      <c r="BP121" t="n">
        <v>7.0</v>
      </c>
      <c r="BQ121" t="inlineStr">
        <is>
          <t>Day(s)</t>
        </is>
      </c>
      <c r="BR121" t="inlineStr">
        <is>
          <t>Yu,P.F., Y.W. Li, L.J. Zou, B.L. Liu, L. Xiang, H.M. Zhao, H. Li, Q.Y. Cai, X.W. Hou, C.H. Mo, M.H. Wong, and Q.X. Li</t>
        </is>
      </c>
      <c r="BS121" t="n">
        <v>187869.0</v>
      </c>
      <c r="BT121" t="inlineStr">
        <is>
          <t>Variety-Selective Rhizospheric Activation, Uptake, and Subcellular Distribution of Perfluorooctanesulfonate (PFOS) in Lettuce (Lactuca Sativa L.)</t>
        </is>
      </c>
      <c r="BU121" t="inlineStr">
        <is>
          <t>Environ. Sci. Technol.55(13): 8730-8741</t>
        </is>
      </c>
      <c r="BV121" t="n">
        <v>2021.0</v>
      </c>
      <c r="BW121"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22">
      <c r="A122" t="n">
        <v>1763231.0</v>
      </c>
      <c r="B122" t="inlineStr">
        <is>
          <t>1,1,2,2,3,3,4,4,5,5,6,6,7,7,8,8,8-Heptadecafluoro-1-octanesulfonic acid</t>
        </is>
      </c>
      <c r="C122"/>
      <c r="D122" t="inlineStr">
        <is>
          <t>Measured</t>
        </is>
      </c>
      <c r="E122" t="inlineStr">
        <is>
          <t>&gt;=</t>
        </is>
      </c>
      <c r="F122" t="n">
        <v>98.0</v>
      </c>
      <c r="G122"/>
      <c r="H122"/>
      <c r="I122"/>
      <c r="J122"/>
      <c r="K122" t="inlineStr">
        <is>
          <t>Lactuca sativa</t>
        </is>
      </c>
      <c r="L122" t="inlineStr">
        <is>
          <t>Lettuce</t>
        </is>
      </c>
      <c r="M122" t="inlineStr">
        <is>
          <t>Flowers, Trees, Shrubs, Ferns; Standard Test Species; U.S. Invasive Species</t>
        </is>
      </c>
      <c r="N122" t="inlineStr">
        <is>
          <t>Seedling</t>
        </is>
      </c>
      <c r="O122"/>
      <c r="P122" t="n">
        <v>30.0</v>
      </c>
      <c r="Q122"/>
      <c r="R122"/>
      <c r="S122"/>
      <c r="T122"/>
      <c r="U122" t="inlineStr">
        <is>
          <t>Day(s)</t>
        </is>
      </c>
      <c r="V122" t="inlineStr">
        <is>
          <t>Hydroponic</t>
        </is>
      </c>
      <c r="W122" t="inlineStr">
        <is>
          <t>Hydroponic</t>
        </is>
      </c>
      <c r="X122" t="inlineStr">
        <is>
          <t>Lab</t>
        </is>
      </c>
      <c r="Y122" t="n">
        <v>2.0</v>
      </c>
      <c r="Z122" t="inlineStr">
        <is>
          <t>Active ingredient</t>
        </is>
      </c>
      <c r="AA122"/>
      <c r="AB122" t="n">
        <v>0.992</v>
      </c>
      <c r="AC122"/>
      <c r="AD122"/>
      <c r="AE122"/>
      <c r="AF122"/>
      <c r="AG122" t="inlineStr">
        <is>
          <t>mg/L</t>
        </is>
      </c>
      <c r="AH122"/>
      <c r="AI122"/>
      <c r="AJ122"/>
      <c r="AK122"/>
      <c r="AL122"/>
      <c r="AM122"/>
      <c r="AN122"/>
      <c r="AO122"/>
      <c r="AP122"/>
      <c r="AQ122"/>
      <c r="AR122"/>
      <c r="AS122"/>
      <c r="AT122"/>
      <c r="AU122"/>
      <c r="AV122"/>
      <c r="AW122"/>
      <c r="AX122" t="inlineStr">
        <is>
          <t>Accumulation</t>
        </is>
      </c>
      <c r="AY122" t="inlineStr">
        <is>
          <t>Residue</t>
        </is>
      </c>
      <c r="AZ122"/>
      <c r="BA122"/>
      <c r="BB122" t="n">
        <v>0.992</v>
      </c>
      <c r="BC122"/>
      <c r="BD122"/>
      <c r="BE122"/>
      <c r="BF122"/>
      <c r="BG122"/>
      <c r="BH122"/>
      <c r="BI122" t="inlineStr">
        <is>
          <t>mg/L</t>
        </is>
      </c>
      <c r="BJ122" t="inlineStr">
        <is>
          <t>Multiple entries</t>
        </is>
      </c>
      <c r="BK122"/>
      <c r="BL122"/>
      <c r="BM122"/>
      <c r="BN122" t="n">
        <v>0.0833</v>
      </c>
      <c r="BO122"/>
      <c r="BP122" t="n">
        <v>7.0</v>
      </c>
      <c r="BQ122" t="inlineStr">
        <is>
          <t>Day(s)</t>
        </is>
      </c>
      <c r="BR122" t="inlineStr">
        <is>
          <t>Yu,P.F., Y.W. Li, L.J. Zou, B.L. Liu, L. Xiang, H.M. Zhao, H. Li, Q.Y. Cai, X.W. Hou, C.H. Mo, M.H. Wong, and Q.X. Li</t>
        </is>
      </c>
      <c r="BS122" t="n">
        <v>187869.0</v>
      </c>
      <c r="BT122" t="inlineStr">
        <is>
          <t>Variety-Selective Rhizospheric Activation, Uptake, and Subcellular Distribution of Perfluorooctanesulfonate (PFOS) in Lettuce (Lactuca Sativa L.)</t>
        </is>
      </c>
      <c r="BU122" t="inlineStr">
        <is>
          <t>Environ. Sci. Technol.55(13): 8730-8741</t>
        </is>
      </c>
      <c r="BV122" t="n">
        <v>2021.0</v>
      </c>
      <c r="BW122"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23">
      <c r="A123" t="n">
        <v>1763231.0</v>
      </c>
      <c r="B123" t="inlineStr">
        <is>
          <t>1,1,2,2,3,3,4,4,5,5,6,6,7,7,8,8,8-Heptadecafluoro-1-octanesulfonic acid</t>
        </is>
      </c>
      <c r="C123"/>
      <c r="D123" t="inlineStr">
        <is>
          <t>Measured</t>
        </is>
      </c>
      <c r="E123" t="inlineStr">
        <is>
          <t>&gt;=</t>
        </is>
      </c>
      <c r="F123" t="n">
        <v>98.0</v>
      </c>
      <c r="G123"/>
      <c r="H123"/>
      <c r="I123"/>
      <c r="J123"/>
      <c r="K123" t="inlineStr">
        <is>
          <t>Lactuca sativa</t>
        </is>
      </c>
      <c r="L123" t="inlineStr">
        <is>
          <t>Lettuce</t>
        </is>
      </c>
      <c r="M123" t="inlineStr">
        <is>
          <t>Flowers, Trees, Shrubs, Ferns; Standard Test Species; U.S. Invasive Species</t>
        </is>
      </c>
      <c r="N123" t="inlineStr">
        <is>
          <t>Seedling</t>
        </is>
      </c>
      <c r="O123"/>
      <c r="P123" t="n">
        <v>2.0</v>
      </c>
      <c r="Q123"/>
      <c r="R123"/>
      <c r="S123"/>
      <c r="T123"/>
      <c r="U123" t="inlineStr">
        <is>
          <t>Week(s)</t>
        </is>
      </c>
      <c r="V123" t="inlineStr">
        <is>
          <t>Environmental, unspecified</t>
        </is>
      </c>
      <c r="W123" t="inlineStr">
        <is>
          <t>Natural soil</t>
        </is>
      </c>
      <c r="X123" t="inlineStr">
        <is>
          <t>Lab</t>
        </is>
      </c>
      <c r="Y123" t="n">
        <v>3.0</v>
      </c>
      <c r="Z123" t="inlineStr">
        <is>
          <t>Active ingredient</t>
        </is>
      </c>
      <c r="AA123"/>
      <c r="AB123"/>
      <c r="AC123"/>
      <c r="AD123" t="n">
        <v>0.193</v>
      </c>
      <c r="AE123"/>
      <c r="AF123" t="n">
        <v>0.991</v>
      </c>
      <c r="AG123" t="inlineStr">
        <is>
          <t>mg/kg dry soil</t>
        </is>
      </c>
      <c r="AH123"/>
      <c r="AI123"/>
      <c r="AJ123"/>
      <c r="AK123"/>
      <c r="AL123"/>
      <c r="AM123"/>
      <c r="AN123"/>
      <c r="AO123"/>
      <c r="AP123"/>
      <c r="AQ123"/>
      <c r="AR123"/>
      <c r="AS123"/>
      <c r="AT123"/>
      <c r="AU123"/>
      <c r="AV123"/>
      <c r="AW123"/>
      <c r="AX123" t="inlineStr">
        <is>
          <t>Accumulation</t>
        </is>
      </c>
      <c r="AY123" t="inlineStr">
        <is>
          <t>Residue</t>
        </is>
      </c>
      <c r="AZ123"/>
      <c r="BA123"/>
      <c r="BB123"/>
      <c r="BC123"/>
      <c r="BD123" t="n">
        <v>0.193</v>
      </c>
      <c r="BE123"/>
      <c r="BF123" t="n">
        <v>0.991</v>
      </c>
      <c r="BG123"/>
      <c r="BH123"/>
      <c r="BI123" t="inlineStr">
        <is>
          <t>mg/kg dry soil</t>
        </is>
      </c>
      <c r="BJ123" t="inlineStr">
        <is>
          <t>Multiple entries</t>
        </is>
      </c>
      <c r="BK123"/>
      <c r="BL123" t="n">
        <v>45.0</v>
      </c>
      <c r="BM123"/>
      <c r="BN123"/>
      <c r="BO123"/>
      <c r="BP123"/>
      <c r="BQ123" t="inlineStr">
        <is>
          <t>Day(s)</t>
        </is>
      </c>
      <c r="BR123" t="inlineStr">
        <is>
          <t>Yu,P.F., Y.W. Li, L.J. Zou, B.L. Liu, L. Xiang, H.M. Zhao, H. Li, Q.Y. Cai, X.W. Hou, C.H. Mo, M.H. Wong, and Q.X. Li</t>
        </is>
      </c>
      <c r="BS123" t="n">
        <v>187869.0</v>
      </c>
      <c r="BT123" t="inlineStr">
        <is>
          <t>Variety-Selective Rhizospheric Activation, Uptake, and Subcellular Distribution of Perfluorooctanesulfonate (PFOS) in Lettuce (Lactuca Sativa L.)</t>
        </is>
      </c>
      <c r="BU123" t="inlineStr">
        <is>
          <t>Environ. Sci. Technol.55(13): 8730-8741</t>
        </is>
      </c>
      <c r="BV123" t="n">
        <v>2021.0</v>
      </c>
      <c r="BW123"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24">
      <c r="A124" t="n">
        <v>1763231.0</v>
      </c>
      <c r="B124" t="inlineStr">
        <is>
          <t>1,1,2,2,3,3,4,4,5,5,6,6,7,7,8,8,8-Heptadecafluoro-1-octanesulfonic acid</t>
        </is>
      </c>
      <c r="C124"/>
      <c r="D124" t="inlineStr">
        <is>
          <t>Measured</t>
        </is>
      </c>
      <c r="E124" t="inlineStr">
        <is>
          <t>&gt;=</t>
        </is>
      </c>
      <c r="F124" t="n">
        <v>98.0</v>
      </c>
      <c r="G124"/>
      <c r="H124"/>
      <c r="I124"/>
      <c r="J124"/>
      <c r="K124" t="inlineStr">
        <is>
          <t>Lactuca sativa</t>
        </is>
      </c>
      <c r="L124" t="inlineStr">
        <is>
          <t>Lettuce</t>
        </is>
      </c>
      <c r="M124" t="inlineStr">
        <is>
          <t>Flowers, Trees, Shrubs, Ferns; Standard Test Species; U.S. Invasive Species</t>
        </is>
      </c>
      <c r="N124" t="inlineStr">
        <is>
          <t>Seedling</t>
        </is>
      </c>
      <c r="O124"/>
      <c r="P124" t="n">
        <v>30.0</v>
      </c>
      <c r="Q124"/>
      <c r="R124"/>
      <c r="S124"/>
      <c r="T124"/>
      <c r="U124" t="inlineStr">
        <is>
          <t>Day(s)</t>
        </is>
      </c>
      <c r="V124" t="inlineStr">
        <is>
          <t>Hydroponic</t>
        </is>
      </c>
      <c r="W124" t="inlineStr">
        <is>
          <t>Hydroponic</t>
        </is>
      </c>
      <c r="X124" t="inlineStr">
        <is>
          <t>Lab</t>
        </is>
      </c>
      <c r="Y124" t="n">
        <v>6.0</v>
      </c>
      <c r="Z124" t="inlineStr">
        <is>
          <t>Active ingredient</t>
        </is>
      </c>
      <c r="AA124"/>
      <c r="AB124"/>
      <c r="AC124"/>
      <c r="AD124" t="n">
        <v>0.092</v>
      </c>
      <c r="AE124"/>
      <c r="AF124" t="n">
        <v>0.995</v>
      </c>
      <c r="AG124" t="inlineStr">
        <is>
          <t>mg/L</t>
        </is>
      </c>
      <c r="AH124"/>
      <c r="AI124"/>
      <c r="AJ124"/>
      <c r="AK124"/>
      <c r="AL124"/>
      <c r="AM124"/>
      <c r="AN124"/>
      <c r="AO124"/>
      <c r="AP124"/>
      <c r="AQ124"/>
      <c r="AR124"/>
      <c r="AS124"/>
      <c r="AT124"/>
      <c r="AU124"/>
      <c r="AV124"/>
      <c r="AW124"/>
      <c r="AX124" t="inlineStr">
        <is>
          <t>Accumulation</t>
        </is>
      </c>
      <c r="AY124" t="inlineStr">
        <is>
          <t>Residue</t>
        </is>
      </c>
      <c r="AZ124"/>
      <c r="BA124"/>
      <c r="BB124"/>
      <c r="BC124"/>
      <c r="BD124" t="n">
        <v>0.092</v>
      </c>
      <c r="BE124"/>
      <c r="BF124" t="n">
        <v>0.995</v>
      </c>
      <c r="BG124"/>
      <c r="BH124"/>
      <c r="BI124" t="inlineStr">
        <is>
          <t>mg/L</t>
        </is>
      </c>
      <c r="BJ124" t="inlineStr">
        <is>
          <t>Root</t>
        </is>
      </c>
      <c r="BK124"/>
      <c r="BL124" t="n">
        <v>0.25</v>
      </c>
      <c r="BM124"/>
      <c r="BN124"/>
      <c r="BO124"/>
      <c r="BP124"/>
      <c r="BQ124" t="inlineStr">
        <is>
          <t>Day(s)</t>
        </is>
      </c>
      <c r="BR124" t="inlineStr">
        <is>
          <t>Yu,P.F., Y.W. Li, L.J. Zou, B.L. Liu, L. Xiang, H.M. Zhao, H. Li, Q.Y. Cai, X.W. Hou, C.H. Mo, M.H. Wong, and Q.X. Li</t>
        </is>
      </c>
      <c r="BS124" t="n">
        <v>187869.0</v>
      </c>
      <c r="BT124" t="inlineStr">
        <is>
          <t>Variety-Selective Rhizospheric Activation, Uptake, and Subcellular Distribution of Perfluorooctanesulfonate (PFOS) in Lettuce (Lactuca Sativa L.)</t>
        </is>
      </c>
      <c r="BU124" t="inlineStr">
        <is>
          <t>Environ. Sci. Technol.55(13): 8730-8741</t>
        </is>
      </c>
      <c r="BV124" t="n">
        <v>2021.0</v>
      </c>
      <c r="BW124"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25">
      <c r="A125" t="n">
        <v>1763231.0</v>
      </c>
      <c r="B125" t="inlineStr">
        <is>
          <t>1,1,2,2,3,3,4,4,5,5,6,6,7,7,8,8,8-Heptadecafluoro-1-octanesulfonic acid</t>
        </is>
      </c>
      <c r="C125"/>
      <c r="D125" t="inlineStr">
        <is>
          <t>Unmeasured</t>
        </is>
      </c>
      <c r="E125" t="inlineStr">
        <is>
          <t>&gt;=</t>
        </is>
      </c>
      <c r="F125" t="n">
        <v>98.0</v>
      </c>
      <c r="G125"/>
      <c r="H125"/>
      <c r="I125"/>
      <c r="J125"/>
      <c r="K125" t="inlineStr">
        <is>
          <t>Lactuca sativa</t>
        </is>
      </c>
      <c r="L125" t="inlineStr">
        <is>
          <t>Lettuce</t>
        </is>
      </c>
      <c r="M125" t="inlineStr">
        <is>
          <t>Flowers, Trees, Shrubs, Ferns; Standard Test Species; U.S. Invasive Species</t>
        </is>
      </c>
      <c r="N125" t="inlineStr">
        <is>
          <t>Seedling</t>
        </is>
      </c>
      <c r="O125"/>
      <c r="P125" t="n">
        <v>30.0</v>
      </c>
      <c r="Q125"/>
      <c r="R125"/>
      <c r="S125"/>
      <c r="T125"/>
      <c r="U125" t="inlineStr">
        <is>
          <t>Day(s)</t>
        </is>
      </c>
      <c r="V125" t="inlineStr">
        <is>
          <t>Hydroponic</t>
        </is>
      </c>
      <c r="W125" t="inlineStr">
        <is>
          <t>Hydroponic</t>
        </is>
      </c>
      <c r="X125" t="inlineStr">
        <is>
          <t>Lab</t>
        </is>
      </c>
      <c r="Y125" t="n">
        <v>1.0</v>
      </c>
      <c r="Z125" t="inlineStr">
        <is>
          <t>Active ingredient</t>
        </is>
      </c>
      <c r="AA125"/>
      <c r="AB125" t="n">
        <v>1.0</v>
      </c>
      <c r="AC125"/>
      <c r="AD125"/>
      <c r="AE125"/>
      <c r="AF125"/>
      <c r="AG125" t="inlineStr">
        <is>
          <t>mg/L</t>
        </is>
      </c>
      <c r="AH125"/>
      <c r="AI125"/>
      <c r="AJ125"/>
      <c r="AK125"/>
      <c r="AL125"/>
      <c r="AM125"/>
      <c r="AN125"/>
      <c r="AO125"/>
      <c r="AP125"/>
      <c r="AQ125"/>
      <c r="AR125"/>
      <c r="AS125"/>
      <c r="AT125"/>
      <c r="AU125"/>
      <c r="AV125"/>
      <c r="AW125"/>
      <c r="AX125" t="inlineStr">
        <is>
          <t>Accumulation</t>
        </is>
      </c>
      <c r="AY125" t="inlineStr">
        <is>
          <t>Residue</t>
        </is>
      </c>
      <c r="AZ125"/>
      <c r="BA125"/>
      <c r="BB125" t="n">
        <v>1.0</v>
      </c>
      <c r="BC125"/>
      <c r="BD125"/>
      <c r="BE125"/>
      <c r="BF125"/>
      <c r="BG125"/>
      <c r="BH125"/>
      <c r="BI125" t="inlineStr">
        <is>
          <t>mg/L</t>
        </is>
      </c>
      <c r="BJ125" t="inlineStr">
        <is>
          <t>Root</t>
        </is>
      </c>
      <c r="BK125"/>
      <c r="BL125" t="n">
        <v>0.25</v>
      </c>
      <c r="BM125"/>
      <c r="BN125"/>
      <c r="BO125"/>
      <c r="BP125"/>
      <c r="BQ125" t="inlineStr">
        <is>
          <t>Day(s)</t>
        </is>
      </c>
      <c r="BR125" t="inlineStr">
        <is>
          <t>Yu,P.F., Y.W. Li, L.J. Zou, B.L. Liu, L. Xiang, H.M. Zhao, H. Li, Q.Y. Cai, X.W. Hou, C.H. Mo, M.H. Wong, and Q.X. Li</t>
        </is>
      </c>
      <c r="BS125" t="n">
        <v>187869.0</v>
      </c>
      <c r="BT125" t="inlineStr">
        <is>
          <t>Variety-Selective Rhizospheric Activation, Uptake, and Subcellular Distribution of Perfluorooctanesulfonate (PFOS) in Lettuce (Lactuca Sativa L.)</t>
        </is>
      </c>
      <c r="BU125" t="inlineStr">
        <is>
          <t>Environ. Sci. Technol.55(13): 8730-8741</t>
        </is>
      </c>
      <c r="BV125" t="n">
        <v>2021.0</v>
      </c>
      <c r="BW125"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26">
      <c r="A126" t="n">
        <v>1763231.0</v>
      </c>
      <c r="B126" t="inlineStr">
        <is>
          <t>1,1,2,2,3,3,4,4,5,5,6,6,7,7,8,8,8-Heptadecafluoro-1-octanesulfonic acid</t>
        </is>
      </c>
      <c r="C126"/>
      <c r="D126" t="inlineStr">
        <is>
          <t>Unmeasured</t>
        </is>
      </c>
      <c r="E126"/>
      <c r="F126" t="n">
        <v>99.0</v>
      </c>
      <c r="G126"/>
      <c r="H126"/>
      <c r="I126"/>
      <c r="J126"/>
      <c r="K126" t="inlineStr">
        <is>
          <t>Lactuca sativa</t>
        </is>
      </c>
      <c r="L126" t="inlineStr">
        <is>
          <t>Lettuce</t>
        </is>
      </c>
      <c r="M126" t="inlineStr">
        <is>
          <t>Flowers, Trees, Shrubs, Ferns; Standard Test Species; U.S. Invasive Species</t>
        </is>
      </c>
      <c r="N126" t="inlineStr">
        <is>
          <t>Seedling</t>
        </is>
      </c>
      <c r="O126"/>
      <c r="P126" t="n">
        <v>28.0</v>
      </c>
      <c r="Q126"/>
      <c r="R126"/>
      <c r="S126"/>
      <c r="T126"/>
      <c r="U126" t="inlineStr">
        <is>
          <t>Day(s)</t>
        </is>
      </c>
      <c r="V126" t="inlineStr">
        <is>
          <t>Hydroponic</t>
        </is>
      </c>
      <c r="W126" t="inlineStr">
        <is>
          <t>Hydroponic</t>
        </is>
      </c>
      <c r="X126" t="inlineStr">
        <is>
          <t>Lab</t>
        </is>
      </c>
      <c r="Y126" t="n">
        <v>2.0</v>
      </c>
      <c r="Z126" t="inlineStr">
        <is>
          <t>Active ingredient</t>
        </is>
      </c>
      <c r="AA126"/>
      <c r="AB126" t="n">
        <v>0.5</v>
      </c>
      <c r="AC126"/>
      <c r="AD126"/>
      <c r="AE126"/>
      <c r="AF126"/>
      <c r="AG126" t="inlineStr">
        <is>
          <t>mg/L</t>
        </is>
      </c>
      <c r="AH126"/>
      <c r="AI126"/>
      <c r="AJ126"/>
      <c r="AK126"/>
      <c r="AL126"/>
      <c r="AM126"/>
      <c r="AN126"/>
      <c r="AO126"/>
      <c r="AP126"/>
      <c r="AQ126"/>
      <c r="AR126"/>
      <c r="AS126"/>
      <c r="AT126"/>
      <c r="AU126"/>
      <c r="AV126"/>
      <c r="AW126"/>
      <c r="AX126" t="inlineStr">
        <is>
          <t>Accumulation</t>
        </is>
      </c>
      <c r="AY126" t="inlineStr">
        <is>
          <t>Residue</t>
        </is>
      </c>
      <c r="AZ126"/>
      <c r="BA126"/>
      <c r="BB126" t="n">
        <v>0.5</v>
      </c>
      <c r="BC126"/>
      <c r="BD126"/>
      <c r="BE126"/>
      <c r="BF126"/>
      <c r="BG126"/>
      <c r="BH126"/>
      <c r="BI126" t="inlineStr">
        <is>
          <t>mg/L</t>
        </is>
      </c>
      <c r="BJ126" t="inlineStr">
        <is>
          <t>Multiple entries</t>
        </is>
      </c>
      <c r="BK126"/>
      <c r="BL126" t="n">
        <v>7.0</v>
      </c>
      <c r="BM126"/>
      <c r="BN126"/>
      <c r="BO126"/>
      <c r="BP126"/>
      <c r="BQ126" t="inlineStr">
        <is>
          <t>Day(s)</t>
        </is>
      </c>
      <c r="BR126" t="inlineStr">
        <is>
          <t>Adu,O., S.S. Duza, V.K. Sharma, and X. Ma</t>
        </is>
      </c>
      <c r="BS126" t="n">
        <v>195040.0</v>
      </c>
      <c r="BT126" t="inlineStr">
        <is>
          <t>Effects of Nitrogen Fertilizer Types on the Uptake and Translocation of PFAS and Metabolomic Activities of Hydroponically Cultivated Lettuce (Lactuca sativa)</t>
        </is>
      </c>
      <c r="BU126" t="inlineStr">
        <is>
          <t>J. Agric. Food Chem.73(18): 10907-10913</t>
        </is>
      </c>
      <c r="BV126" t="n">
        <v>2025.0</v>
      </c>
      <c r="BW126" t="inlineStr">
        <is>
          <t>Adu,O., S.S. Duza, V.K. Sharma, and X. Ma (2025). Effects of Nitrogen Fertilizer Types on the Uptake and Translocation of PFAS and Metabolomic Activities of Hydroponically Cultivated Lettuce (Lactuca sativa). J. Agric. Food Chem., 73, (18), 10907-10913. ECOREF#:195040</t>
        </is>
      </c>
    </row>
    <row r="127">
      <c r="A127" t="n">
        <v>1763231.0</v>
      </c>
      <c r="B127" t="inlineStr">
        <is>
          <t>1,1,2,2,3,3,4,4,5,5,6,6,7,7,8,8,8-Heptadecafluoro-1-octanesulfonic acid</t>
        </is>
      </c>
      <c r="C127"/>
      <c r="D127" t="inlineStr">
        <is>
          <t>Unmeasured</t>
        </is>
      </c>
      <c r="E127" t="inlineStr">
        <is>
          <t>&gt;=</t>
        </is>
      </c>
      <c r="F127" t="n">
        <v>98.0</v>
      </c>
      <c r="G127"/>
      <c r="H127"/>
      <c r="I127"/>
      <c r="J127"/>
      <c r="K127" t="inlineStr">
        <is>
          <t>Lactuca sativa</t>
        </is>
      </c>
      <c r="L127" t="inlineStr">
        <is>
          <t>Lettuce</t>
        </is>
      </c>
      <c r="M127" t="inlineStr">
        <is>
          <t>Flowers, Trees, Shrubs, Ferns; Standard Test Species; U.S. Invasive Species</t>
        </is>
      </c>
      <c r="N127" t="inlineStr">
        <is>
          <t>Seedling</t>
        </is>
      </c>
      <c r="O127"/>
      <c r="P127" t="n">
        <v>30.0</v>
      </c>
      <c r="Q127"/>
      <c r="R127"/>
      <c r="S127"/>
      <c r="T127"/>
      <c r="U127" t="inlineStr">
        <is>
          <t>Day(s)</t>
        </is>
      </c>
      <c r="V127" t="inlineStr">
        <is>
          <t>Hydroponic</t>
        </is>
      </c>
      <c r="W127" t="inlineStr">
        <is>
          <t>Hydroponic</t>
        </is>
      </c>
      <c r="X127" t="inlineStr">
        <is>
          <t>Lab</t>
        </is>
      </c>
      <c r="Y127" t="n">
        <v>1.0</v>
      </c>
      <c r="Z127" t="inlineStr">
        <is>
          <t>Active ingredient</t>
        </is>
      </c>
      <c r="AA127"/>
      <c r="AB127" t="n">
        <v>1.0</v>
      </c>
      <c r="AC127"/>
      <c r="AD127"/>
      <c r="AE127"/>
      <c r="AF127"/>
      <c r="AG127" t="inlineStr">
        <is>
          <t>mg/L</t>
        </is>
      </c>
      <c r="AH127"/>
      <c r="AI127"/>
      <c r="AJ127"/>
      <c r="AK127"/>
      <c r="AL127"/>
      <c r="AM127"/>
      <c r="AN127"/>
      <c r="AO127"/>
      <c r="AP127"/>
      <c r="AQ127"/>
      <c r="AR127"/>
      <c r="AS127"/>
      <c r="AT127"/>
      <c r="AU127"/>
      <c r="AV127"/>
      <c r="AW127"/>
      <c r="AX127" t="inlineStr">
        <is>
          <t>Accumulation</t>
        </is>
      </c>
      <c r="AY127" t="inlineStr">
        <is>
          <t>Residue</t>
        </is>
      </c>
      <c r="AZ127"/>
      <c r="BA127"/>
      <c r="BB127" t="n">
        <v>1.0</v>
      </c>
      <c r="BC127"/>
      <c r="BD127"/>
      <c r="BE127"/>
      <c r="BF127"/>
      <c r="BG127"/>
      <c r="BH127"/>
      <c r="BI127" t="inlineStr">
        <is>
          <t>mg/L</t>
        </is>
      </c>
      <c r="BJ127" t="inlineStr">
        <is>
          <t>Root</t>
        </is>
      </c>
      <c r="BK127"/>
      <c r="BL127" t="n">
        <v>0.25</v>
      </c>
      <c r="BM127"/>
      <c r="BN127"/>
      <c r="BO127"/>
      <c r="BP127"/>
      <c r="BQ127" t="inlineStr">
        <is>
          <t>Day(s)</t>
        </is>
      </c>
      <c r="BR127" t="inlineStr">
        <is>
          <t>Yu,P.F., Y.W. Li, L.J. Zou, B.L. Liu, L. Xiang, H.M. Zhao, H. Li, Q.Y. Cai, X.W. Hou, C.H. Mo, M.H. Wong, and Q.X. Li</t>
        </is>
      </c>
      <c r="BS127" t="n">
        <v>187869.0</v>
      </c>
      <c r="BT127" t="inlineStr">
        <is>
          <t>Variety-Selective Rhizospheric Activation, Uptake, and Subcellular Distribution of Perfluorooctanesulfonate (PFOS) in Lettuce (Lactuca Sativa L.)</t>
        </is>
      </c>
      <c r="BU127" t="inlineStr">
        <is>
          <t>Environ. Sci. Technol.55(13): 8730-8741</t>
        </is>
      </c>
      <c r="BV127" t="n">
        <v>2021.0</v>
      </c>
      <c r="BW127"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row>
    <row r="128">
      <c r="A128" t="n">
        <v>1763231.0</v>
      </c>
      <c r="B128" t="inlineStr">
        <is>
          <t>1,1,2,2,3,3,4,4,5,5,6,6,7,7,8,8,8-Heptadecafluoro-1-octanesulfonic acid</t>
        </is>
      </c>
      <c r="C128"/>
      <c r="D128" t="inlineStr">
        <is>
          <t>Measured</t>
        </is>
      </c>
      <c r="E128" t="inlineStr">
        <is>
          <t>&gt;=</t>
        </is>
      </c>
      <c r="F128" t="n">
        <v>98.0</v>
      </c>
      <c r="G128"/>
      <c r="H128"/>
      <c r="I128"/>
      <c r="J128"/>
      <c r="K128" t="inlineStr">
        <is>
          <t>Lactuca sativa var. crispa</t>
        </is>
      </c>
      <c r="L128" t="inlineStr">
        <is>
          <t>Leaf Lettuce</t>
        </is>
      </c>
      <c r="M128" t="inlineStr">
        <is>
          <t>Flowers, Trees, Shrubs, Ferns</t>
        </is>
      </c>
      <c r="N128" t="inlineStr">
        <is>
          <t>Seedling</t>
        </is>
      </c>
      <c r="O128"/>
      <c r="P128" t="n">
        <v>14.0</v>
      </c>
      <c r="Q128"/>
      <c r="R128"/>
      <c r="S128"/>
      <c r="T128"/>
      <c r="U128" t="inlineStr">
        <is>
          <t>Day(s)</t>
        </is>
      </c>
      <c r="V128" t="inlineStr">
        <is>
          <t>Environmental, unspecified</t>
        </is>
      </c>
      <c r="W128" t="inlineStr">
        <is>
          <t>Natural soil</t>
        </is>
      </c>
      <c r="X128" t="inlineStr">
        <is>
          <t>Lab</t>
        </is>
      </c>
      <c r="Y128" t="n">
        <v>3.0</v>
      </c>
      <c r="Z128" t="inlineStr">
        <is>
          <t>Active ingredient</t>
        </is>
      </c>
      <c r="AA128"/>
      <c r="AB128" t="n">
        <v>0.187</v>
      </c>
      <c r="AC128"/>
      <c r="AD128"/>
      <c r="AE128"/>
      <c r="AF128"/>
      <c r="AG128" t="inlineStr">
        <is>
          <t>mg/kg dry soil</t>
        </is>
      </c>
      <c r="AH128"/>
      <c r="AI128"/>
      <c r="AJ128"/>
      <c r="AK128"/>
      <c r="AL128"/>
      <c r="AM128"/>
      <c r="AN128"/>
      <c r="AO128"/>
      <c r="AP128"/>
      <c r="AQ128"/>
      <c r="AR128"/>
      <c r="AS128"/>
      <c r="AT128"/>
      <c r="AU128"/>
      <c r="AV128"/>
      <c r="AW128"/>
      <c r="AX128" t="inlineStr">
        <is>
          <t>Accumulation</t>
        </is>
      </c>
      <c r="AY128" t="inlineStr">
        <is>
          <t>Residue</t>
        </is>
      </c>
      <c r="AZ128" t="inlineStr">
        <is>
          <t>BCFD</t>
        </is>
      </c>
      <c r="BA128"/>
      <c r="BB128" t="n">
        <v>0.187</v>
      </c>
      <c r="BC128"/>
      <c r="BD128"/>
      <c r="BE128"/>
      <c r="BF128"/>
      <c r="BG128"/>
      <c r="BH128"/>
      <c r="BI128" t="inlineStr">
        <is>
          <t>mg/kg dry soil</t>
        </is>
      </c>
      <c r="BJ128" t="inlineStr">
        <is>
          <t>Root</t>
        </is>
      </c>
      <c r="BK128"/>
      <c r="BL128" t="n">
        <v>45.0</v>
      </c>
      <c r="BM128"/>
      <c r="BN128"/>
      <c r="BO128"/>
      <c r="BP128"/>
      <c r="BQ128" t="inlineStr">
        <is>
          <t>Day(s)</t>
        </is>
      </c>
      <c r="BR128" t="inlineStr">
        <is>
          <t>Yu,P.F., L. Xiang, X.H. Li, Z.R. Ding, C.H. Mo, Y.W. Li, H. Li, Q.Y. Cai, D.M. Zhou, and M.H. Wong</t>
        </is>
      </c>
      <c r="BS128" t="n">
        <v>182588.0</v>
      </c>
      <c r="BT128" t="inlineStr">
        <is>
          <t>Cultivar-Dependent Accumulation and Translocation of Perfluorooctanesulfonate Among Lettuce ( Lactuca sativa L.) Cultivars Grown on Perfluorooctanesulfonate-Contaminated Soil</t>
        </is>
      </c>
      <c r="BU128" t="inlineStr">
        <is>
          <t>J. Agric. Food Chem.66(50): 13096-13106</t>
        </is>
      </c>
      <c r="BV128" t="n">
        <v>2018.0</v>
      </c>
      <c r="BW12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29">
      <c r="A129" t="n">
        <v>1763231.0</v>
      </c>
      <c r="B129" t="inlineStr">
        <is>
          <t>1,1,2,2,3,3,4,4,5,5,6,6,7,7,8,8,8-Heptadecafluoro-1-octanesulfonic acid</t>
        </is>
      </c>
      <c r="C129"/>
      <c r="D129" t="inlineStr">
        <is>
          <t>Measured</t>
        </is>
      </c>
      <c r="E129" t="inlineStr">
        <is>
          <t>&gt;=</t>
        </is>
      </c>
      <c r="F129" t="n">
        <v>98.0</v>
      </c>
      <c r="G129"/>
      <c r="H129"/>
      <c r="I129"/>
      <c r="J129"/>
      <c r="K129" t="inlineStr">
        <is>
          <t>Lactuca sativa var. crispa</t>
        </is>
      </c>
      <c r="L129" t="inlineStr">
        <is>
          <t>Leaf Lettuce</t>
        </is>
      </c>
      <c r="M129" t="inlineStr">
        <is>
          <t>Flowers, Trees, Shrubs, Ferns</t>
        </is>
      </c>
      <c r="N129" t="inlineStr">
        <is>
          <t>Seedling</t>
        </is>
      </c>
      <c r="O129"/>
      <c r="P129" t="n">
        <v>14.0</v>
      </c>
      <c r="Q129"/>
      <c r="R129"/>
      <c r="S129"/>
      <c r="T129"/>
      <c r="U129" t="inlineStr">
        <is>
          <t>Day(s)</t>
        </is>
      </c>
      <c r="V129" t="inlineStr">
        <is>
          <t>Environmental, unspecified</t>
        </is>
      </c>
      <c r="W129" t="inlineStr">
        <is>
          <t>Natural soil</t>
        </is>
      </c>
      <c r="X129" t="inlineStr">
        <is>
          <t>Lab</t>
        </is>
      </c>
      <c r="Y129" t="n">
        <v>3.0</v>
      </c>
      <c r="Z129" t="inlineStr">
        <is>
          <t>Active ingredient</t>
        </is>
      </c>
      <c r="AA129"/>
      <c r="AB129" t="n">
        <v>0.995</v>
      </c>
      <c r="AC129"/>
      <c r="AD129"/>
      <c r="AE129"/>
      <c r="AF129"/>
      <c r="AG129" t="inlineStr">
        <is>
          <t>mg/kg dry soil</t>
        </is>
      </c>
      <c r="AH129"/>
      <c r="AI129"/>
      <c r="AJ129"/>
      <c r="AK129"/>
      <c r="AL129"/>
      <c r="AM129"/>
      <c r="AN129"/>
      <c r="AO129"/>
      <c r="AP129"/>
      <c r="AQ129"/>
      <c r="AR129"/>
      <c r="AS129"/>
      <c r="AT129"/>
      <c r="AU129"/>
      <c r="AV129"/>
      <c r="AW129"/>
      <c r="AX129" t="inlineStr">
        <is>
          <t>Accumulation</t>
        </is>
      </c>
      <c r="AY129" t="inlineStr">
        <is>
          <t>Residue</t>
        </is>
      </c>
      <c r="AZ129" t="inlineStr">
        <is>
          <t>BCFD</t>
        </is>
      </c>
      <c r="BA129"/>
      <c r="BB129" t="n">
        <v>0.995</v>
      </c>
      <c r="BC129"/>
      <c r="BD129"/>
      <c r="BE129"/>
      <c r="BF129"/>
      <c r="BG129"/>
      <c r="BH129"/>
      <c r="BI129" t="inlineStr">
        <is>
          <t>mg/kg dry soil</t>
        </is>
      </c>
      <c r="BJ129" t="inlineStr">
        <is>
          <t>Root</t>
        </is>
      </c>
      <c r="BK129"/>
      <c r="BL129" t="n">
        <v>45.0</v>
      </c>
      <c r="BM129"/>
      <c r="BN129"/>
      <c r="BO129"/>
      <c r="BP129"/>
      <c r="BQ129" t="inlineStr">
        <is>
          <t>Day(s)</t>
        </is>
      </c>
      <c r="BR129" t="inlineStr">
        <is>
          <t>Yu,P.F., L. Xiang, X.H. Li, Z.R. Ding, C.H. Mo, Y.W. Li, H. Li, Q.Y. Cai, D.M. Zhou, and M.H. Wong</t>
        </is>
      </c>
      <c r="BS129" t="n">
        <v>182588.0</v>
      </c>
      <c r="BT129" t="inlineStr">
        <is>
          <t>Cultivar-Dependent Accumulation and Translocation of Perfluorooctanesulfonate Among Lettuce ( Lactuca sativa L.) Cultivars Grown on Perfluorooctanesulfonate-Contaminated Soil</t>
        </is>
      </c>
      <c r="BU129" t="inlineStr">
        <is>
          <t>J. Agric. Food Chem.66(50): 13096-13106</t>
        </is>
      </c>
      <c r="BV129" t="n">
        <v>2018.0</v>
      </c>
      <c r="BW12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0">
      <c r="A130" t="n">
        <v>1763231.0</v>
      </c>
      <c r="B130" t="inlineStr">
        <is>
          <t>1,1,2,2,3,3,4,4,5,5,6,6,7,7,8,8,8-Heptadecafluoro-1-octanesulfonic acid</t>
        </is>
      </c>
      <c r="C130"/>
      <c r="D130" t="inlineStr">
        <is>
          <t>Measured</t>
        </is>
      </c>
      <c r="E130" t="inlineStr">
        <is>
          <t>&gt;=</t>
        </is>
      </c>
      <c r="F130" t="n">
        <v>98.0</v>
      </c>
      <c r="G130"/>
      <c r="H130"/>
      <c r="I130"/>
      <c r="J130"/>
      <c r="K130" t="inlineStr">
        <is>
          <t>Lactuca sativa var. crispa</t>
        </is>
      </c>
      <c r="L130" t="inlineStr">
        <is>
          <t>Leaf Lettuce</t>
        </is>
      </c>
      <c r="M130" t="inlineStr">
        <is>
          <t>Flowers, Trees, Shrubs, Ferns</t>
        </is>
      </c>
      <c r="N130" t="inlineStr">
        <is>
          <t>Seedling</t>
        </is>
      </c>
      <c r="O130"/>
      <c r="P130" t="n">
        <v>14.0</v>
      </c>
      <c r="Q130"/>
      <c r="R130"/>
      <c r="S130"/>
      <c r="T130"/>
      <c r="U130" t="inlineStr">
        <is>
          <t>Day(s)</t>
        </is>
      </c>
      <c r="V130" t="inlineStr">
        <is>
          <t>Environmental, unspecified</t>
        </is>
      </c>
      <c r="W130" t="inlineStr">
        <is>
          <t>Natural soil</t>
        </is>
      </c>
      <c r="X130" t="inlineStr">
        <is>
          <t>Lab</t>
        </is>
      </c>
      <c r="Y130" t="n">
        <v>3.0</v>
      </c>
      <c r="Z130" t="inlineStr">
        <is>
          <t>Active ingredient</t>
        </is>
      </c>
      <c r="AA130"/>
      <c r="AB130" t="n">
        <v>0.984</v>
      </c>
      <c r="AC130"/>
      <c r="AD130"/>
      <c r="AE130"/>
      <c r="AF130"/>
      <c r="AG130" t="inlineStr">
        <is>
          <t>mg/kg dry soil</t>
        </is>
      </c>
      <c r="AH130"/>
      <c r="AI130"/>
      <c r="AJ130"/>
      <c r="AK130"/>
      <c r="AL130"/>
      <c r="AM130"/>
      <c r="AN130"/>
      <c r="AO130"/>
      <c r="AP130"/>
      <c r="AQ130"/>
      <c r="AR130"/>
      <c r="AS130"/>
      <c r="AT130"/>
      <c r="AU130"/>
      <c r="AV130"/>
      <c r="AW130"/>
      <c r="AX130" t="inlineStr">
        <is>
          <t>Accumulation</t>
        </is>
      </c>
      <c r="AY130" t="inlineStr">
        <is>
          <t>Residue</t>
        </is>
      </c>
      <c r="AZ130" t="inlineStr">
        <is>
          <t>BCFD</t>
        </is>
      </c>
      <c r="BA130"/>
      <c r="BB130" t="n">
        <v>0.984</v>
      </c>
      <c r="BC130"/>
      <c r="BD130"/>
      <c r="BE130"/>
      <c r="BF130"/>
      <c r="BG130"/>
      <c r="BH130"/>
      <c r="BI130" t="inlineStr">
        <is>
          <t>mg/kg dry soil</t>
        </is>
      </c>
      <c r="BJ130" t="inlineStr">
        <is>
          <t>Root</t>
        </is>
      </c>
      <c r="BK130"/>
      <c r="BL130" t="n">
        <v>45.0</v>
      </c>
      <c r="BM130"/>
      <c r="BN130"/>
      <c r="BO130"/>
      <c r="BP130"/>
      <c r="BQ130" t="inlineStr">
        <is>
          <t>Day(s)</t>
        </is>
      </c>
      <c r="BR130" t="inlineStr">
        <is>
          <t>Yu,P.F., L. Xiang, X.H. Li, Z.R. Ding, C.H. Mo, Y.W. Li, H. Li, Q.Y. Cai, D.M. Zhou, and M.H. Wong</t>
        </is>
      </c>
      <c r="BS130" t="n">
        <v>182588.0</v>
      </c>
      <c r="BT130" t="inlineStr">
        <is>
          <t>Cultivar-Dependent Accumulation and Translocation of Perfluorooctanesulfonate Among Lettuce ( Lactuca sativa L.) Cultivars Grown on Perfluorooctanesulfonate-Contaminated Soil</t>
        </is>
      </c>
      <c r="BU130" t="inlineStr">
        <is>
          <t>J. Agric. Food Chem.66(50): 13096-13106</t>
        </is>
      </c>
      <c r="BV130" t="n">
        <v>2018.0</v>
      </c>
      <c r="BW13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1">
      <c r="A131" t="n">
        <v>1763231.0</v>
      </c>
      <c r="B131" t="inlineStr">
        <is>
          <t>1,1,2,2,3,3,4,4,5,5,6,6,7,7,8,8,8-Heptadecafluoro-1-octanesulfonic acid</t>
        </is>
      </c>
      <c r="C131"/>
      <c r="D131" t="inlineStr">
        <is>
          <t>Measured</t>
        </is>
      </c>
      <c r="E131" t="inlineStr">
        <is>
          <t>&gt;=</t>
        </is>
      </c>
      <c r="F131" t="n">
        <v>98.0</v>
      </c>
      <c r="G131"/>
      <c r="H131"/>
      <c r="I131"/>
      <c r="J131"/>
      <c r="K131" t="inlineStr">
        <is>
          <t>Lactuca sativa var. crispa</t>
        </is>
      </c>
      <c r="L131" t="inlineStr">
        <is>
          <t>Leaf Lettuce</t>
        </is>
      </c>
      <c r="M131" t="inlineStr">
        <is>
          <t>Flowers, Trees, Shrubs, Ferns</t>
        </is>
      </c>
      <c r="N131" t="inlineStr">
        <is>
          <t>Seedling</t>
        </is>
      </c>
      <c r="O131"/>
      <c r="P131" t="n">
        <v>14.0</v>
      </c>
      <c r="Q131"/>
      <c r="R131"/>
      <c r="S131"/>
      <c r="T131"/>
      <c r="U131" t="inlineStr">
        <is>
          <t>Day(s)</t>
        </is>
      </c>
      <c r="V131" t="inlineStr">
        <is>
          <t>Environmental, unspecified</t>
        </is>
      </c>
      <c r="W131" t="inlineStr">
        <is>
          <t>Natural soil</t>
        </is>
      </c>
      <c r="X131" t="inlineStr">
        <is>
          <t>Lab</t>
        </is>
      </c>
      <c r="Y131" t="n">
        <v>3.0</v>
      </c>
      <c r="Z131" t="inlineStr">
        <is>
          <t>Active ingredient</t>
        </is>
      </c>
      <c r="AA131"/>
      <c r="AB131" t="n">
        <v>0.985</v>
      </c>
      <c r="AC131"/>
      <c r="AD131"/>
      <c r="AE131"/>
      <c r="AF131"/>
      <c r="AG131" t="inlineStr">
        <is>
          <t>mg/kg dry soil</t>
        </is>
      </c>
      <c r="AH131"/>
      <c r="AI131"/>
      <c r="AJ131"/>
      <c r="AK131"/>
      <c r="AL131"/>
      <c r="AM131"/>
      <c r="AN131"/>
      <c r="AO131"/>
      <c r="AP131"/>
      <c r="AQ131"/>
      <c r="AR131"/>
      <c r="AS131"/>
      <c r="AT131"/>
      <c r="AU131"/>
      <c r="AV131"/>
      <c r="AW131"/>
      <c r="AX131" t="inlineStr">
        <is>
          <t>Accumulation</t>
        </is>
      </c>
      <c r="AY131" t="inlineStr">
        <is>
          <t>Residue</t>
        </is>
      </c>
      <c r="AZ131" t="inlineStr">
        <is>
          <t>BCFD</t>
        </is>
      </c>
      <c r="BA131"/>
      <c r="BB131" t="n">
        <v>0.985</v>
      </c>
      <c r="BC131"/>
      <c r="BD131"/>
      <c r="BE131"/>
      <c r="BF131"/>
      <c r="BG131"/>
      <c r="BH131"/>
      <c r="BI131" t="inlineStr">
        <is>
          <t>mg/kg dry soil</t>
        </is>
      </c>
      <c r="BJ131" t="inlineStr">
        <is>
          <t>Root</t>
        </is>
      </c>
      <c r="BK131"/>
      <c r="BL131" t="n">
        <v>45.0</v>
      </c>
      <c r="BM131"/>
      <c r="BN131"/>
      <c r="BO131"/>
      <c r="BP131"/>
      <c r="BQ131" t="inlineStr">
        <is>
          <t>Day(s)</t>
        </is>
      </c>
      <c r="BR131" t="inlineStr">
        <is>
          <t>Yu,P.F., L. Xiang, X.H. Li, Z.R. Ding, C.H. Mo, Y.W. Li, H. Li, Q.Y. Cai, D.M. Zhou, and M.H. Wong</t>
        </is>
      </c>
      <c r="BS131" t="n">
        <v>182588.0</v>
      </c>
      <c r="BT131" t="inlineStr">
        <is>
          <t>Cultivar-Dependent Accumulation and Translocation of Perfluorooctanesulfonate Among Lettuce ( Lactuca sativa L.) Cultivars Grown on Perfluorooctanesulfonate-Contaminated Soil</t>
        </is>
      </c>
      <c r="BU131" t="inlineStr">
        <is>
          <t>J. Agric. Food Chem.66(50): 13096-13106</t>
        </is>
      </c>
      <c r="BV131" t="n">
        <v>2018.0</v>
      </c>
      <c r="BW13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2">
      <c r="A132" t="n">
        <v>1763231.0</v>
      </c>
      <c r="B132" t="inlineStr">
        <is>
          <t>1,1,2,2,3,3,4,4,5,5,6,6,7,7,8,8,8-Heptadecafluoro-1-octanesulfonic acid</t>
        </is>
      </c>
      <c r="C132"/>
      <c r="D132" t="inlineStr">
        <is>
          <t>Measured</t>
        </is>
      </c>
      <c r="E132" t="inlineStr">
        <is>
          <t>&gt;=</t>
        </is>
      </c>
      <c r="F132" t="n">
        <v>98.0</v>
      </c>
      <c r="G132"/>
      <c r="H132"/>
      <c r="I132"/>
      <c r="J132"/>
      <c r="K132" t="inlineStr">
        <is>
          <t>Lactuca sativa var. crispa</t>
        </is>
      </c>
      <c r="L132" t="inlineStr">
        <is>
          <t>Leaf Lettuce</t>
        </is>
      </c>
      <c r="M132" t="inlineStr">
        <is>
          <t>Flowers, Trees, Shrubs, Ferns</t>
        </is>
      </c>
      <c r="N132" t="inlineStr">
        <is>
          <t>Seedling</t>
        </is>
      </c>
      <c r="O132"/>
      <c r="P132" t="n">
        <v>14.0</v>
      </c>
      <c r="Q132"/>
      <c r="R132"/>
      <c r="S132"/>
      <c r="T132"/>
      <c r="U132" t="inlineStr">
        <is>
          <t>Day(s)</t>
        </is>
      </c>
      <c r="V132" t="inlineStr">
        <is>
          <t>Environmental, unspecified</t>
        </is>
      </c>
      <c r="W132" t="inlineStr">
        <is>
          <t>Natural soil</t>
        </is>
      </c>
      <c r="X132" t="inlineStr">
        <is>
          <t>Lab</t>
        </is>
      </c>
      <c r="Y132" t="n">
        <v>3.0</v>
      </c>
      <c r="Z132" t="inlineStr">
        <is>
          <t>Active ingredient</t>
        </is>
      </c>
      <c r="AA132"/>
      <c r="AB132" t="n">
        <v>0.985</v>
      </c>
      <c r="AC132"/>
      <c r="AD132"/>
      <c r="AE132"/>
      <c r="AF132"/>
      <c r="AG132" t="inlineStr">
        <is>
          <t>mg/kg dry soil</t>
        </is>
      </c>
      <c r="AH132"/>
      <c r="AI132"/>
      <c r="AJ132"/>
      <c r="AK132"/>
      <c r="AL132"/>
      <c r="AM132"/>
      <c r="AN132"/>
      <c r="AO132"/>
      <c r="AP132"/>
      <c r="AQ132"/>
      <c r="AR132"/>
      <c r="AS132"/>
      <c r="AT132"/>
      <c r="AU132"/>
      <c r="AV132"/>
      <c r="AW132"/>
      <c r="AX132" t="inlineStr">
        <is>
          <t>Accumulation</t>
        </is>
      </c>
      <c r="AY132" t="inlineStr">
        <is>
          <t>Residue</t>
        </is>
      </c>
      <c r="AZ132" t="inlineStr">
        <is>
          <t>BCFD</t>
        </is>
      </c>
      <c r="BA132"/>
      <c r="BB132" t="n">
        <v>0.985</v>
      </c>
      <c r="BC132"/>
      <c r="BD132"/>
      <c r="BE132"/>
      <c r="BF132"/>
      <c r="BG132"/>
      <c r="BH132"/>
      <c r="BI132" t="inlineStr">
        <is>
          <t>mg/kg dry soil</t>
        </is>
      </c>
      <c r="BJ132" t="inlineStr">
        <is>
          <t>Shoot</t>
        </is>
      </c>
      <c r="BK132"/>
      <c r="BL132" t="n">
        <v>45.0</v>
      </c>
      <c r="BM132"/>
      <c r="BN132"/>
      <c r="BO132"/>
      <c r="BP132"/>
      <c r="BQ132" t="inlineStr">
        <is>
          <t>Day(s)</t>
        </is>
      </c>
      <c r="BR132" t="inlineStr">
        <is>
          <t>Yu,P.F., L. Xiang, X.H. Li, Z.R. Ding, C.H. Mo, Y.W. Li, H. Li, Q.Y. Cai, D.M. Zhou, and M.H. Wong</t>
        </is>
      </c>
      <c r="BS132" t="n">
        <v>182588.0</v>
      </c>
      <c r="BT132" t="inlineStr">
        <is>
          <t>Cultivar-Dependent Accumulation and Translocation of Perfluorooctanesulfonate Among Lettuce ( Lactuca sativa L.) Cultivars Grown on Perfluorooctanesulfonate-Contaminated Soil</t>
        </is>
      </c>
      <c r="BU132" t="inlineStr">
        <is>
          <t>J. Agric. Food Chem.66(50): 13096-13106</t>
        </is>
      </c>
      <c r="BV132" t="n">
        <v>2018.0</v>
      </c>
      <c r="BW13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3">
      <c r="A133" t="n">
        <v>1763231.0</v>
      </c>
      <c r="B133" t="inlineStr">
        <is>
          <t>1,1,2,2,3,3,4,4,5,5,6,6,7,7,8,8,8-Heptadecafluoro-1-octanesulfonic acid</t>
        </is>
      </c>
      <c r="C133"/>
      <c r="D133" t="inlineStr">
        <is>
          <t>Measured</t>
        </is>
      </c>
      <c r="E133" t="inlineStr">
        <is>
          <t>&gt;=</t>
        </is>
      </c>
      <c r="F133" t="n">
        <v>98.0</v>
      </c>
      <c r="G133"/>
      <c r="H133"/>
      <c r="I133"/>
      <c r="J133"/>
      <c r="K133" t="inlineStr">
        <is>
          <t>Lactuca sativa var. crispa</t>
        </is>
      </c>
      <c r="L133" t="inlineStr">
        <is>
          <t>Leaf Lettuce</t>
        </is>
      </c>
      <c r="M133" t="inlineStr">
        <is>
          <t>Flowers, Trees, Shrubs, Ferns</t>
        </is>
      </c>
      <c r="N133" t="inlineStr">
        <is>
          <t>Seedling</t>
        </is>
      </c>
      <c r="O133"/>
      <c r="P133" t="n">
        <v>14.0</v>
      </c>
      <c r="Q133"/>
      <c r="R133"/>
      <c r="S133"/>
      <c r="T133"/>
      <c r="U133" t="inlineStr">
        <is>
          <t>Day(s)</t>
        </is>
      </c>
      <c r="V133" t="inlineStr">
        <is>
          <t>Environmental, unspecified</t>
        </is>
      </c>
      <c r="W133" t="inlineStr">
        <is>
          <t>Natural soil</t>
        </is>
      </c>
      <c r="X133" t="inlineStr">
        <is>
          <t>Lab</t>
        </is>
      </c>
      <c r="Y133" t="n">
        <v>3.0</v>
      </c>
      <c r="Z133" t="inlineStr">
        <is>
          <t>Active ingredient</t>
        </is>
      </c>
      <c r="AA133"/>
      <c r="AB133" t="n">
        <v>0.994</v>
      </c>
      <c r="AC133"/>
      <c r="AD133"/>
      <c r="AE133"/>
      <c r="AF133"/>
      <c r="AG133" t="inlineStr">
        <is>
          <t>mg/kg dry soil</t>
        </is>
      </c>
      <c r="AH133"/>
      <c r="AI133"/>
      <c r="AJ133"/>
      <c r="AK133"/>
      <c r="AL133"/>
      <c r="AM133"/>
      <c r="AN133"/>
      <c r="AO133"/>
      <c r="AP133"/>
      <c r="AQ133"/>
      <c r="AR133"/>
      <c r="AS133"/>
      <c r="AT133"/>
      <c r="AU133"/>
      <c r="AV133"/>
      <c r="AW133"/>
      <c r="AX133" t="inlineStr">
        <is>
          <t>Accumulation</t>
        </is>
      </c>
      <c r="AY133" t="inlineStr">
        <is>
          <t>Residue</t>
        </is>
      </c>
      <c r="AZ133" t="inlineStr">
        <is>
          <t>BCFD</t>
        </is>
      </c>
      <c r="BA133"/>
      <c r="BB133" t="n">
        <v>0.994</v>
      </c>
      <c r="BC133"/>
      <c r="BD133"/>
      <c r="BE133"/>
      <c r="BF133"/>
      <c r="BG133"/>
      <c r="BH133"/>
      <c r="BI133" t="inlineStr">
        <is>
          <t>mg/kg dry soil</t>
        </is>
      </c>
      <c r="BJ133" t="inlineStr">
        <is>
          <t>Shoot</t>
        </is>
      </c>
      <c r="BK133"/>
      <c r="BL133" t="n">
        <v>45.0</v>
      </c>
      <c r="BM133"/>
      <c r="BN133"/>
      <c r="BO133"/>
      <c r="BP133"/>
      <c r="BQ133" t="inlineStr">
        <is>
          <t>Day(s)</t>
        </is>
      </c>
      <c r="BR133" t="inlineStr">
        <is>
          <t>Yu,P.F., L. Xiang, X.H. Li, Z.R. Ding, C.H. Mo, Y.W. Li, H. Li, Q.Y. Cai, D.M. Zhou, and M.H. Wong</t>
        </is>
      </c>
      <c r="BS133" t="n">
        <v>182588.0</v>
      </c>
      <c r="BT133" t="inlineStr">
        <is>
          <t>Cultivar-Dependent Accumulation and Translocation of Perfluorooctanesulfonate Among Lettuce ( Lactuca sativa L.) Cultivars Grown on Perfluorooctanesulfonate-Contaminated Soil</t>
        </is>
      </c>
      <c r="BU133" t="inlineStr">
        <is>
          <t>J. Agric. Food Chem.66(50): 13096-13106</t>
        </is>
      </c>
      <c r="BV133" t="n">
        <v>2018.0</v>
      </c>
      <c r="BW13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4">
      <c r="A134" t="n">
        <v>1763231.0</v>
      </c>
      <c r="B134" t="inlineStr">
        <is>
          <t>1,1,2,2,3,3,4,4,5,5,6,6,7,7,8,8,8-Heptadecafluoro-1-octanesulfonic acid</t>
        </is>
      </c>
      <c r="C134"/>
      <c r="D134" t="inlineStr">
        <is>
          <t>Measured</t>
        </is>
      </c>
      <c r="E134" t="inlineStr">
        <is>
          <t>&gt;=</t>
        </is>
      </c>
      <c r="F134" t="n">
        <v>98.0</v>
      </c>
      <c r="G134"/>
      <c r="H134"/>
      <c r="I134"/>
      <c r="J134"/>
      <c r="K134" t="inlineStr">
        <is>
          <t>Lactuca sativa var. crispa</t>
        </is>
      </c>
      <c r="L134" t="inlineStr">
        <is>
          <t>Leaf Lettuce</t>
        </is>
      </c>
      <c r="M134" t="inlineStr">
        <is>
          <t>Flowers, Trees, Shrubs, Ferns</t>
        </is>
      </c>
      <c r="N134" t="inlineStr">
        <is>
          <t>Seedling</t>
        </is>
      </c>
      <c r="O134"/>
      <c r="P134" t="n">
        <v>14.0</v>
      </c>
      <c r="Q134"/>
      <c r="R134"/>
      <c r="S134"/>
      <c r="T134"/>
      <c r="U134" t="inlineStr">
        <is>
          <t>Day(s)</t>
        </is>
      </c>
      <c r="V134" t="inlineStr">
        <is>
          <t>Environmental, unspecified</t>
        </is>
      </c>
      <c r="W134" t="inlineStr">
        <is>
          <t>Natural soil</t>
        </is>
      </c>
      <c r="X134" t="inlineStr">
        <is>
          <t>Lab</t>
        </is>
      </c>
      <c r="Y134" t="n">
        <v>3.0</v>
      </c>
      <c r="Z134" t="inlineStr">
        <is>
          <t>Active ingredient</t>
        </is>
      </c>
      <c r="AA134"/>
      <c r="AB134" t="n">
        <v>0.982</v>
      </c>
      <c r="AC134"/>
      <c r="AD134"/>
      <c r="AE134"/>
      <c r="AF134"/>
      <c r="AG134" t="inlineStr">
        <is>
          <t>mg/kg dry soil</t>
        </is>
      </c>
      <c r="AH134"/>
      <c r="AI134"/>
      <c r="AJ134"/>
      <c r="AK134"/>
      <c r="AL134"/>
      <c r="AM134"/>
      <c r="AN134"/>
      <c r="AO134"/>
      <c r="AP134"/>
      <c r="AQ134"/>
      <c r="AR134"/>
      <c r="AS134"/>
      <c r="AT134"/>
      <c r="AU134"/>
      <c r="AV134"/>
      <c r="AW134"/>
      <c r="AX134" t="inlineStr">
        <is>
          <t>Accumulation</t>
        </is>
      </c>
      <c r="AY134" t="inlineStr">
        <is>
          <t>Residue</t>
        </is>
      </c>
      <c r="AZ134" t="inlineStr">
        <is>
          <t>BCFD</t>
        </is>
      </c>
      <c r="BA134"/>
      <c r="BB134" t="n">
        <v>0.982</v>
      </c>
      <c r="BC134"/>
      <c r="BD134"/>
      <c r="BE134"/>
      <c r="BF134"/>
      <c r="BG134"/>
      <c r="BH134"/>
      <c r="BI134" t="inlineStr">
        <is>
          <t>mg/kg dry soil</t>
        </is>
      </c>
      <c r="BJ134" t="inlineStr">
        <is>
          <t>Root</t>
        </is>
      </c>
      <c r="BK134"/>
      <c r="BL134" t="n">
        <v>45.0</v>
      </c>
      <c r="BM134"/>
      <c r="BN134"/>
      <c r="BO134"/>
      <c r="BP134"/>
      <c r="BQ134" t="inlineStr">
        <is>
          <t>Day(s)</t>
        </is>
      </c>
      <c r="BR134" t="inlineStr">
        <is>
          <t>Yu,P.F., L. Xiang, X.H. Li, Z.R. Ding, C.H. Mo, Y.W. Li, H. Li, Q.Y. Cai, D.M. Zhou, and M.H. Wong</t>
        </is>
      </c>
      <c r="BS134" t="n">
        <v>182588.0</v>
      </c>
      <c r="BT134" t="inlineStr">
        <is>
          <t>Cultivar-Dependent Accumulation and Translocation of Perfluorooctanesulfonate Among Lettuce ( Lactuca sativa L.) Cultivars Grown on Perfluorooctanesulfonate-Contaminated Soil</t>
        </is>
      </c>
      <c r="BU134" t="inlineStr">
        <is>
          <t>J. Agric. Food Chem.66(50): 13096-13106</t>
        </is>
      </c>
      <c r="BV134" t="n">
        <v>2018.0</v>
      </c>
      <c r="BW13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5">
      <c r="A135" t="n">
        <v>1763231.0</v>
      </c>
      <c r="B135" t="inlineStr">
        <is>
          <t>1,1,2,2,3,3,4,4,5,5,6,6,7,7,8,8,8-Heptadecafluoro-1-octanesulfonic acid</t>
        </is>
      </c>
      <c r="C135"/>
      <c r="D135" t="inlineStr">
        <is>
          <t>Measured</t>
        </is>
      </c>
      <c r="E135" t="inlineStr">
        <is>
          <t>&gt;=</t>
        </is>
      </c>
      <c r="F135" t="n">
        <v>98.0</v>
      </c>
      <c r="G135"/>
      <c r="H135"/>
      <c r="I135"/>
      <c r="J135"/>
      <c r="K135" t="inlineStr">
        <is>
          <t>Lactuca sativa var. crispa</t>
        </is>
      </c>
      <c r="L135" t="inlineStr">
        <is>
          <t>Leaf Lettuce</t>
        </is>
      </c>
      <c r="M135" t="inlineStr">
        <is>
          <t>Flowers, Trees, Shrubs, Ferns</t>
        </is>
      </c>
      <c r="N135" t="inlineStr">
        <is>
          <t>Seedling</t>
        </is>
      </c>
      <c r="O135"/>
      <c r="P135" t="n">
        <v>14.0</v>
      </c>
      <c r="Q135"/>
      <c r="R135"/>
      <c r="S135"/>
      <c r="T135"/>
      <c r="U135" t="inlineStr">
        <is>
          <t>Day(s)</t>
        </is>
      </c>
      <c r="V135" t="inlineStr">
        <is>
          <t>Environmental, unspecified</t>
        </is>
      </c>
      <c r="W135" t="inlineStr">
        <is>
          <t>Natural soil</t>
        </is>
      </c>
      <c r="X135" t="inlineStr">
        <is>
          <t>Lab</t>
        </is>
      </c>
      <c r="Y135" t="n">
        <v>3.0</v>
      </c>
      <c r="Z135" t="inlineStr">
        <is>
          <t>Active ingredient</t>
        </is>
      </c>
      <c r="AA135"/>
      <c r="AB135" t="n">
        <v>0.192</v>
      </c>
      <c r="AC135"/>
      <c r="AD135"/>
      <c r="AE135"/>
      <c r="AF135"/>
      <c r="AG135" t="inlineStr">
        <is>
          <t>mg/kg dry soil</t>
        </is>
      </c>
      <c r="AH135"/>
      <c r="AI135"/>
      <c r="AJ135"/>
      <c r="AK135"/>
      <c r="AL135"/>
      <c r="AM135"/>
      <c r="AN135"/>
      <c r="AO135"/>
      <c r="AP135"/>
      <c r="AQ135"/>
      <c r="AR135"/>
      <c r="AS135"/>
      <c r="AT135"/>
      <c r="AU135"/>
      <c r="AV135"/>
      <c r="AW135"/>
      <c r="AX135" t="inlineStr">
        <is>
          <t>Accumulation</t>
        </is>
      </c>
      <c r="AY135" t="inlineStr">
        <is>
          <t>Residue</t>
        </is>
      </c>
      <c r="AZ135" t="inlineStr">
        <is>
          <t>BCFD</t>
        </is>
      </c>
      <c r="BA135"/>
      <c r="BB135" t="n">
        <v>0.192</v>
      </c>
      <c r="BC135"/>
      <c r="BD135"/>
      <c r="BE135"/>
      <c r="BF135"/>
      <c r="BG135"/>
      <c r="BH135"/>
      <c r="BI135" t="inlineStr">
        <is>
          <t>mg/kg dry soil</t>
        </is>
      </c>
      <c r="BJ135" t="inlineStr">
        <is>
          <t>Shoot</t>
        </is>
      </c>
      <c r="BK135"/>
      <c r="BL135" t="n">
        <v>45.0</v>
      </c>
      <c r="BM135"/>
      <c r="BN135"/>
      <c r="BO135"/>
      <c r="BP135"/>
      <c r="BQ135" t="inlineStr">
        <is>
          <t>Day(s)</t>
        </is>
      </c>
      <c r="BR135" t="inlineStr">
        <is>
          <t>Yu,P.F., L. Xiang, X.H. Li, Z.R. Ding, C.H. Mo, Y.W. Li, H. Li, Q.Y. Cai, D.M. Zhou, and M.H. Wong</t>
        </is>
      </c>
      <c r="BS135" t="n">
        <v>182588.0</v>
      </c>
      <c r="BT135" t="inlineStr">
        <is>
          <t>Cultivar-Dependent Accumulation and Translocation of Perfluorooctanesulfonate Among Lettuce ( Lactuca sativa L.) Cultivars Grown on Perfluorooctanesulfonate-Contaminated Soil</t>
        </is>
      </c>
      <c r="BU135" t="inlineStr">
        <is>
          <t>J. Agric. Food Chem.66(50): 13096-13106</t>
        </is>
      </c>
      <c r="BV135" t="n">
        <v>2018.0</v>
      </c>
      <c r="BW13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6">
      <c r="A136" t="n">
        <v>1763231.0</v>
      </c>
      <c r="B136" t="inlineStr">
        <is>
          <t>1,1,2,2,3,3,4,4,5,5,6,6,7,7,8,8,8-Heptadecafluoro-1-octanesulfonic acid</t>
        </is>
      </c>
      <c r="C136"/>
      <c r="D136" t="inlineStr">
        <is>
          <t>Measured</t>
        </is>
      </c>
      <c r="E136" t="inlineStr">
        <is>
          <t>&gt;=</t>
        </is>
      </c>
      <c r="F136" t="n">
        <v>98.0</v>
      </c>
      <c r="G136"/>
      <c r="H136"/>
      <c r="I136"/>
      <c r="J136"/>
      <c r="K136" t="inlineStr">
        <is>
          <t>Lactuca sativa var. crispa</t>
        </is>
      </c>
      <c r="L136" t="inlineStr">
        <is>
          <t>Leaf Lettuce</t>
        </is>
      </c>
      <c r="M136" t="inlineStr">
        <is>
          <t>Flowers, Trees, Shrubs, Ferns</t>
        </is>
      </c>
      <c r="N136" t="inlineStr">
        <is>
          <t>Seedling</t>
        </is>
      </c>
      <c r="O136"/>
      <c r="P136" t="n">
        <v>14.0</v>
      </c>
      <c r="Q136"/>
      <c r="R136"/>
      <c r="S136"/>
      <c r="T136"/>
      <c r="U136" t="inlineStr">
        <is>
          <t>Day(s)</t>
        </is>
      </c>
      <c r="V136" t="inlineStr">
        <is>
          <t>Environmental, unspecified</t>
        </is>
      </c>
      <c r="W136" t="inlineStr">
        <is>
          <t>Natural soil</t>
        </is>
      </c>
      <c r="X136" t="inlineStr">
        <is>
          <t>Lab</t>
        </is>
      </c>
      <c r="Y136" t="n">
        <v>3.0</v>
      </c>
      <c r="Z136" t="inlineStr">
        <is>
          <t>Active ingredient</t>
        </is>
      </c>
      <c r="AA136"/>
      <c r="AB136" t="n">
        <v>0.192</v>
      </c>
      <c r="AC136"/>
      <c r="AD136"/>
      <c r="AE136"/>
      <c r="AF136"/>
      <c r="AG136" t="inlineStr">
        <is>
          <t>mg/kg dry soil</t>
        </is>
      </c>
      <c r="AH136"/>
      <c r="AI136"/>
      <c r="AJ136"/>
      <c r="AK136"/>
      <c r="AL136"/>
      <c r="AM136"/>
      <c r="AN136"/>
      <c r="AO136"/>
      <c r="AP136"/>
      <c r="AQ136"/>
      <c r="AR136"/>
      <c r="AS136"/>
      <c r="AT136"/>
      <c r="AU136"/>
      <c r="AV136"/>
      <c r="AW136"/>
      <c r="AX136" t="inlineStr">
        <is>
          <t>Accumulation</t>
        </is>
      </c>
      <c r="AY136" t="inlineStr">
        <is>
          <t>Residue</t>
        </is>
      </c>
      <c r="AZ136" t="inlineStr">
        <is>
          <t>BCFD</t>
        </is>
      </c>
      <c r="BA136"/>
      <c r="BB136" t="n">
        <v>0.192</v>
      </c>
      <c r="BC136"/>
      <c r="BD136"/>
      <c r="BE136"/>
      <c r="BF136"/>
      <c r="BG136"/>
      <c r="BH136"/>
      <c r="BI136" t="inlineStr">
        <is>
          <t>mg/kg dry soil</t>
        </is>
      </c>
      <c r="BJ136" t="inlineStr">
        <is>
          <t>Root</t>
        </is>
      </c>
      <c r="BK136"/>
      <c r="BL136" t="n">
        <v>45.0</v>
      </c>
      <c r="BM136"/>
      <c r="BN136"/>
      <c r="BO136"/>
      <c r="BP136"/>
      <c r="BQ136" t="inlineStr">
        <is>
          <t>Day(s)</t>
        </is>
      </c>
      <c r="BR136" t="inlineStr">
        <is>
          <t>Yu,P.F., L. Xiang, X.H. Li, Z.R. Ding, C.H. Mo, Y.W. Li, H. Li, Q.Y. Cai, D.M. Zhou, and M.H. Wong</t>
        </is>
      </c>
      <c r="BS136" t="n">
        <v>182588.0</v>
      </c>
      <c r="BT136" t="inlineStr">
        <is>
          <t>Cultivar-Dependent Accumulation and Translocation of Perfluorooctanesulfonate Among Lettuce ( Lactuca sativa L.) Cultivars Grown on Perfluorooctanesulfonate-Contaminated Soil</t>
        </is>
      </c>
      <c r="BU136" t="inlineStr">
        <is>
          <t>J. Agric. Food Chem.66(50): 13096-13106</t>
        </is>
      </c>
      <c r="BV136" t="n">
        <v>2018.0</v>
      </c>
      <c r="BW13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7">
      <c r="A137" t="n">
        <v>1763231.0</v>
      </c>
      <c r="B137" t="inlineStr">
        <is>
          <t>1,1,2,2,3,3,4,4,5,5,6,6,7,7,8,8,8-Heptadecafluoro-1-octanesulfonic acid</t>
        </is>
      </c>
      <c r="C137"/>
      <c r="D137" t="inlineStr">
        <is>
          <t>Measured</t>
        </is>
      </c>
      <c r="E137" t="inlineStr">
        <is>
          <t>&gt;=</t>
        </is>
      </c>
      <c r="F137" t="n">
        <v>98.0</v>
      </c>
      <c r="G137"/>
      <c r="H137"/>
      <c r="I137"/>
      <c r="J137"/>
      <c r="K137" t="inlineStr">
        <is>
          <t>Lactuca sativa var. crispa</t>
        </is>
      </c>
      <c r="L137" t="inlineStr">
        <is>
          <t>Leaf Lettuce</t>
        </is>
      </c>
      <c r="M137" t="inlineStr">
        <is>
          <t>Flowers, Trees, Shrubs, Ferns</t>
        </is>
      </c>
      <c r="N137" t="inlineStr">
        <is>
          <t>Seedling</t>
        </is>
      </c>
      <c r="O137"/>
      <c r="P137" t="n">
        <v>14.0</v>
      </c>
      <c r="Q137"/>
      <c r="R137"/>
      <c r="S137"/>
      <c r="T137"/>
      <c r="U137" t="inlineStr">
        <is>
          <t>Day(s)</t>
        </is>
      </c>
      <c r="V137" t="inlineStr">
        <is>
          <t>Environmental, unspecified</t>
        </is>
      </c>
      <c r="W137" t="inlineStr">
        <is>
          <t>Natural soil</t>
        </is>
      </c>
      <c r="X137" t="inlineStr">
        <is>
          <t>Lab</t>
        </is>
      </c>
      <c r="Y137" t="n">
        <v>3.0</v>
      </c>
      <c r="Z137" t="inlineStr">
        <is>
          <t>Active ingredient</t>
        </is>
      </c>
      <c r="AA137"/>
      <c r="AB137" t="n">
        <v>0.194</v>
      </c>
      <c r="AC137"/>
      <c r="AD137"/>
      <c r="AE137"/>
      <c r="AF137"/>
      <c r="AG137" t="inlineStr">
        <is>
          <t>mg/kg dry soil</t>
        </is>
      </c>
      <c r="AH137"/>
      <c r="AI137"/>
      <c r="AJ137"/>
      <c r="AK137"/>
      <c r="AL137"/>
      <c r="AM137"/>
      <c r="AN137"/>
      <c r="AO137"/>
      <c r="AP137"/>
      <c r="AQ137"/>
      <c r="AR137"/>
      <c r="AS137"/>
      <c r="AT137"/>
      <c r="AU137"/>
      <c r="AV137"/>
      <c r="AW137"/>
      <c r="AX137" t="inlineStr">
        <is>
          <t>Accumulation</t>
        </is>
      </c>
      <c r="AY137" t="inlineStr">
        <is>
          <t>Residue</t>
        </is>
      </c>
      <c r="AZ137" t="inlineStr">
        <is>
          <t>BCFD</t>
        </is>
      </c>
      <c r="BA137"/>
      <c r="BB137" t="n">
        <v>0.194</v>
      </c>
      <c r="BC137"/>
      <c r="BD137"/>
      <c r="BE137"/>
      <c r="BF137"/>
      <c r="BG137"/>
      <c r="BH137"/>
      <c r="BI137" t="inlineStr">
        <is>
          <t>mg/kg dry soil</t>
        </is>
      </c>
      <c r="BJ137" t="inlineStr">
        <is>
          <t>Root</t>
        </is>
      </c>
      <c r="BK137"/>
      <c r="BL137" t="n">
        <v>45.0</v>
      </c>
      <c r="BM137"/>
      <c r="BN137"/>
      <c r="BO137"/>
      <c r="BP137"/>
      <c r="BQ137" t="inlineStr">
        <is>
          <t>Day(s)</t>
        </is>
      </c>
      <c r="BR137" t="inlineStr">
        <is>
          <t>Yu,P.F., L. Xiang, X.H. Li, Z.R. Ding, C.H. Mo, Y.W. Li, H. Li, Q.Y. Cai, D.M. Zhou, and M.H. Wong</t>
        </is>
      </c>
      <c r="BS137" t="n">
        <v>182588.0</v>
      </c>
      <c r="BT137" t="inlineStr">
        <is>
          <t>Cultivar-Dependent Accumulation and Translocation of Perfluorooctanesulfonate Among Lettuce ( Lactuca sativa L.) Cultivars Grown on Perfluorooctanesulfonate-Contaminated Soil</t>
        </is>
      </c>
      <c r="BU137" t="inlineStr">
        <is>
          <t>J. Agric. Food Chem.66(50): 13096-13106</t>
        </is>
      </c>
      <c r="BV137" t="n">
        <v>2018.0</v>
      </c>
      <c r="BW13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8">
      <c r="A138" t="n">
        <v>1763231.0</v>
      </c>
      <c r="B138" t="inlineStr">
        <is>
          <t>1,1,2,2,3,3,4,4,5,5,6,6,7,7,8,8,8-Heptadecafluoro-1-octanesulfonic acid</t>
        </is>
      </c>
      <c r="C138"/>
      <c r="D138" t="inlineStr">
        <is>
          <t>Measured</t>
        </is>
      </c>
      <c r="E138" t="inlineStr">
        <is>
          <t>&gt;=</t>
        </is>
      </c>
      <c r="F138" t="n">
        <v>98.0</v>
      </c>
      <c r="G138"/>
      <c r="H138"/>
      <c r="I138"/>
      <c r="J138"/>
      <c r="K138" t="inlineStr">
        <is>
          <t>Lactuca sativa var. crispa</t>
        </is>
      </c>
      <c r="L138" t="inlineStr">
        <is>
          <t>Leaf Lettuce</t>
        </is>
      </c>
      <c r="M138" t="inlineStr">
        <is>
          <t>Flowers, Trees, Shrubs, Ferns</t>
        </is>
      </c>
      <c r="N138" t="inlineStr">
        <is>
          <t>Seedling</t>
        </is>
      </c>
      <c r="O138"/>
      <c r="P138" t="n">
        <v>14.0</v>
      </c>
      <c r="Q138"/>
      <c r="R138"/>
      <c r="S138"/>
      <c r="T138"/>
      <c r="U138" t="inlineStr">
        <is>
          <t>Day(s)</t>
        </is>
      </c>
      <c r="V138" t="inlineStr">
        <is>
          <t>Environmental, unspecified</t>
        </is>
      </c>
      <c r="W138" t="inlineStr">
        <is>
          <t>Natural soil</t>
        </is>
      </c>
      <c r="X138" t="inlineStr">
        <is>
          <t>Lab</t>
        </is>
      </c>
      <c r="Y138" t="n">
        <v>3.0</v>
      </c>
      <c r="Z138" t="inlineStr">
        <is>
          <t>Active ingredient</t>
        </is>
      </c>
      <c r="AA138"/>
      <c r="AB138" t="n">
        <v>0.994</v>
      </c>
      <c r="AC138"/>
      <c r="AD138"/>
      <c r="AE138"/>
      <c r="AF138"/>
      <c r="AG138" t="inlineStr">
        <is>
          <t>mg/kg dry soil</t>
        </is>
      </c>
      <c r="AH138"/>
      <c r="AI138"/>
      <c r="AJ138"/>
      <c r="AK138"/>
      <c r="AL138"/>
      <c r="AM138"/>
      <c r="AN138"/>
      <c r="AO138"/>
      <c r="AP138"/>
      <c r="AQ138"/>
      <c r="AR138"/>
      <c r="AS138"/>
      <c r="AT138"/>
      <c r="AU138"/>
      <c r="AV138"/>
      <c r="AW138"/>
      <c r="AX138" t="inlineStr">
        <is>
          <t>Accumulation</t>
        </is>
      </c>
      <c r="AY138" t="inlineStr">
        <is>
          <t>Residue</t>
        </is>
      </c>
      <c r="AZ138" t="inlineStr">
        <is>
          <t>BCFD</t>
        </is>
      </c>
      <c r="BA138"/>
      <c r="BB138" t="n">
        <v>0.994</v>
      </c>
      <c r="BC138"/>
      <c r="BD138"/>
      <c r="BE138"/>
      <c r="BF138"/>
      <c r="BG138"/>
      <c r="BH138"/>
      <c r="BI138" t="inlineStr">
        <is>
          <t>mg/kg dry soil</t>
        </is>
      </c>
      <c r="BJ138" t="inlineStr">
        <is>
          <t>Root</t>
        </is>
      </c>
      <c r="BK138"/>
      <c r="BL138" t="n">
        <v>45.0</v>
      </c>
      <c r="BM138"/>
      <c r="BN138"/>
      <c r="BO138"/>
      <c r="BP138"/>
      <c r="BQ138" t="inlineStr">
        <is>
          <t>Day(s)</t>
        </is>
      </c>
      <c r="BR138" t="inlineStr">
        <is>
          <t>Yu,P.F., L. Xiang, X.H. Li, Z.R. Ding, C.H. Mo, Y.W. Li, H. Li, Q.Y. Cai, D.M. Zhou, and M.H. Wong</t>
        </is>
      </c>
      <c r="BS138" t="n">
        <v>182588.0</v>
      </c>
      <c r="BT138" t="inlineStr">
        <is>
          <t>Cultivar-Dependent Accumulation and Translocation of Perfluorooctanesulfonate Among Lettuce ( Lactuca sativa L.) Cultivars Grown on Perfluorooctanesulfonate-Contaminated Soil</t>
        </is>
      </c>
      <c r="BU138" t="inlineStr">
        <is>
          <t>J. Agric. Food Chem.66(50): 13096-13106</t>
        </is>
      </c>
      <c r="BV138" t="n">
        <v>2018.0</v>
      </c>
      <c r="BW13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39">
      <c r="A139" t="n">
        <v>1763231.0</v>
      </c>
      <c r="B139" t="inlineStr">
        <is>
          <t>1,1,2,2,3,3,4,4,5,5,6,6,7,7,8,8,8-Heptadecafluoro-1-octanesulfonic acid</t>
        </is>
      </c>
      <c r="C139"/>
      <c r="D139" t="inlineStr">
        <is>
          <t>Measured</t>
        </is>
      </c>
      <c r="E139" t="inlineStr">
        <is>
          <t>&gt;=</t>
        </is>
      </c>
      <c r="F139" t="n">
        <v>98.0</v>
      </c>
      <c r="G139"/>
      <c r="H139"/>
      <c r="I139"/>
      <c r="J139"/>
      <c r="K139" t="inlineStr">
        <is>
          <t>Lactuca sativa var. crispa</t>
        </is>
      </c>
      <c r="L139" t="inlineStr">
        <is>
          <t>Leaf Lettuce</t>
        </is>
      </c>
      <c r="M139" t="inlineStr">
        <is>
          <t>Flowers, Trees, Shrubs, Ferns</t>
        </is>
      </c>
      <c r="N139" t="inlineStr">
        <is>
          <t>Seedling</t>
        </is>
      </c>
      <c r="O139"/>
      <c r="P139" t="n">
        <v>14.0</v>
      </c>
      <c r="Q139"/>
      <c r="R139"/>
      <c r="S139"/>
      <c r="T139"/>
      <c r="U139" t="inlineStr">
        <is>
          <t>Day(s)</t>
        </is>
      </c>
      <c r="V139" t="inlineStr">
        <is>
          <t>Environmental, unspecified</t>
        </is>
      </c>
      <c r="W139" t="inlineStr">
        <is>
          <t>Natural soil</t>
        </is>
      </c>
      <c r="X139" t="inlineStr">
        <is>
          <t>Lab</t>
        </is>
      </c>
      <c r="Y139" t="n">
        <v>3.0</v>
      </c>
      <c r="Z139" t="inlineStr">
        <is>
          <t>Active ingredient</t>
        </is>
      </c>
      <c r="AA139"/>
      <c r="AB139" t="n">
        <v>0.194</v>
      </c>
      <c r="AC139"/>
      <c r="AD139"/>
      <c r="AE139"/>
      <c r="AF139"/>
      <c r="AG139" t="inlineStr">
        <is>
          <t>mg/kg dry soil</t>
        </is>
      </c>
      <c r="AH139"/>
      <c r="AI139"/>
      <c r="AJ139"/>
      <c r="AK139"/>
      <c r="AL139"/>
      <c r="AM139"/>
      <c r="AN139"/>
      <c r="AO139"/>
      <c r="AP139"/>
      <c r="AQ139"/>
      <c r="AR139"/>
      <c r="AS139"/>
      <c r="AT139"/>
      <c r="AU139"/>
      <c r="AV139"/>
      <c r="AW139"/>
      <c r="AX139" t="inlineStr">
        <is>
          <t>Accumulation</t>
        </is>
      </c>
      <c r="AY139" t="inlineStr">
        <is>
          <t>Residue</t>
        </is>
      </c>
      <c r="AZ139" t="inlineStr">
        <is>
          <t>BCFD</t>
        </is>
      </c>
      <c r="BA139"/>
      <c r="BB139" t="n">
        <v>0.194</v>
      </c>
      <c r="BC139"/>
      <c r="BD139"/>
      <c r="BE139"/>
      <c r="BF139"/>
      <c r="BG139"/>
      <c r="BH139"/>
      <c r="BI139" t="inlineStr">
        <is>
          <t>mg/kg dry soil</t>
        </is>
      </c>
      <c r="BJ139" t="inlineStr">
        <is>
          <t>Shoot</t>
        </is>
      </c>
      <c r="BK139"/>
      <c r="BL139" t="n">
        <v>45.0</v>
      </c>
      <c r="BM139"/>
      <c r="BN139"/>
      <c r="BO139"/>
      <c r="BP139"/>
      <c r="BQ139" t="inlineStr">
        <is>
          <t>Day(s)</t>
        </is>
      </c>
      <c r="BR139" t="inlineStr">
        <is>
          <t>Yu,P.F., L. Xiang, X.H. Li, Z.R. Ding, C.H. Mo, Y.W. Li, H. Li, Q.Y. Cai, D.M. Zhou, and M.H. Wong</t>
        </is>
      </c>
      <c r="BS139" t="n">
        <v>182588.0</v>
      </c>
      <c r="BT139" t="inlineStr">
        <is>
          <t>Cultivar-Dependent Accumulation and Translocation of Perfluorooctanesulfonate Among Lettuce ( Lactuca sativa L.) Cultivars Grown on Perfluorooctanesulfonate-Contaminated Soil</t>
        </is>
      </c>
      <c r="BU139" t="inlineStr">
        <is>
          <t>J. Agric. Food Chem.66(50): 13096-13106</t>
        </is>
      </c>
      <c r="BV139" t="n">
        <v>2018.0</v>
      </c>
      <c r="BW13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0">
      <c r="A140" t="n">
        <v>1763231.0</v>
      </c>
      <c r="B140" t="inlineStr">
        <is>
          <t>1,1,2,2,3,3,4,4,5,5,6,6,7,7,8,8,8-Heptadecafluoro-1-octanesulfonic acid</t>
        </is>
      </c>
      <c r="C140"/>
      <c r="D140" t="inlineStr">
        <is>
          <t>Measured</t>
        </is>
      </c>
      <c r="E140" t="inlineStr">
        <is>
          <t>&gt;=</t>
        </is>
      </c>
      <c r="F140" t="n">
        <v>98.0</v>
      </c>
      <c r="G140"/>
      <c r="H140"/>
      <c r="I140"/>
      <c r="J140"/>
      <c r="K140" t="inlineStr">
        <is>
          <t>Lactuca sativa var. crispa</t>
        </is>
      </c>
      <c r="L140" t="inlineStr">
        <is>
          <t>Leaf Lettuce</t>
        </is>
      </c>
      <c r="M140" t="inlineStr">
        <is>
          <t>Flowers, Trees, Shrubs, Ferns</t>
        </is>
      </c>
      <c r="N140" t="inlineStr">
        <is>
          <t>Seedling</t>
        </is>
      </c>
      <c r="O140"/>
      <c r="P140" t="n">
        <v>14.0</v>
      </c>
      <c r="Q140"/>
      <c r="R140"/>
      <c r="S140"/>
      <c r="T140"/>
      <c r="U140" t="inlineStr">
        <is>
          <t>Day(s)</t>
        </is>
      </c>
      <c r="V140" t="inlineStr">
        <is>
          <t>Environmental, unspecified</t>
        </is>
      </c>
      <c r="W140" t="inlineStr">
        <is>
          <t>Natural soil</t>
        </is>
      </c>
      <c r="X140" t="inlineStr">
        <is>
          <t>Lab</t>
        </is>
      </c>
      <c r="Y140" t="n">
        <v>3.0</v>
      </c>
      <c r="Z140" t="inlineStr">
        <is>
          <t>Active ingredient</t>
        </is>
      </c>
      <c r="AA140"/>
      <c r="AB140" t="n">
        <v>0.191</v>
      </c>
      <c r="AC140"/>
      <c r="AD140"/>
      <c r="AE140"/>
      <c r="AF140"/>
      <c r="AG140" t="inlineStr">
        <is>
          <t>mg/kg dry soil</t>
        </is>
      </c>
      <c r="AH140"/>
      <c r="AI140"/>
      <c r="AJ140"/>
      <c r="AK140"/>
      <c r="AL140"/>
      <c r="AM140"/>
      <c r="AN140"/>
      <c r="AO140"/>
      <c r="AP140"/>
      <c r="AQ140"/>
      <c r="AR140"/>
      <c r="AS140"/>
      <c r="AT140"/>
      <c r="AU140"/>
      <c r="AV140"/>
      <c r="AW140"/>
      <c r="AX140" t="inlineStr">
        <is>
          <t>Accumulation</t>
        </is>
      </c>
      <c r="AY140" t="inlineStr">
        <is>
          <t>Residue</t>
        </is>
      </c>
      <c r="AZ140" t="inlineStr">
        <is>
          <t>BCFD</t>
        </is>
      </c>
      <c r="BA140"/>
      <c r="BB140" t="n">
        <v>0.191</v>
      </c>
      <c r="BC140"/>
      <c r="BD140"/>
      <c r="BE140"/>
      <c r="BF140"/>
      <c r="BG140"/>
      <c r="BH140"/>
      <c r="BI140" t="inlineStr">
        <is>
          <t>mg/kg dry soil</t>
        </is>
      </c>
      <c r="BJ140" t="inlineStr">
        <is>
          <t>Root</t>
        </is>
      </c>
      <c r="BK140"/>
      <c r="BL140" t="n">
        <v>45.0</v>
      </c>
      <c r="BM140"/>
      <c r="BN140"/>
      <c r="BO140"/>
      <c r="BP140"/>
      <c r="BQ140" t="inlineStr">
        <is>
          <t>Day(s)</t>
        </is>
      </c>
      <c r="BR140" t="inlineStr">
        <is>
          <t>Yu,P.F., L. Xiang, X.H. Li, Z.R. Ding, C.H. Mo, Y.W. Li, H. Li, Q.Y. Cai, D.M. Zhou, and M.H. Wong</t>
        </is>
      </c>
      <c r="BS140" t="n">
        <v>182588.0</v>
      </c>
      <c r="BT140" t="inlineStr">
        <is>
          <t>Cultivar-Dependent Accumulation and Translocation of Perfluorooctanesulfonate Among Lettuce ( Lactuca sativa L.) Cultivars Grown on Perfluorooctanesulfonate-Contaminated Soil</t>
        </is>
      </c>
      <c r="BU140" t="inlineStr">
        <is>
          <t>J. Agric. Food Chem.66(50): 13096-13106</t>
        </is>
      </c>
      <c r="BV140" t="n">
        <v>2018.0</v>
      </c>
      <c r="BW14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1">
      <c r="A141" t="n">
        <v>1763231.0</v>
      </c>
      <c r="B141" t="inlineStr">
        <is>
          <t>1,1,2,2,3,3,4,4,5,5,6,6,7,7,8,8,8-Heptadecafluoro-1-octanesulfonic acid</t>
        </is>
      </c>
      <c r="C141"/>
      <c r="D141" t="inlineStr">
        <is>
          <t>Measured</t>
        </is>
      </c>
      <c r="E141" t="inlineStr">
        <is>
          <t>&gt;=</t>
        </is>
      </c>
      <c r="F141" t="n">
        <v>98.0</v>
      </c>
      <c r="G141"/>
      <c r="H141"/>
      <c r="I141"/>
      <c r="J141"/>
      <c r="K141" t="inlineStr">
        <is>
          <t>Lactuca sativa var. crispa</t>
        </is>
      </c>
      <c r="L141" t="inlineStr">
        <is>
          <t>Leaf Lettuce</t>
        </is>
      </c>
      <c r="M141" t="inlineStr">
        <is>
          <t>Flowers, Trees, Shrubs, Ferns</t>
        </is>
      </c>
      <c r="N141" t="inlineStr">
        <is>
          <t>Seedling</t>
        </is>
      </c>
      <c r="O141"/>
      <c r="P141" t="n">
        <v>14.0</v>
      </c>
      <c r="Q141"/>
      <c r="R141"/>
      <c r="S141"/>
      <c r="T141"/>
      <c r="U141" t="inlineStr">
        <is>
          <t>Day(s)</t>
        </is>
      </c>
      <c r="V141" t="inlineStr">
        <is>
          <t>Environmental, unspecified</t>
        </is>
      </c>
      <c r="W141" t="inlineStr">
        <is>
          <t>Natural soil</t>
        </is>
      </c>
      <c r="X141" t="inlineStr">
        <is>
          <t>Lab</t>
        </is>
      </c>
      <c r="Y141" t="n">
        <v>3.0</v>
      </c>
      <c r="Z141" t="inlineStr">
        <is>
          <t>Active ingredient</t>
        </is>
      </c>
      <c r="AA141"/>
      <c r="AB141" t="n">
        <v>0.982</v>
      </c>
      <c r="AC141"/>
      <c r="AD141"/>
      <c r="AE141"/>
      <c r="AF141"/>
      <c r="AG141" t="inlineStr">
        <is>
          <t>mg/kg dry soil</t>
        </is>
      </c>
      <c r="AH141"/>
      <c r="AI141"/>
      <c r="AJ141"/>
      <c r="AK141"/>
      <c r="AL141"/>
      <c r="AM141"/>
      <c r="AN141"/>
      <c r="AO141"/>
      <c r="AP141"/>
      <c r="AQ141"/>
      <c r="AR141"/>
      <c r="AS141"/>
      <c r="AT141"/>
      <c r="AU141"/>
      <c r="AV141"/>
      <c r="AW141"/>
      <c r="AX141" t="inlineStr">
        <is>
          <t>Accumulation</t>
        </is>
      </c>
      <c r="AY141" t="inlineStr">
        <is>
          <t>Residue</t>
        </is>
      </c>
      <c r="AZ141" t="inlineStr">
        <is>
          <t>BCFD</t>
        </is>
      </c>
      <c r="BA141"/>
      <c r="BB141" t="n">
        <v>0.982</v>
      </c>
      <c r="BC141"/>
      <c r="BD141"/>
      <c r="BE141"/>
      <c r="BF141"/>
      <c r="BG141"/>
      <c r="BH141"/>
      <c r="BI141" t="inlineStr">
        <is>
          <t>mg/kg dry soil</t>
        </is>
      </c>
      <c r="BJ141" t="inlineStr">
        <is>
          <t>Shoot</t>
        </is>
      </c>
      <c r="BK141"/>
      <c r="BL141" t="n">
        <v>45.0</v>
      </c>
      <c r="BM141"/>
      <c r="BN141"/>
      <c r="BO141"/>
      <c r="BP141"/>
      <c r="BQ141" t="inlineStr">
        <is>
          <t>Day(s)</t>
        </is>
      </c>
      <c r="BR141" t="inlineStr">
        <is>
          <t>Yu,P.F., L. Xiang, X.H. Li, Z.R. Ding, C.H. Mo, Y.W. Li, H. Li, Q.Y. Cai, D.M. Zhou, and M.H. Wong</t>
        </is>
      </c>
      <c r="BS141" t="n">
        <v>182588.0</v>
      </c>
      <c r="BT141" t="inlineStr">
        <is>
          <t>Cultivar-Dependent Accumulation and Translocation of Perfluorooctanesulfonate Among Lettuce ( Lactuca sativa L.) Cultivars Grown on Perfluorooctanesulfonate-Contaminated Soil</t>
        </is>
      </c>
      <c r="BU141" t="inlineStr">
        <is>
          <t>J. Agric. Food Chem.66(50): 13096-13106</t>
        </is>
      </c>
      <c r="BV141" t="n">
        <v>2018.0</v>
      </c>
      <c r="BW14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2">
      <c r="A142" t="n">
        <v>1763231.0</v>
      </c>
      <c r="B142" t="inlineStr">
        <is>
          <t>1,1,2,2,3,3,4,4,5,5,6,6,7,7,8,8,8-Heptadecafluoro-1-octanesulfonic acid</t>
        </is>
      </c>
      <c r="C142"/>
      <c r="D142" t="inlineStr">
        <is>
          <t>Measured</t>
        </is>
      </c>
      <c r="E142" t="inlineStr">
        <is>
          <t>&gt;=</t>
        </is>
      </c>
      <c r="F142" t="n">
        <v>98.0</v>
      </c>
      <c r="G142"/>
      <c r="H142"/>
      <c r="I142"/>
      <c r="J142"/>
      <c r="K142" t="inlineStr">
        <is>
          <t>Lactuca sativa var. crispa</t>
        </is>
      </c>
      <c r="L142" t="inlineStr">
        <is>
          <t>Leaf Lettuce</t>
        </is>
      </c>
      <c r="M142" t="inlineStr">
        <is>
          <t>Flowers, Trees, Shrubs, Ferns</t>
        </is>
      </c>
      <c r="N142" t="inlineStr">
        <is>
          <t>Seedling</t>
        </is>
      </c>
      <c r="O142"/>
      <c r="P142" t="n">
        <v>14.0</v>
      </c>
      <c r="Q142"/>
      <c r="R142"/>
      <c r="S142"/>
      <c r="T142"/>
      <c r="U142" t="inlineStr">
        <is>
          <t>Day(s)</t>
        </is>
      </c>
      <c r="V142" t="inlineStr">
        <is>
          <t>Environmental, unspecified</t>
        </is>
      </c>
      <c r="W142" t="inlineStr">
        <is>
          <t>Natural soil</t>
        </is>
      </c>
      <c r="X142" t="inlineStr">
        <is>
          <t>Lab</t>
        </is>
      </c>
      <c r="Y142" t="n">
        <v>3.0</v>
      </c>
      <c r="Z142" t="inlineStr">
        <is>
          <t>Active ingredient</t>
        </is>
      </c>
      <c r="AA142"/>
      <c r="AB142" t="n">
        <v>0.191</v>
      </c>
      <c r="AC142"/>
      <c r="AD142"/>
      <c r="AE142"/>
      <c r="AF142"/>
      <c r="AG142" t="inlineStr">
        <is>
          <t>mg/kg dry soil</t>
        </is>
      </c>
      <c r="AH142"/>
      <c r="AI142"/>
      <c r="AJ142"/>
      <c r="AK142"/>
      <c r="AL142"/>
      <c r="AM142"/>
      <c r="AN142"/>
      <c r="AO142"/>
      <c r="AP142"/>
      <c r="AQ142"/>
      <c r="AR142"/>
      <c r="AS142"/>
      <c r="AT142"/>
      <c r="AU142"/>
      <c r="AV142"/>
      <c r="AW142"/>
      <c r="AX142" t="inlineStr">
        <is>
          <t>Accumulation</t>
        </is>
      </c>
      <c r="AY142" t="inlineStr">
        <is>
          <t>Residue</t>
        </is>
      </c>
      <c r="AZ142" t="inlineStr">
        <is>
          <t>BCFD</t>
        </is>
      </c>
      <c r="BA142"/>
      <c r="BB142" t="n">
        <v>0.191</v>
      </c>
      <c r="BC142"/>
      <c r="BD142"/>
      <c r="BE142"/>
      <c r="BF142"/>
      <c r="BG142"/>
      <c r="BH142"/>
      <c r="BI142" t="inlineStr">
        <is>
          <t>mg/kg dry soil</t>
        </is>
      </c>
      <c r="BJ142" t="inlineStr">
        <is>
          <t>Shoot</t>
        </is>
      </c>
      <c r="BK142"/>
      <c r="BL142" t="n">
        <v>45.0</v>
      </c>
      <c r="BM142"/>
      <c r="BN142"/>
      <c r="BO142"/>
      <c r="BP142"/>
      <c r="BQ142" t="inlineStr">
        <is>
          <t>Day(s)</t>
        </is>
      </c>
      <c r="BR142" t="inlineStr">
        <is>
          <t>Yu,P.F., L. Xiang, X.H. Li, Z.R. Ding, C.H. Mo, Y.W. Li, H. Li, Q.Y. Cai, D.M. Zhou, and M.H. Wong</t>
        </is>
      </c>
      <c r="BS142" t="n">
        <v>182588.0</v>
      </c>
      <c r="BT142" t="inlineStr">
        <is>
          <t>Cultivar-Dependent Accumulation and Translocation of Perfluorooctanesulfonate Among Lettuce ( Lactuca sativa L.) Cultivars Grown on Perfluorooctanesulfonate-Contaminated Soil</t>
        </is>
      </c>
      <c r="BU142" t="inlineStr">
        <is>
          <t>J. Agric. Food Chem.66(50): 13096-13106</t>
        </is>
      </c>
      <c r="BV142" t="n">
        <v>2018.0</v>
      </c>
      <c r="BW14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3">
      <c r="A143" t="n">
        <v>1763231.0</v>
      </c>
      <c r="B143" t="inlineStr">
        <is>
          <t>1,1,2,2,3,3,4,4,5,5,6,6,7,7,8,8,8-Heptadecafluoro-1-octanesulfonic acid</t>
        </is>
      </c>
      <c r="C143"/>
      <c r="D143" t="inlineStr">
        <is>
          <t>Measured</t>
        </is>
      </c>
      <c r="E143" t="inlineStr">
        <is>
          <t>&gt;=</t>
        </is>
      </c>
      <c r="F143" t="n">
        <v>98.0</v>
      </c>
      <c r="G143"/>
      <c r="H143"/>
      <c r="I143"/>
      <c r="J143"/>
      <c r="K143" t="inlineStr">
        <is>
          <t>Lactuca sativa var. crispa</t>
        </is>
      </c>
      <c r="L143" t="inlineStr">
        <is>
          <t>Leaf Lettuce</t>
        </is>
      </c>
      <c r="M143" t="inlineStr">
        <is>
          <t>Flowers, Trees, Shrubs, Ferns</t>
        </is>
      </c>
      <c r="N143" t="inlineStr">
        <is>
          <t>Seedling</t>
        </is>
      </c>
      <c r="O143"/>
      <c r="P143" t="n">
        <v>14.0</v>
      </c>
      <c r="Q143"/>
      <c r="R143"/>
      <c r="S143"/>
      <c r="T143"/>
      <c r="U143" t="inlineStr">
        <is>
          <t>Day(s)</t>
        </is>
      </c>
      <c r="V143" t="inlineStr">
        <is>
          <t>Environmental, unspecified</t>
        </is>
      </c>
      <c r="W143" t="inlineStr">
        <is>
          <t>Natural soil</t>
        </is>
      </c>
      <c r="X143" t="inlineStr">
        <is>
          <t>Lab</t>
        </is>
      </c>
      <c r="Y143" t="n">
        <v>3.0</v>
      </c>
      <c r="Z143" t="inlineStr">
        <is>
          <t>Active ingredient</t>
        </is>
      </c>
      <c r="AA143"/>
      <c r="AB143" t="n">
        <v>0.193</v>
      </c>
      <c r="AC143"/>
      <c r="AD143"/>
      <c r="AE143"/>
      <c r="AF143"/>
      <c r="AG143" t="inlineStr">
        <is>
          <t>mg/kg dry soil</t>
        </is>
      </c>
      <c r="AH143"/>
      <c r="AI143"/>
      <c r="AJ143"/>
      <c r="AK143"/>
      <c r="AL143"/>
      <c r="AM143"/>
      <c r="AN143"/>
      <c r="AO143"/>
      <c r="AP143"/>
      <c r="AQ143"/>
      <c r="AR143"/>
      <c r="AS143"/>
      <c r="AT143"/>
      <c r="AU143"/>
      <c r="AV143"/>
      <c r="AW143"/>
      <c r="AX143" t="inlineStr">
        <is>
          <t>Accumulation</t>
        </is>
      </c>
      <c r="AY143" t="inlineStr">
        <is>
          <t>Residue</t>
        </is>
      </c>
      <c r="AZ143" t="inlineStr">
        <is>
          <t>BCFD</t>
        </is>
      </c>
      <c r="BA143"/>
      <c r="BB143" t="n">
        <v>0.193</v>
      </c>
      <c r="BC143"/>
      <c r="BD143"/>
      <c r="BE143"/>
      <c r="BF143"/>
      <c r="BG143"/>
      <c r="BH143"/>
      <c r="BI143" t="inlineStr">
        <is>
          <t>mg/kg dry soil</t>
        </is>
      </c>
      <c r="BJ143" t="inlineStr">
        <is>
          <t>Root</t>
        </is>
      </c>
      <c r="BK143"/>
      <c r="BL143" t="n">
        <v>45.0</v>
      </c>
      <c r="BM143"/>
      <c r="BN143"/>
      <c r="BO143"/>
      <c r="BP143"/>
      <c r="BQ143" t="inlineStr">
        <is>
          <t>Day(s)</t>
        </is>
      </c>
      <c r="BR143" t="inlineStr">
        <is>
          <t>Yu,P.F., L. Xiang, X.H. Li, Z.R. Ding, C.H. Mo, Y.W. Li, H. Li, Q.Y. Cai, D.M. Zhou, and M.H. Wong</t>
        </is>
      </c>
      <c r="BS143" t="n">
        <v>182588.0</v>
      </c>
      <c r="BT143" t="inlineStr">
        <is>
          <t>Cultivar-Dependent Accumulation and Translocation of Perfluorooctanesulfonate Among Lettuce ( Lactuca sativa L.) Cultivars Grown on Perfluorooctanesulfonate-Contaminated Soil</t>
        </is>
      </c>
      <c r="BU143" t="inlineStr">
        <is>
          <t>J. Agric. Food Chem.66(50): 13096-13106</t>
        </is>
      </c>
      <c r="BV143" t="n">
        <v>2018.0</v>
      </c>
      <c r="BW14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4">
      <c r="A144" t="n">
        <v>1763231.0</v>
      </c>
      <c r="B144" t="inlineStr">
        <is>
          <t>1,1,2,2,3,3,4,4,5,5,6,6,7,7,8,8,8-Heptadecafluoro-1-octanesulfonic acid</t>
        </is>
      </c>
      <c r="C144"/>
      <c r="D144" t="inlineStr">
        <is>
          <t>Measured</t>
        </is>
      </c>
      <c r="E144" t="inlineStr">
        <is>
          <t>&gt;=</t>
        </is>
      </c>
      <c r="F144" t="n">
        <v>98.0</v>
      </c>
      <c r="G144"/>
      <c r="H144"/>
      <c r="I144"/>
      <c r="J144"/>
      <c r="K144" t="inlineStr">
        <is>
          <t>Lactuca sativa var. crispa</t>
        </is>
      </c>
      <c r="L144" t="inlineStr">
        <is>
          <t>Leaf Lettuce</t>
        </is>
      </c>
      <c r="M144" t="inlineStr">
        <is>
          <t>Flowers, Trees, Shrubs, Ferns</t>
        </is>
      </c>
      <c r="N144" t="inlineStr">
        <is>
          <t>Seedling</t>
        </is>
      </c>
      <c r="O144"/>
      <c r="P144" t="n">
        <v>14.0</v>
      </c>
      <c r="Q144"/>
      <c r="R144"/>
      <c r="S144"/>
      <c r="T144"/>
      <c r="U144" t="inlineStr">
        <is>
          <t>Day(s)</t>
        </is>
      </c>
      <c r="V144" t="inlineStr">
        <is>
          <t>Environmental, unspecified</t>
        </is>
      </c>
      <c r="W144" t="inlineStr">
        <is>
          <t>Natural soil</t>
        </is>
      </c>
      <c r="X144" t="inlineStr">
        <is>
          <t>Lab</t>
        </is>
      </c>
      <c r="Y144" t="n">
        <v>3.0</v>
      </c>
      <c r="Z144" t="inlineStr">
        <is>
          <t>Active ingredient</t>
        </is>
      </c>
      <c r="AA144"/>
      <c r="AB144" t="n">
        <v>0.193</v>
      </c>
      <c r="AC144"/>
      <c r="AD144"/>
      <c r="AE144"/>
      <c r="AF144"/>
      <c r="AG144" t="inlineStr">
        <is>
          <t>mg/kg dry soil</t>
        </is>
      </c>
      <c r="AH144"/>
      <c r="AI144"/>
      <c r="AJ144"/>
      <c r="AK144"/>
      <c r="AL144"/>
      <c r="AM144"/>
      <c r="AN144"/>
      <c r="AO144"/>
      <c r="AP144"/>
      <c r="AQ144"/>
      <c r="AR144"/>
      <c r="AS144"/>
      <c r="AT144"/>
      <c r="AU144"/>
      <c r="AV144"/>
      <c r="AW144"/>
      <c r="AX144" t="inlineStr">
        <is>
          <t>Accumulation</t>
        </is>
      </c>
      <c r="AY144" t="inlineStr">
        <is>
          <t>Residue</t>
        </is>
      </c>
      <c r="AZ144" t="inlineStr">
        <is>
          <t>BCFD</t>
        </is>
      </c>
      <c r="BA144"/>
      <c r="BB144" t="n">
        <v>0.193</v>
      </c>
      <c r="BC144"/>
      <c r="BD144"/>
      <c r="BE144"/>
      <c r="BF144"/>
      <c r="BG144"/>
      <c r="BH144"/>
      <c r="BI144" t="inlineStr">
        <is>
          <t>mg/kg dry soil</t>
        </is>
      </c>
      <c r="BJ144" t="inlineStr">
        <is>
          <t>Shoot</t>
        </is>
      </c>
      <c r="BK144"/>
      <c r="BL144" t="n">
        <v>45.0</v>
      </c>
      <c r="BM144"/>
      <c r="BN144"/>
      <c r="BO144"/>
      <c r="BP144"/>
      <c r="BQ144" t="inlineStr">
        <is>
          <t>Day(s)</t>
        </is>
      </c>
      <c r="BR144" t="inlineStr">
        <is>
          <t>Yu,P.F., L. Xiang, X.H. Li, Z.R. Ding, C.H. Mo, Y.W. Li, H. Li, Q.Y. Cai, D.M. Zhou, and M.H. Wong</t>
        </is>
      </c>
      <c r="BS144" t="n">
        <v>182588.0</v>
      </c>
      <c r="BT144" t="inlineStr">
        <is>
          <t>Cultivar-Dependent Accumulation and Translocation of Perfluorooctanesulfonate Among Lettuce ( Lactuca sativa L.) Cultivars Grown on Perfluorooctanesulfonate-Contaminated Soil</t>
        </is>
      </c>
      <c r="BU144" t="inlineStr">
        <is>
          <t>J. Agric. Food Chem.66(50): 13096-13106</t>
        </is>
      </c>
      <c r="BV144" t="n">
        <v>2018.0</v>
      </c>
      <c r="BW14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5">
      <c r="A145" t="n">
        <v>1763231.0</v>
      </c>
      <c r="B145" t="inlineStr">
        <is>
          <t>1,1,2,2,3,3,4,4,5,5,6,6,7,7,8,8,8-Heptadecafluoro-1-octanesulfonic acid</t>
        </is>
      </c>
      <c r="C145"/>
      <c r="D145" t="inlineStr">
        <is>
          <t>Measured</t>
        </is>
      </c>
      <c r="E145" t="inlineStr">
        <is>
          <t>&gt;=</t>
        </is>
      </c>
      <c r="F145" t="n">
        <v>98.0</v>
      </c>
      <c r="G145"/>
      <c r="H145"/>
      <c r="I145"/>
      <c r="J145"/>
      <c r="K145" t="inlineStr">
        <is>
          <t>Lactuca sativa var. crispa</t>
        </is>
      </c>
      <c r="L145" t="inlineStr">
        <is>
          <t>Leaf Lettuce</t>
        </is>
      </c>
      <c r="M145" t="inlineStr">
        <is>
          <t>Flowers, Trees, Shrubs, Ferns</t>
        </is>
      </c>
      <c r="N145" t="inlineStr">
        <is>
          <t>Seedling</t>
        </is>
      </c>
      <c r="O145"/>
      <c r="P145" t="n">
        <v>14.0</v>
      </c>
      <c r="Q145"/>
      <c r="R145"/>
      <c r="S145"/>
      <c r="T145"/>
      <c r="U145" t="inlineStr">
        <is>
          <t>Day(s)</t>
        </is>
      </c>
      <c r="V145" t="inlineStr">
        <is>
          <t>Environmental, unspecified</t>
        </is>
      </c>
      <c r="W145" t="inlineStr">
        <is>
          <t>Natural soil</t>
        </is>
      </c>
      <c r="X145" t="inlineStr">
        <is>
          <t>Lab</t>
        </is>
      </c>
      <c r="Y145" t="n">
        <v>3.0</v>
      </c>
      <c r="Z145" t="inlineStr">
        <is>
          <t>Active ingredient</t>
        </is>
      </c>
      <c r="AA145"/>
      <c r="AB145" t="n">
        <v>0.995</v>
      </c>
      <c r="AC145"/>
      <c r="AD145"/>
      <c r="AE145"/>
      <c r="AF145"/>
      <c r="AG145" t="inlineStr">
        <is>
          <t>mg/kg dry soil</t>
        </is>
      </c>
      <c r="AH145"/>
      <c r="AI145"/>
      <c r="AJ145"/>
      <c r="AK145"/>
      <c r="AL145"/>
      <c r="AM145"/>
      <c r="AN145"/>
      <c r="AO145"/>
      <c r="AP145"/>
      <c r="AQ145"/>
      <c r="AR145"/>
      <c r="AS145"/>
      <c r="AT145"/>
      <c r="AU145"/>
      <c r="AV145"/>
      <c r="AW145"/>
      <c r="AX145" t="inlineStr">
        <is>
          <t>Accumulation</t>
        </is>
      </c>
      <c r="AY145" t="inlineStr">
        <is>
          <t>Residue</t>
        </is>
      </c>
      <c r="AZ145" t="inlineStr">
        <is>
          <t>BCFD</t>
        </is>
      </c>
      <c r="BA145"/>
      <c r="BB145" t="n">
        <v>0.995</v>
      </c>
      <c r="BC145"/>
      <c r="BD145"/>
      <c r="BE145"/>
      <c r="BF145"/>
      <c r="BG145"/>
      <c r="BH145"/>
      <c r="BI145" t="inlineStr">
        <is>
          <t>mg/kg dry soil</t>
        </is>
      </c>
      <c r="BJ145" t="inlineStr">
        <is>
          <t>Shoot</t>
        </is>
      </c>
      <c r="BK145"/>
      <c r="BL145" t="n">
        <v>45.0</v>
      </c>
      <c r="BM145"/>
      <c r="BN145"/>
      <c r="BO145"/>
      <c r="BP145"/>
      <c r="BQ145" t="inlineStr">
        <is>
          <t>Day(s)</t>
        </is>
      </c>
      <c r="BR145" t="inlineStr">
        <is>
          <t>Yu,P.F., L. Xiang, X.H. Li, Z.R. Ding, C.H. Mo, Y.W. Li, H. Li, Q.Y. Cai, D.M. Zhou, and M.H. Wong</t>
        </is>
      </c>
      <c r="BS145" t="n">
        <v>182588.0</v>
      </c>
      <c r="BT145" t="inlineStr">
        <is>
          <t>Cultivar-Dependent Accumulation and Translocation of Perfluorooctanesulfonate Among Lettuce ( Lactuca sativa L.) Cultivars Grown on Perfluorooctanesulfonate-Contaminated Soil</t>
        </is>
      </c>
      <c r="BU145" t="inlineStr">
        <is>
          <t>J. Agric. Food Chem.66(50): 13096-13106</t>
        </is>
      </c>
      <c r="BV145" t="n">
        <v>2018.0</v>
      </c>
      <c r="BW14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6">
      <c r="A146" t="n">
        <v>1763231.0</v>
      </c>
      <c r="B146" t="inlineStr">
        <is>
          <t>1,1,2,2,3,3,4,4,5,5,6,6,7,7,8,8,8-Heptadecafluoro-1-octanesulfonic acid</t>
        </is>
      </c>
      <c r="C146"/>
      <c r="D146" t="inlineStr">
        <is>
          <t>Measured</t>
        </is>
      </c>
      <c r="E146" t="inlineStr">
        <is>
          <t>&gt;=</t>
        </is>
      </c>
      <c r="F146" t="n">
        <v>98.0</v>
      </c>
      <c r="G146"/>
      <c r="H146"/>
      <c r="I146"/>
      <c r="J146"/>
      <c r="K146" t="inlineStr">
        <is>
          <t>Lactuca sativa var. crispa</t>
        </is>
      </c>
      <c r="L146" t="inlineStr">
        <is>
          <t>Leaf Lettuce</t>
        </is>
      </c>
      <c r="M146" t="inlineStr">
        <is>
          <t>Flowers, Trees, Shrubs, Ferns</t>
        </is>
      </c>
      <c r="N146" t="inlineStr">
        <is>
          <t>Seedling</t>
        </is>
      </c>
      <c r="O146"/>
      <c r="P146" t="n">
        <v>14.0</v>
      </c>
      <c r="Q146"/>
      <c r="R146"/>
      <c r="S146"/>
      <c r="T146"/>
      <c r="U146" t="inlineStr">
        <is>
          <t>Day(s)</t>
        </is>
      </c>
      <c r="V146" t="inlineStr">
        <is>
          <t>Environmental, unspecified</t>
        </is>
      </c>
      <c r="W146" t="inlineStr">
        <is>
          <t>Natural soil</t>
        </is>
      </c>
      <c r="X146" t="inlineStr">
        <is>
          <t>Lab</t>
        </is>
      </c>
      <c r="Y146" t="n">
        <v>3.0</v>
      </c>
      <c r="Z146" t="inlineStr">
        <is>
          <t>Active ingredient</t>
        </is>
      </c>
      <c r="AA146"/>
      <c r="AB146" t="n">
        <v>0.187</v>
      </c>
      <c r="AC146"/>
      <c r="AD146"/>
      <c r="AE146"/>
      <c r="AF146"/>
      <c r="AG146" t="inlineStr">
        <is>
          <t>mg/kg dry soil</t>
        </is>
      </c>
      <c r="AH146"/>
      <c r="AI146"/>
      <c r="AJ146"/>
      <c r="AK146"/>
      <c r="AL146"/>
      <c r="AM146"/>
      <c r="AN146"/>
      <c r="AO146"/>
      <c r="AP146"/>
      <c r="AQ146"/>
      <c r="AR146"/>
      <c r="AS146"/>
      <c r="AT146"/>
      <c r="AU146"/>
      <c r="AV146"/>
      <c r="AW146"/>
      <c r="AX146" t="inlineStr">
        <is>
          <t>Accumulation</t>
        </is>
      </c>
      <c r="AY146" t="inlineStr">
        <is>
          <t>Residue</t>
        </is>
      </c>
      <c r="AZ146" t="inlineStr">
        <is>
          <t>BCFD</t>
        </is>
      </c>
      <c r="BA146"/>
      <c r="BB146" t="n">
        <v>0.187</v>
      </c>
      <c r="BC146"/>
      <c r="BD146"/>
      <c r="BE146"/>
      <c r="BF146"/>
      <c r="BG146"/>
      <c r="BH146"/>
      <c r="BI146" t="inlineStr">
        <is>
          <t>mg/kg dry soil</t>
        </is>
      </c>
      <c r="BJ146" t="inlineStr">
        <is>
          <t>Shoot</t>
        </is>
      </c>
      <c r="BK146"/>
      <c r="BL146" t="n">
        <v>45.0</v>
      </c>
      <c r="BM146"/>
      <c r="BN146"/>
      <c r="BO146"/>
      <c r="BP146"/>
      <c r="BQ146" t="inlineStr">
        <is>
          <t>Day(s)</t>
        </is>
      </c>
      <c r="BR146" t="inlineStr">
        <is>
          <t>Yu,P.F., L. Xiang, X.H. Li, Z.R. Ding, C.H. Mo, Y.W. Li, H. Li, Q.Y. Cai, D.M. Zhou, and M.H. Wong</t>
        </is>
      </c>
      <c r="BS146" t="n">
        <v>182588.0</v>
      </c>
      <c r="BT146" t="inlineStr">
        <is>
          <t>Cultivar-Dependent Accumulation and Translocation of Perfluorooctanesulfonate Among Lettuce ( Lactuca sativa L.) Cultivars Grown on Perfluorooctanesulfonate-Contaminated Soil</t>
        </is>
      </c>
      <c r="BU146" t="inlineStr">
        <is>
          <t>J. Agric. Food Chem.66(50): 13096-13106</t>
        </is>
      </c>
      <c r="BV146" t="n">
        <v>2018.0</v>
      </c>
      <c r="BW14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7">
      <c r="A147" t="n">
        <v>1763231.0</v>
      </c>
      <c r="B147" t="inlineStr">
        <is>
          <t>1,1,2,2,3,3,4,4,5,5,6,6,7,7,8,8,8-Heptadecafluoro-1-octanesulfonic acid</t>
        </is>
      </c>
      <c r="C147"/>
      <c r="D147" t="inlineStr">
        <is>
          <t>Measured</t>
        </is>
      </c>
      <c r="E147" t="inlineStr">
        <is>
          <t>&gt;=</t>
        </is>
      </c>
      <c r="F147" t="n">
        <v>98.0</v>
      </c>
      <c r="G147"/>
      <c r="H147"/>
      <c r="I147"/>
      <c r="J147"/>
      <c r="K147" t="inlineStr">
        <is>
          <t>Lactuca sativa var. crispa</t>
        </is>
      </c>
      <c r="L147" t="inlineStr">
        <is>
          <t>Leaf Lettuce</t>
        </is>
      </c>
      <c r="M147" t="inlineStr">
        <is>
          <t>Flowers, Trees, Shrubs, Ferns</t>
        </is>
      </c>
      <c r="N147" t="inlineStr">
        <is>
          <t>Seedling</t>
        </is>
      </c>
      <c r="O147"/>
      <c r="P147" t="n">
        <v>14.0</v>
      </c>
      <c r="Q147"/>
      <c r="R147"/>
      <c r="S147"/>
      <c r="T147"/>
      <c r="U147" t="inlineStr">
        <is>
          <t>Day(s)</t>
        </is>
      </c>
      <c r="V147" t="inlineStr">
        <is>
          <t>Environmental, unspecified</t>
        </is>
      </c>
      <c r="W147" t="inlineStr">
        <is>
          <t>Natural soil</t>
        </is>
      </c>
      <c r="X147" t="inlineStr">
        <is>
          <t>Lab</t>
        </is>
      </c>
      <c r="Y147" t="n">
        <v>3.0</v>
      </c>
      <c r="Z147" t="inlineStr">
        <is>
          <t>Active ingredient</t>
        </is>
      </c>
      <c r="AA147"/>
      <c r="AB147" t="n">
        <v>0.194</v>
      </c>
      <c r="AC147"/>
      <c r="AD147"/>
      <c r="AE147"/>
      <c r="AF147"/>
      <c r="AG147" t="inlineStr">
        <is>
          <t>mg/kg dry soil</t>
        </is>
      </c>
      <c r="AH147"/>
      <c r="AI147"/>
      <c r="AJ147"/>
      <c r="AK147"/>
      <c r="AL147"/>
      <c r="AM147"/>
      <c r="AN147"/>
      <c r="AO147"/>
      <c r="AP147"/>
      <c r="AQ147"/>
      <c r="AR147"/>
      <c r="AS147"/>
      <c r="AT147"/>
      <c r="AU147"/>
      <c r="AV147"/>
      <c r="AW147"/>
      <c r="AX147" t="inlineStr">
        <is>
          <t>Accumulation</t>
        </is>
      </c>
      <c r="AY147" t="inlineStr">
        <is>
          <t>Residue</t>
        </is>
      </c>
      <c r="AZ147" t="inlineStr">
        <is>
          <t>BCFD</t>
        </is>
      </c>
      <c r="BA147"/>
      <c r="BB147" t="n">
        <v>0.194</v>
      </c>
      <c r="BC147"/>
      <c r="BD147"/>
      <c r="BE147"/>
      <c r="BF147"/>
      <c r="BG147"/>
      <c r="BH147"/>
      <c r="BI147" t="inlineStr">
        <is>
          <t>mg/kg dry soil</t>
        </is>
      </c>
      <c r="BJ147" t="inlineStr">
        <is>
          <t>Root</t>
        </is>
      </c>
      <c r="BK147"/>
      <c r="BL147" t="n">
        <v>45.0</v>
      </c>
      <c r="BM147"/>
      <c r="BN147"/>
      <c r="BO147"/>
      <c r="BP147"/>
      <c r="BQ147" t="inlineStr">
        <is>
          <t>Day(s)</t>
        </is>
      </c>
      <c r="BR147" t="inlineStr">
        <is>
          <t>Yu,P.F., L. Xiang, X.H. Li, Z.R. Ding, C.H. Mo, Y.W. Li, H. Li, Q.Y. Cai, D.M. Zhou, and M.H. Wong</t>
        </is>
      </c>
      <c r="BS147" t="n">
        <v>182588.0</v>
      </c>
      <c r="BT147" t="inlineStr">
        <is>
          <t>Cultivar-Dependent Accumulation and Translocation of Perfluorooctanesulfonate Among Lettuce ( Lactuca sativa L.) Cultivars Grown on Perfluorooctanesulfonate-Contaminated Soil</t>
        </is>
      </c>
      <c r="BU147" t="inlineStr">
        <is>
          <t>J. Agric. Food Chem.66(50): 13096-13106</t>
        </is>
      </c>
      <c r="BV147" t="n">
        <v>2018.0</v>
      </c>
      <c r="BW14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8">
      <c r="A148" t="n">
        <v>1763231.0</v>
      </c>
      <c r="B148" t="inlineStr">
        <is>
          <t>1,1,2,2,3,3,4,4,5,5,6,6,7,7,8,8,8-Heptadecafluoro-1-octanesulfonic acid</t>
        </is>
      </c>
      <c r="C148"/>
      <c r="D148" t="inlineStr">
        <is>
          <t>Measured</t>
        </is>
      </c>
      <c r="E148" t="inlineStr">
        <is>
          <t>&gt;=</t>
        </is>
      </c>
      <c r="F148" t="n">
        <v>98.0</v>
      </c>
      <c r="G148"/>
      <c r="H148"/>
      <c r="I148"/>
      <c r="J148"/>
      <c r="K148" t="inlineStr">
        <is>
          <t>Lactuca sativa var. crispa</t>
        </is>
      </c>
      <c r="L148" t="inlineStr">
        <is>
          <t>Leaf Lettuce</t>
        </is>
      </c>
      <c r="M148" t="inlineStr">
        <is>
          <t>Flowers, Trees, Shrubs, Ferns</t>
        </is>
      </c>
      <c r="N148" t="inlineStr">
        <is>
          <t>Seedling</t>
        </is>
      </c>
      <c r="O148"/>
      <c r="P148" t="n">
        <v>14.0</v>
      </c>
      <c r="Q148"/>
      <c r="R148"/>
      <c r="S148"/>
      <c r="T148"/>
      <c r="U148" t="inlineStr">
        <is>
          <t>Day(s)</t>
        </is>
      </c>
      <c r="V148" t="inlineStr">
        <is>
          <t>Environmental, unspecified</t>
        </is>
      </c>
      <c r="W148" t="inlineStr">
        <is>
          <t>Natural soil</t>
        </is>
      </c>
      <c r="X148" t="inlineStr">
        <is>
          <t>Lab</t>
        </is>
      </c>
      <c r="Y148" t="n">
        <v>3.0</v>
      </c>
      <c r="Z148" t="inlineStr">
        <is>
          <t>Active ingredient</t>
        </is>
      </c>
      <c r="AA148"/>
      <c r="AB148" t="n">
        <v>0.984</v>
      </c>
      <c r="AC148"/>
      <c r="AD148"/>
      <c r="AE148"/>
      <c r="AF148"/>
      <c r="AG148" t="inlineStr">
        <is>
          <t>mg/kg dry soil</t>
        </is>
      </c>
      <c r="AH148"/>
      <c r="AI148"/>
      <c r="AJ148"/>
      <c r="AK148"/>
      <c r="AL148"/>
      <c r="AM148"/>
      <c r="AN148"/>
      <c r="AO148"/>
      <c r="AP148"/>
      <c r="AQ148"/>
      <c r="AR148"/>
      <c r="AS148"/>
      <c r="AT148"/>
      <c r="AU148"/>
      <c r="AV148"/>
      <c r="AW148"/>
      <c r="AX148" t="inlineStr">
        <is>
          <t>Accumulation</t>
        </is>
      </c>
      <c r="AY148" t="inlineStr">
        <is>
          <t>Residue</t>
        </is>
      </c>
      <c r="AZ148" t="inlineStr">
        <is>
          <t>BCFD</t>
        </is>
      </c>
      <c r="BA148"/>
      <c r="BB148" t="n">
        <v>0.984</v>
      </c>
      <c r="BC148"/>
      <c r="BD148"/>
      <c r="BE148"/>
      <c r="BF148"/>
      <c r="BG148"/>
      <c r="BH148"/>
      <c r="BI148" t="inlineStr">
        <is>
          <t>mg/kg dry soil</t>
        </is>
      </c>
      <c r="BJ148" t="inlineStr">
        <is>
          <t>Root</t>
        </is>
      </c>
      <c r="BK148"/>
      <c r="BL148" t="n">
        <v>45.0</v>
      </c>
      <c r="BM148"/>
      <c r="BN148"/>
      <c r="BO148"/>
      <c r="BP148"/>
      <c r="BQ148" t="inlineStr">
        <is>
          <t>Day(s)</t>
        </is>
      </c>
      <c r="BR148" t="inlineStr">
        <is>
          <t>Yu,P.F., L. Xiang, X.H. Li, Z.R. Ding, C.H. Mo, Y.W. Li, H. Li, Q.Y. Cai, D.M. Zhou, and M.H. Wong</t>
        </is>
      </c>
      <c r="BS148" t="n">
        <v>182588.0</v>
      </c>
      <c r="BT148" t="inlineStr">
        <is>
          <t>Cultivar-Dependent Accumulation and Translocation of Perfluorooctanesulfonate Among Lettuce ( Lactuca sativa L.) Cultivars Grown on Perfluorooctanesulfonate-Contaminated Soil</t>
        </is>
      </c>
      <c r="BU148" t="inlineStr">
        <is>
          <t>J. Agric. Food Chem.66(50): 13096-13106</t>
        </is>
      </c>
      <c r="BV148" t="n">
        <v>2018.0</v>
      </c>
      <c r="BW14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49">
      <c r="A149" t="n">
        <v>1763231.0</v>
      </c>
      <c r="B149" t="inlineStr">
        <is>
          <t>1,1,2,2,3,3,4,4,5,5,6,6,7,7,8,8,8-Heptadecafluoro-1-octanesulfonic acid</t>
        </is>
      </c>
      <c r="C149"/>
      <c r="D149" t="inlineStr">
        <is>
          <t>Measured</t>
        </is>
      </c>
      <c r="E149" t="inlineStr">
        <is>
          <t>&gt;=</t>
        </is>
      </c>
      <c r="F149" t="n">
        <v>98.0</v>
      </c>
      <c r="G149"/>
      <c r="H149"/>
      <c r="I149"/>
      <c r="J149"/>
      <c r="K149" t="inlineStr">
        <is>
          <t>Lactuca sativa var. crispa</t>
        </is>
      </c>
      <c r="L149" t="inlineStr">
        <is>
          <t>Leaf Lettuce</t>
        </is>
      </c>
      <c r="M149" t="inlineStr">
        <is>
          <t>Flowers, Trees, Shrubs, Ferns</t>
        </is>
      </c>
      <c r="N149" t="inlineStr">
        <is>
          <t>Seedling</t>
        </is>
      </c>
      <c r="O149"/>
      <c r="P149" t="n">
        <v>14.0</v>
      </c>
      <c r="Q149"/>
      <c r="R149"/>
      <c r="S149"/>
      <c r="T149"/>
      <c r="U149" t="inlineStr">
        <is>
          <t>Day(s)</t>
        </is>
      </c>
      <c r="V149" t="inlineStr">
        <is>
          <t>Environmental, unspecified</t>
        </is>
      </c>
      <c r="W149" t="inlineStr">
        <is>
          <t>Natural soil</t>
        </is>
      </c>
      <c r="X149" t="inlineStr">
        <is>
          <t>Lab</t>
        </is>
      </c>
      <c r="Y149" t="n">
        <v>3.0</v>
      </c>
      <c r="Z149" t="inlineStr">
        <is>
          <t>Active ingredient</t>
        </is>
      </c>
      <c r="AA149"/>
      <c r="AB149" t="n">
        <v>0.984</v>
      </c>
      <c r="AC149"/>
      <c r="AD149"/>
      <c r="AE149"/>
      <c r="AF149"/>
      <c r="AG149" t="inlineStr">
        <is>
          <t>mg/kg dry soil</t>
        </is>
      </c>
      <c r="AH149"/>
      <c r="AI149"/>
      <c r="AJ149"/>
      <c r="AK149"/>
      <c r="AL149"/>
      <c r="AM149"/>
      <c r="AN149"/>
      <c r="AO149"/>
      <c r="AP149"/>
      <c r="AQ149"/>
      <c r="AR149"/>
      <c r="AS149"/>
      <c r="AT149"/>
      <c r="AU149"/>
      <c r="AV149"/>
      <c r="AW149"/>
      <c r="AX149" t="inlineStr">
        <is>
          <t>Accumulation</t>
        </is>
      </c>
      <c r="AY149" t="inlineStr">
        <is>
          <t>Residue</t>
        </is>
      </c>
      <c r="AZ149" t="inlineStr">
        <is>
          <t>BCFD</t>
        </is>
      </c>
      <c r="BA149"/>
      <c r="BB149" t="n">
        <v>0.984</v>
      </c>
      <c r="BC149"/>
      <c r="BD149"/>
      <c r="BE149"/>
      <c r="BF149"/>
      <c r="BG149"/>
      <c r="BH149"/>
      <c r="BI149" t="inlineStr">
        <is>
          <t>mg/kg dry soil</t>
        </is>
      </c>
      <c r="BJ149" t="inlineStr">
        <is>
          <t>Shoot</t>
        </is>
      </c>
      <c r="BK149"/>
      <c r="BL149" t="n">
        <v>45.0</v>
      </c>
      <c r="BM149"/>
      <c r="BN149"/>
      <c r="BO149"/>
      <c r="BP149"/>
      <c r="BQ149" t="inlineStr">
        <is>
          <t>Day(s)</t>
        </is>
      </c>
      <c r="BR149" t="inlineStr">
        <is>
          <t>Yu,P.F., L. Xiang, X.H. Li, Z.R. Ding, C.H. Mo, Y.W. Li, H. Li, Q.Y. Cai, D.M. Zhou, and M.H. Wong</t>
        </is>
      </c>
      <c r="BS149" t="n">
        <v>182588.0</v>
      </c>
      <c r="BT149" t="inlineStr">
        <is>
          <t>Cultivar-Dependent Accumulation and Translocation of Perfluorooctanesulfonate Among Lettuce ( Lactuca sativa L.) Cultivars Grown on Perfluorooctanesulfonate-Contaminated Soil</t>
        </is>
      </c>
      <c r="BU149" t="inlineStr">
        <is>
          <t>J. Agric. Food Chem.66(50): 13096-13106</t>
        </is>
      </c>
      <c r="BV149" t="n">
        <v>2018.0</v>
      </c>
      <c r="BW14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0">
      <c r="A150" t="n">
        <v>1763231.0</v>
      </c>
      <c r="B150" t="inlineStr">
        <is>
          <t>1,1,2,2,3,3,4,4,5,5,6,6,7,7,8,8,8-Heptadecafluoro-1-octanesulfonic acid</t>
        </is>
      </c>
      <c r="C150"/>
      <c r="D150" t="inlineStr">
        <is>
          <t>Measured</t>
        </is>
      </c>
      <c r="E150" t="inlineStr">
        <is>
          <t>&gt;=</t>
        </is>
      </c>
      <c r="F150" t="n">
        <v>98.0</v>
      </c>
      <c r="G150"/>
      <c r="H150"/>
      <c r="I150"/>
      <c r="J150"/>
      <c r="K150" t="inlineStr">
        <is>
          <t>Lactuca sativa var. crispa</t>
        </is>
      </c>
      <c r="L150" t="inlineStr">
        <is>
          <t>Leaf Lettuce</t>
        </is>
      </c>
      <c r="M150" t="inlineStr">
        <is>
          <t>Flowers, Trees, Shrubs, Ferns</t>
        </is>
      </c>
      <c r="N150" t="inlineStr">
        <is>
          <t>Seedling</t>
        </is>
      </c>
      <c r="O150"/>
      <c r="P150" t="n">
        <v>14.0</v>
      </c>
      <c r="Q150"/>
      <c r="R150"/>
      <c r="S150"/>
      <c r="T150"/>
      <c r="U150" t="inlineStr">
        <is>
          <t>Day(s)</t>
        </is>
      </c>
      <c r="V150" t="inlineStr">
        <is>
          <t>Environmental, unspecified</t>
        </is>
      </c>
      <c r="W150" t="inlineStr">
        <is>
          <t>Natural soil</t>
        </is>
      </c>
      <c r="X150" t="inlineStr">
        <is>
          <t>Lab</t>
        </is>
      </c>
      <c r="Y150" t="n">
        <v>3.0</v>
      </c>
      <c r="Z150" t="inlineStr">
        <is>
          <t>Active ingredient</t>
        </is>
      </c>
      <c r="AA150"/>
      <c r="AB150" t="n">
        <v>0.194</v>
      </c>
      <c r="AC150"/>
      <c r="AD150"/>
      <c r="AE150"/>
      <c r="AF150"/>
      <c r="AG150" t="inlineStr">
        <is>
          <t>mg/kg dry soil</t>
        </is>
      </c>
      <c r="AH150"/>
      <c r="AI150"/>
      <c r="AJ150"/>
      <c r="AK150"/>
      <c r="AL150"/>
      <c r="AM150"/>
      <c r="AN150"/>
      <c r="AO150"/>
      <c r="AP150"/>
      <c r="AQ150"/>
      <c r="AR150"/>
      <c r="AS150"/>
      <c r="AT150"/>
      <c r="AU150"/>
      <c r="AV150"/>
      <c r="AW150"/>
      <c r="AX150" t="inlineStr">
        <is>
          <t>Accumulation</t>
        </is>
      </c>
      <c r="AY150" t="inlineStr">
        <is>
          <t>Residue</t>
        </is>
      </c>
      <c r="AZ150" t="inlineStr">
        <is>
          <t>BCFD</t>
        </is>
      </c>
      <c r="BA150"/>
      <c r="BB150" t="n">
        <v>0.194</v>
      </c>
      <c r="BC150"/>
      <c r="BD150"/>
      <c r="BE150"/>
      <c r="BF150"/>
      <c r="BG150"/>
      <c r="BH150"/>
      <c r="BI150" t="inlineStr">
        <is>
          <t>mg/kg dry soil</t>
        </is>
      </c>
      <c r="BJ150" t="inlineStr">
        <is>
          <t>Shoot</t>
        </is>
      </c>
      <c r="BK150"/>
      <c r="BL150" t="n">
        <v>45.0</v>
      </c>
      <c r="BM150"/>
      <c r="BN150"/>
      <c r="BO150"/>
      <c r="BP150"/>
      <c r="BQ150" t="inlineStr">
        <is>
          <t>Day(s)</t>
        </is>
      </c>
      <c r="BR150" t="inlineStr">
        <is>
          <t>Yu,P.F., L. Xiang, X.H. Li, Z.R. Ding, C.H. Mo, Y.W. Li, H. Li, Q.Y. Cai, D.M. Zhou, and M.H. Wong</t>
        </is>
      </c>
      <c r="BS150" t="n">
        <v>182588.0</v>
      </c>
      <c r="BT150" t="inlineStr">
        <is>
          <t>Cultivar-Dependent Accumulation and Translocation of Perfluorooctanesulfonate Among Lettuce ( Lactuca sativa L.) Cultivars Grown on Perfluorooctanesulfonate-Contaminated Soil</t>
        </is>
      </c>
      <c r="BU150" t="inlineStr">
        <is>
          <t>J. Agric. Food Chem.66(50): 13096-13106</t>
        </is>
      </c>
      <c r="BV150" t="n">
        <v>2018.0</v>
      </c>
      <c r="BW15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1">
      <c r="A151" t="n">
        <v>1763231.0</v>
      </c>
      <c r="B151" t="inlineStr">
        <is>
          <t>1,1,2,2,3,3,4,4,5,5,6,6,7,7,8,8,8-Heptadecafluoro-1-octanesulfonic acid</t>
        </is>
      </c>
      <c r="C151"/>
      <c r="D151" t="inlineStr">
        <is>
          <t>Measured</t>
        </is>
      </c>
      <c r="E151" t="inlineStr">
        <is>
          <t>&gt;=</t>
        </is>
      </c>
      <c r="F151" t="n">
        <v>98.0</v>
      </c>
      <c r="G151"/>
      <c r="H151"/>
      <c r="I151"/>
      <c r="J151"/>
      <c r="K151" t="inlineStr">
        <is>
          <t>Lactuca sativa var. crispa</t>
        </is>
      </c>
      <c r="L151" t="inlineStr">
        <is>
          <t>Leaf Lettuce</t>
        </is>
      </c>
      <c r="M151" t="inlineStr">
        <is>
          <t>Flowers, Trees, Shrubs, Ferns</t>
        </is>
      </c>
      <c r="N151" t="inlineStr">
        <is>
          <t>Seedling</t>
        </is>
      </c>
      <c r="O151"/>
      <c r="P151" t="n">
        <v>14.0</v>
      </c>
      <c r="Q151"/>
      <c r="R151"/>
      <c r="S151"/>
      <c r="T151"/>
      <c r="U151" t="inlineStr">
        <is>
          <t>Day(s)</t>
        </is>
      </c>
      <c r="V151" t="inlineStr">
        <is>
          <t>Environmental, unspecified</t>
        </is>
      </c>
      <c r="W151" t="inlineStr">
        <is>
          <t>Natural soil</t>
        </is>
      </c>
      <c r="X151" t="inlineStr">
        <is>
          <t>Lab</t>
        </is>
      </c>
      <c r="Y151" t="n">
        <v>3.0</v>
      </c>
      <c r="Z151" t="inlineStr">
        <is>
          <t>Active ingredient</t>
        </is>
      </c>
      <c r="AA151"/>
      <c r="AB151" t="n">
        <v>0.984</v>
      </c>
      <c r="AC151"/>
      <c r="AD151"/>
      <c r="AE151"/>
      <c r="AF151"/>
      <c r="AG151" t="inlineStr">
        <is>
          <t>mg/kg dry soil</t>
        </is>
      </c>
      <c r="AH151"/>
      <c r="AI151"/>
      <c r="AJ151"/>
      <c r="AK151"/>
      <c r="AL151"/>
      <c r="AM151"/>
      <c r="AN151"/>
      <c r="AO151"/>
      <c r="AP151"/>
      <c r="AQ151"/>
      <c r="AR151"/>
      <c r="AS151"/>
      <c r="AT151"/>
      <c r="AU151"/>
      <c r="AV151"/>
      <c r="AW151"/>
      <c r="AX151" t="inlineStr">
        <is>
          <t>Accumulation</t>
        </is>
      </c>
      <c r="AY151" t="inlineStr">
        <is>
          <t>Residue</t>
        </is>
      </c>
      <c r="AZ151" t="inlineStr">
        <is>
          <t>BCFD</t>
        </is>
      </c>
      <c r="BA151"/>
      <c r="BB151" t="n">
        <v>0.984</v>
      </c>
      <c r="BC151"/>
      <c r="BD151"/>
      <c r="BE151"/>
      <c r="BF151"/>
      <c r="BG151"/>
      <c r="BH151"/>
      <c r="BI151" t="inlineStr">
        <is>
          <t>mg/kg dry soil</t>
        </is>
      </c>
      <c r="BJ151" t="inlineStr">
        <is>
          <t>Shoot</t>
        </is>
      </c>
      <c r="BK151"/>
      <c r="BL151" t="n">
        <v>45.0</v>
      </c>
      <c r="BM151"/>
      <c r="BN151"/>
      <c r="BO151"/>
      <c r="BP151"/>
      <c r="BQ151" t="inlineStr">
        <is>
          <t>Day(s)</t>
        </is>
      </c>
      <c r="BR151" t="inlineStr">
        <is>
          <t>Yu,P.F., L. Xiang, X.H. Li, Z.R. Ding, C.H. Mo, Y.W. Li, H. Li, Q.Y. Cai, D.M. Zhou, and M.H. Wong</t>
        </is>
      </c>
      <c r="BS151" t="n">
        <v>182588.0</v>
      </c>
      <c r="BT151" t="inlineStr">
        <is>
          <t>Cultivar-Dependent Accumulation and Translocation of Perfluorooctanesulfonate Among Lettuce ( Lactuca sativa L.) Cultivars Grown on Perfluorooctanesulfonate-Contaminated Soil</t>
        </is>
      </c>
      <c r="BU151" t="inlineStr">
        <is>
          <t>J. Agric. Food Chem.66(50): 13096-13106</t>
        </is>
      </c>
      <c r="BV151" t="n">
        <v>2018.0</v>
      </c>
      <c r="BW15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2">
      <c r="A152" t="n">
        <v>1763231.0</v>
      </c>
      <c r="B152" t="inlineStr">
        <is>
          <t>1,1,2,2,3,3,4,4,5,5,6,6,7,7,8,8,8-Heptadecafluoro-1-octanesulfonic acid</t>
        </is>
      </c>
      <c r="C152"/>
      <c r="D152" t="inlineStr">
        <is>
          <t>Measured</t>
        </is>
      </c>
      <c r="E152" t="inlineStr">
        <is>
          <t>&gt;=</t>
        </is>
      </c>
      <c r="F152" t="n">
        <v>98.0</v>
      </c>
      <c r="G152"/>
      <c r="H152"/>
      <c r="I152"/>
      <c r="J152"/>
      <c r="K152" t="inlineStr">
        <is>
          <t>Lactuca sativa var. crispa</t>
        </is>
      </c>
      <c r="L152" t="inlineStr">
        <is>
          <t>Leaf Lettuce</t>
        </is>
      </c>
      <c r="M152" t="inlineStr">
        <is>
          <t>Flowers, Trees, Shrubs, Ferns</t>
        </is>
      </c>
      <c r="N152" t="inlineStr">
        <is>
          <t>Seedling</t>
        </is>
      </c>
      <c r="O152"/>
      <c r="P152" t="n">
        <v>14.0</v>
      </c>
      <c r="Q152"/>
      <c r="R152"/>
      <c r="S152"/>
      <c r="T152"/>
      <c r="U152" t="inlineStr">
        <is>
          <t>Day(s)</t>
        </is>
      </c>
      <c r="V152" t="inlineStr">
        <is>
          <t>Environmental, unspecified</t>
        </is>
      </c>
      <c r="W152" t="inlineStr">
        <is>
          <t>Natural soil</t>
        </is>
      </c>
      <c r="X152" t="inlineStr">
        <is>
          <t>Lab</t>
        </is>
      </c>
      <c r="Y152" t="n">
        <v>3.0</v>
      </c>
      <c r="Z152" t="inlineStr">
        <is>
          <t>Active ingredient</t>
        </is>
      </c>
      <c r="AA152"/>
      <c r="AB152" t="n">
        <v>0.992</v>
      </c>
      <c r="AC152"/>
      <c r="AD152"/>
      <c r="AE152"/>
      <c r="AF152"/>
      <c r="AG152" t="inlineStr">
        <is>
          <t>mg/kg dry soil</t>
        </is>
      </c>
      <c r="AH152"/>
      <c r="AI152"/>
      <c r="AJ152"/>
      <c r="AK152"/>
      <c r="AL152"/>
      <c r="AM152"/>
      <c r="AN152"/>
      <c r="AO152"/>
      <c r="AP152"/>
      <c r="AQ152"/>
      <c r="AR152"/>
      <c r="AS152"/>
      <c r="AT152"/>
      <c r="AU152"/>
      <c r="AV152"/>
      <c r="AW152"/>
      <c r="AX152" t="inlineStr">
        <is>
          <t>Accumulation</t>
        </is>
      </c>
      <c r="AY152" t="inlineStr">
        <is>
          <t>Residue</t>
        </is>
      </c>
      <c r="AZ152" t="inlineStr">
        <is>
          <t>BCFD</t>
        </is>
      </c>
      <c r="BA152"/>
      <c r="BB152" t="n">
        <v>0.992</v>
      </c>
      <c r="BC152"/>
      <c r="BD152"/>
      <c r="BE152"/>
      <c r="BF152"/>
      <c r="BG152"/>
      <c r="BH152"/>
      <c r="BI152" t="inlineStr">
        <is>
          <t>mg/kg dry soil</t>
        </is>
      </c>
      <c r="BJ152" t="inlineStr">
        <is>
          <t>Root</t>
        </is>
      </c>
      <c r="BK152"/>
      <c r="BL152" t="n">
        <v>45.0</v>
      </c>
      <c r="BM152"/>
      <c r="BN152"/>
      <c r="BO152"/>
      <c r="BP152"/>
      <c r="BQ152" t="inlineStr">
        <is>
          <t>Day(s)</t>
        </is>
      </c>
      <c r="BR152" t="inlineStr">
        <is>
          <t>Yu,P.F., L. Xiang, X.H. Li, Z.R. Ding, C.H. Mo, Y.W. Li, H. Li, Q.Y. Cai, D.M. Zhou, and M.H. Wong</t>
        </is>
      </c>
      <c r="BS152" t="n">
        <v>182588.0</v>
      </c>
      <c r="BT152" t="inlineStr">
        <is>
          <t>Cultivar-Dependent Accumulation and Translocation of Perfluorooctanesulfonate Among Lettuce ( Lactuca sativa L.) Cultivars Grown on Perfluorooctanesulfonate-Contaminated Soil</t>
        </is>
      </c>
      <c r="BU152" t="inlineStr">
        <is>
          <t>J. Agric. Food Chem.66(50): 13096-13106</t>
        </is>
      </c>
      <c r="BV152" t="n">
        <v>2018.0</v>
      </c>
      <c r="BW15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3">
      <c r="A153" t="n">
        <v>1763231.0</v>
      </c>
      <c r="B153" t="inlineStr">
        <is>
          <t>1,1,2,2,3,3,4,4,5,5,6,6,7,7,8,8,8-Heptadecafluoro-1-octanesulfonic acid</t>
        </is>
      </c>
      <c r="C153"/>
      <c r="D153" t="inlineStr">
        <is>
          <t>Measured</t>
        </is>
      </c>
      <c r="E153" t="inlineStr">
        <is>
          <t>&gt;=</t>
        </is>
      </c>
      <c r="F153" t="n">
        <v>98.0</v>
      </c>
      <c r="G153"/>
      <c r="H153"/>
      <c r="I153"/>
      <c r="J153"/>
      <c r="K153" t="inlineStr">
        <is>
          <t>Lactuca sativa var. crispa</t>
        </is>
      </c>
      <c r="L153" t="inlineStr">
        <is>
          <t>Leaf Lettuce</t>
        </is>
      </c>
      <c r="M153" t="inlineStr">
        <is>
          <t>Flowers, Trees, Shrubs, Ferns</t>
        </is>
      </c>
      <c r="N153" t="inlineStr">
        <is>
          <t>Seedling</t>
        </is>
      </c>
      <c r="O153"/>
      <c r="P153" t="n">
        <v>14.0</v>
      </c>
      <c r="Q153"/>
      <c r="R153"/>
      <c r="S153"/>
      <c r="T153"/>
      <c r="U153" t="inlineStr">
        <is>
          <t>Day(s)</t>
        </is>
      </c>
      <c r="V153" t="inlineStr">
        <is>
          <t>Environmental, unspecified</t>
        </is>
      </c>
      <c r="W153" t="inlineStr">
        <is>
          <t>Natural soil</t>
        </is>
      </c>
      <c r="X153" t="inlineStr">
        <is>
          <t>Lab</t>
        </is>
      </c>
      <c r="Y153" t="n">
        <v>3.0</v>
      </c>
      <c r="Z153" t="inlineStr">
        <is>
          <t>Active ingredient</t>
        </is>
      </c>
      <c r="AA153"/>
      <c r="AB153" t="n">
        <v>0.992</v>
      </c>
      <c r="AC153"/>
      <c r="AD153"/>
      <c r="AE153"/>
      <c r="AF153"/>
      <c r="AG153" t="inlineStr">
        <is>
          <t>mg/kg dry soil</t>
        </is>
      </c>
      <c r="AH153"/>
      <c r="AI153"/>
      <c r="AJ153"/>
      <c r="AK153"/>
      <c r="AL153"/>
      <c r="AM153"/>
      <c r="AN153"/>
      <c r="AO153"/>
      <c r="AP153"/>
      <c r="AQ153"/>
      <c r="AR153"/>
      <c r="AS153"/>
      <c r="AT153"/>
      <c r="AU153"/>
      <c r="AV153"/>
      <c r="AW153"/>
      <c r="AX153" t="inlineStr">
        <is>
          <t>Accumulation</t>
        </is>
      </c>
      <c r="AY153" t="inlineStr">
        <is>
          <t>Residue</t>
        </is>
      </c>
      <c r="AZ153" t="inlineStr">
        <is>
          <t>BCFD</t>
        </is>
      </c>
      <c r="BA153"/>
      <c r="BB153" t="n">
        <v>0.992</v>
      </c>
      <c r="BC153"/>
      <c r="BD153"/>
      <c r="BE153"/>
      <c r="BF153"/>
      <c r="BG153"/>
      <c r="BH153"/>
      <c r="BI153" t="inlineStr">
        <is>
          <t>mg/kg dry soil</t>
        </is>
      </c>
      <c r="BJ153" t="inlineStr">
        <is>
          <t>Shoot</t>
        </is>
      </c>
      <c r="BK153"/>
      <c r="BL153" t="n">
        <v>45.0</v>
      </c>
      <c r="BM153"/>
      <c r="BN153"/>
      <c r="BO153"/>
      <c r="BP153"/>
      <c r="BQ153" t="inlineStr">
        <is>
          <t>Day(s)</t>
        </is>
      </c>
      <c r="BR153" t="inlineStr">
        <is>
          <t>Yu,P.F., L. Xiang, X.H. Li, Z.R. Ding, C.H. Mo, Y.W. Li, H. Li, Q.Y. Cai, D.M. Zhou, and M.H. Wong</t>
        </is>
      </c>
      <c r="BS153" t="n">
        <v>182588.0</v>
      </c>
      <c r="BT153" t="inlineStr">
        <is>
          <t>Cultivar-Dependent Accumulation and Translocation of Perfluorooctanesulfonate Among Lettuce ( Lactuca sativa L.) Cultivars Grown on Perfluorooctanesulfonate-Contaminated Soil</t>
        </is>
      </c>
      <c r="BU153" t="inlineStr">
        <is>
          <t>J. Agric. Food Chem.66(50): 13096-13106</t>
        </is>
      </c>
      <c r="BV153" t="n">
        <v>2018.0</v>
      </c>
      <c r="BW15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4">
      <c r="A154" t="n">
        <v>1763231.0</v>
      </c>
      <c r="B154" t="inlineStr">
        <is>
          <t>1,1,2,2,3,3,4,4,5,5,6,6,7,7,8,8,8-Heptadecafluoro-1-octanesulfonic acid</t>
        </is>
      </c>
      <c r="C154"/>
      <c r="D154" t="inlineStr">
        <is>
          <t>Measured</t>
        </is>
      </c>
      <c r="E154" t="inlineStr">
        <is>
          <t>&gt;=</t>
        </is>
      </c>
      <c r="F154" t="n">
        <v>98.0</v>
      </c>
      <c r="G154"/>
      <c r="H154"/>
      <c r="I154"/>
      <c r="J154"/>
      <c r="K154" t="inlineStr">
        <is>
          <t>Lactuca sativa var. crispa</t>
        </is>
      </c>
      <c r="L154" t="inlineStr">
        <is>
          <t>Leaf Lettuce</t>
        </is>
      </c>
      <c r="M154" t="inlineStr">
        <is>
          <t>Flowers, Trees, Shrubs, Ferns</t>
        </is>
      </c>
      <c r="N154" t="inlineStr">
        <is>
          <t>Seedling</t>
        </is>
      </c>
      <c r="O154"/>
      <c r="P154" t="n">
        <v>14.0</v>
      </c>
      <c r="Q154"/>
      <c r="R154"/>
      <c r="S154"/>
      <c r="T154"/>
      <c r="U154" t="inlineStr">
        <is>
          <t>Day(s)</t>
        </is>
      </c>
      <c r="V154" t="inlineStr">
        <is>
          <t>Environmental, unspecified</t>
        </is>
      </c>
      <c r="W154" t="inlineStr">
        <is>
          <t>Natural soil</t>
        </is>
      </c>
      <c r="X154" t="inlineStr">
        <is>
          <t>Lab</t>
        </is>
      </c>
      <c r="Y154" t="n">
        <v>3.0</v>
      </c>
      <c r="Z154" t="inlineStr">
        <is>
          <t>Active ingredient</t>
        </is>
      </c>
      <c r="AA154"/>
      <c r="AB154" t="n">
        <v>0.192</v>
      </c>
      <c r="AC154"/>
      <c r="AD154"/>
      <c r="AE154"/>
      <c r="AF154"/>
      <c r="AG154" t="inlineStr">
        <is>
          <t>mg/kg dry soil</t>
        </is>
      </c>
      <c r="AH154"/>
      <c r="AI154"/>
      <c r="AJ154"/>
      <c r="AK154"/>
      <c r="AL154"/>
      <c r="AM154"/>
      <c r="AN154"/>
      <c r="AO154"/>
      <c r="AP154"/>
      <c r="AQ154"/>
      <c r="AR154"/>
      <c r="AS154"/>
      <c r="AT154"/>
      <c r="AU154"/>
      <c r="AV154"/>
      <c r="AW154"/>
      <c r="AX154" t="inlineStr">
        <is>
          <t>Accumulation</t>
        </is>
      </c>
      <c r="AY154" t="inlineStr">
        <is>
          <t>Residue</t>
        </is>
      </c>
      <c r="AZ154" t="inlineStr">
        <is>
          <t>BCFD</t>
        </is>
      </c>
      <c r="BA154"/>
      <c r="BB154" t="n">
        <v>0.192</v>
      </c>
      <c r="BC154"/>
      <c r="BD154"/>
      <c r="BE154"/>
      <c r="BF154"/>
      <c r="BG154"/>
      <c r="BH154"/>
      <c r="BI154" t="inlineStr">
        <is>
          <t>mg/kg dry soil</t>
        </is>
      </c>
      <c r="BJ154" t="inlineStr">
        <is>
          <t>Root</t>
        </is>
      </c>
      <c r="BK154"/>
      <c r="BL154" t="n">
        <v>45.0</v>
      </c>
      <c r="BM154"/>
      <c r="BN154"/>
      <c r="BO154"/>
      <c r="BP154"/>
      <c r="BQ154" t="inlineStr">
        <is>
          <t>Day(s)</t>
        </is>
      </c>
      <c r="BR154" t="inlineStr">
        <is>
          <t>Yu,P.F., L. Xiang, X.H. Li, Z.R. Ding, C.H. Mo, Y.W. Li, H. Li, Q.Y. Cai, D.M. Zhou, and M.H. Wong</t>
        </is>
      </c>
      <c r="BS154" t="n">
        <v>182588.0</v>
      </c>
      <c r="BT154" t="inlineStr">
        <is>
          <t>Cultivar-Dependent Accumulation and Translocation of Perfluorooctanesulfonate Among Lettuce ( Lactuca sativa L.) Cultivars Grown on Perfluorooctanesulfonate-Contaminated Soil</t>
        </is>
      </c>
      <c r="BU154" t="inlineStr">
        <is>
          <t>J. Agric. Food Chem.66(50): 13096-13106</t>
        </is>
      </c>
      <c r="BV154" t="n">
        <v>2018.0</v>
      </c>
      <c r="BW15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5">
      <c r="A155" t="n">
        <v>1763231.0</v>
      </c>
      <c r="B155" t="inlineStr">
        <is>
          <t>1,1,2,2,3,3,4,4,5,5,6,6,7,7,8,8,8-Heptadecafluoro-1-octanesulfonic acid</t>
        </is>
      </c>
      <c r="C155"/>
      <c r="D155" t="inlineStr">
        <is>
          <t>Measured</t>
        </is>
      </c>
      <c r="E155" t="inlineStr">
        <is>
          <t>&gt;=</t>
        </is>
      </c>
      <c r="F155" t="n">
        <v>98.0</v>
      </c>
      <c r="G155"/>
      <c r="H155"/>
      <c r="I155"/>
      <c r="J155"/>
      <c r="K155" t="inlineStr">
        <is>
          <t>Lactuca sativa var. crispa</t>
        </is>
      </c>
      <c r="L155" t="inlineStr">
        <is>
          <t>Leaf Lettuce</t>
        </is>
      </c>
      <c r="M155" t="inlineStr">
        <is>
          <t>Flowers, Trees, Shrubs, Ferns</t>
        </is>
      </c>
      <c r="N155" t="inlineStr">
        <is>
          <t>Seedling</t>
        </is>
      </c>
      <c r="O155"/>
      <c r="P155" t="n">
        <v>14.0</v>
      </c>
      <c r="Q155"/>
      <c r="R155"/>
      <c r="S155"/>
      <c r="T155"/>
      <c r="U155" t="inlineStr">
        <is>
          <t>Day(s)</t>
        </is>
      </c>
      <c r="V155" t="inlineStr">
        <is>
          <t>Environmental, unspecified</t>
        </is>
      </c>
      <c r="W155" t="inlineStr">
        <is>
          <t>Natural soil</t>
        </is>
      </c>
      <c r="X155" t="inlineStr">
        <is>
          <t>Lab</t>
        </is>
      </c>
      <c r="Y155" t="n">
        <v>3.0</v>
      </c>
      <c r="Z155" t="inlineStr">
        <is>
          <t>Active ingredient</t>
        </is>
      </c>
      <c r="AA155"/>
      <c r="AB155" t="n">
        <v>0.192</v>
      </c>
      <c r="AC155"/>
      <c r="AD155"/>
      <c r="AE155"/>
      <c r="AF155"/>
      <c r="AG155" t="inlineStr">
        <is>
          <t>mg/kg dry soil</t>
        </is>
      </c>
      <c r="AH155"/>
      <c r="AI155"/>
      <c r="AJ155"/>
      <c r="AK155"/>
      <c r="AL155"/>
      <c r="AM155"/>
      <c r="AN155"/>
      <c r="AO155"/>
      <c r="AP155"/>
      <c r="AQ155"/>
      <c r="AR155"/>
      <c r="AS155"/>
      <c r="AT155"/>
      <c r="AU155"/>
      <c r="AV155"/>
      <c r="AW155"/>
      <c r="AX155" t="inlineStr">
        <is>
          <t>Accumulation</t>
        </is>
      </c>
      <c r="AY155" t="inlineStr">
        <is>
          <t>Residue</t>
        </is>
      </c>
      <c r="AZ155" t="inlineStr">
        <is>
          <t>BCFD</t>
        </is>
      </c>
      <c r="BA155"/>
      <c r="BB155" t="n">
        <v>0.192</v>
      </c>
      <c r="BC155"/>
      <c r="BD155"/>
      <c r="BE155"/>
      <c r="BF155"/>
      <c r="BG155"/>
      <c r="BH155"/>
      <c r="BI155" t="inlineStr">
        <is>
          <t>mg/kg dry soil</t>
        </is>
      </c>
      <c r="BJ155" t="inlineStr">
        <is>
          <t>Shoot</t>
        </is>
      </c>
      <c r="BK155"/>
      <c r="BL155" t="n">
        <v>45.0</v>
      </c>
      <c r="BM155"/>
      <c r="BN155"/>
      <c r="BO155"/>
      <c r="BP155"/>
      <c r="BQ155" t="inlineStr">
        <is>
          <t>Day(s)</t>
        </is>
      </c>
      <c r="BR155" t="inlineStr">
        <is>
          <t>Yu,P.F., L. Xiang, X.H. Li, Z.R. Ding, C.H. Mo, Y.W. Li, H. Li, Q.Y. Cai, D.M. Zhou, and M.H. Wong</t>
        </is>
      </c>
      <c r="BS155" t="n">
        <v>182588.0</v>
      </c>
      <c r="BT155" t="inlineStr">
        <is>
          <t>Cultivar-Dependent Accumulation and Translocation of Perfluorooctanesulfonate Among Lettuce ( Lactuca sativa L.) Cultivars Grown on Perfluorooctanesulfonate-Contaminated Soil</t>
        </is>
      </c>
      <c r="BU155" t="inlineStr">
        <is>
          <t>J. Agric. Food Chem.66(50): 13096-13106</t>
        </is>
      </c>
      <c r="BV155" t="n">
        <v>2018.0</v>
      </c>
      <c r="BW15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6">
      <c r="A156" t="n">
        <v>1763231.0</v>
      </c>
      <c r="B156" t="inlineStr">
        <is>
          <t>1,1,2,2,3,3,4,4,5,5,6,6,7,7,8,8,8-Heptadecafluoro-1-octanesulfonic acid</t>
        </is>
      </c>
      <c r="C156"/>
      <c r="D156" t="inlineStr">
        <is>
          <t>Measured</t>
        </is>
      </c>
      <c r="E156" t="inlineStr">
        <is>
          <t>&gt;=</t>
        </is>
      </c>
      <c r="F156" t="n">
        <v>98.0</v>
      </c>
      <c r="G156"/>
      <c r="H156"/>
      <c r="I156"/>
      <c r="J156"/>
      <c r="K156" t="inlineStr">
        <is>
          <t>Lactuca sativa var. longifolia</t>
        </is>
      </c>
      <c r="L156" t="inlineStr">
        <is>
          <t>Romaine Lettuce</t>
        </is>
      </c>
      <c r="M156" t="inlineStr">
        <is>
          <t>Flowers, Trees, Shrubs, Ferns</t>
        </is>
      </c>
      <c r="N156" t="inlineStr">
        <is>
          <t>Seedling</t>
        </is>
      </c>
      <c r="O156"/>
      <c r="P156" t="n">
        <v>14.0</v>
      </c>
      <c r="Q156"/>
      <c r="R156"/>
      <c r="S156"/>
      <c r="T156"/>
      <c r="U156" t="inlineStr">
        <is>
          <t>Day(s)</t>
        </is>
      </c>
      <c r="V156" t="inlineStr">
        <is>
          <t>Environmental, unspecified</t>
        </is>
      </c>
      <c r="W156" t="inlineStr">
        <is>
          <t>Natural soil</t>
        </is>
      </c>
      <c r="X156" t="inlineStr">
        <is>
          <t>Lab</t>
        </is>
      </c>
      <c r="Y156" t="n">
        <v>3.0</v>
      </c>
      <c r="Z156" t="inlineStr">
        <is>
          <t>Active ingredient</t>
        </is>
      </c>
      <c r="AA156"/>
      <c r="AB156" t="n">
        <v>0.191</v>
      </c>
      <c r="AC156"/>
      <c r="AD156"/>
      <c r="AE156"/>
      <c r="AF156"/>
      <c r="AG156" t="inlineStr">
        <is>
          <t>mg/kg dry soil</t>
        </is>
      </c>
      <c r="AH156"/>
      <c r="AI156"/>
      <c r="AJ156"/>
      <c r="AK156"/>
      <c r="AL156"/>
      <c r="AM156"/>
      <c r="AN156"/>
      <c r="AO156"/>
      <c r="AP156"/>
      <c r="AQ156"/>
      <c r="AR156"/>
      <c r="AS156"/>
      <c r="AT156"/>
      <c r="AU156"/>
      <c r="AV156"/>
      <c r="AW156"/>
      <c r="AX156" t="inlineStr">
        <is>
          <t>Accumulation</t>
        </is>
      </c>
      <c r="AY156" t="inlineStr">
        <is>
          <t>Residue</t>
        </is>
      </c>
      <c r="AZ156" t="inlineStr">
        <is>
          <t>BCFD</t>
        </is>
      </c>
      <c r="BA156"/>
      <c r="BB156" t="n">
        <v>0.191</v>
      </c>
      <c r="BC156"/>
      <c r="BD156"/>
      <c r="BE156"/>
      <c r="BF156"/>
      <c r="BG156"/>
      <c r="BH156"/>
      <c r="BI156" t="inlineStr">
        <is>
          <t>mg/kg dry soil</t>
        </is>
      </c>
      <c r="BJ156" t="inlineStr">
        <is>
          <t>Root</t>
        </is>
      </c>
      <c r="BK156"/>
      <c r="BL156" t="n">
        <v>45.0</v>
      </c>
      <c r="BM156"/>
      <c r="BN156"/>
      <c r="BO156"/>
      <c r="BP156"/>
      <c r="BQ156" t="inlineStr">
        <is>
          <t>Day(s)</t>
        </is>
      </c>
      <c r="BR156" t="inlineStr">
        <is>
          <t>Yu,P.F., L. Xiang, X.H. Li, Z.R. Ding, C.H. Mo, Y.W. Li, H. Li, Q.Y. Cai, D.M. Zhou, and M.H. Wong</t>
        </is>
      </c>
      <c r="BS156" t="n">
        <v>182588.0</v>
      </c>
      <c r="BT156" t="inlineStr">
        <is>
          <t>Cultivar-Dependent Accumulation and Translocation of Perfluorooctanesulfonate Among Lettuce ( Lactuca sativa L.) Cultivars Grown on Perfluorooctanesulfonate-Contaminated Soil</t>
        </is>
      </c>
      <c r="BU156" t="inlineStr">
        <is>
          <t>J. Agric. Food Chem.66(50): 13096-13106</t>
        </is>
      </c>
      <c r="BV156" t="n">
        <v>2018.0</v>
      </c>
      <c r="BW1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7">
      <c r="A157" t="n">
        <v>1763231.0</v>
      </c>
      <c r="B157" t="inlineStr">
        <is>
          <t>1,1,2,2,3,3,4,4,5,5,6,6,7,7,8,8,8-Heptadecafluoro-1-octanesulfonic acid</t>
        </is>
      </c>
      <c r="C157"/>
      <c r="D157" t="inlineStr">
        <is>
          <t>Measured</t>
        </is>
      </c>
      <c r="E157" t="inlineStr">
        <is>
          <t>&gt;=</t>
        </is>
      </c>
      <c r="F157" t="n">
        <v>98.0</v>
      </c>
      <c r="G157"/>
      <c r="H157"/>
      <c r="I157"/>
      <c r="J157"/>
      <c r="K157" t="inlineStr">
        <is>
          <t>Lactuca sativa var. longifolia</t>
        </is>
      </c>
      <c r="L157" t="inlineStr">
        <is>
          <t>Romaine Lettuce</t>
        </is>
      </c>
      <c r="M157" t="inlineStr">
        <is>
          <t>Flowers, Trees, Shrubs, Ferns</t>
        </is>
      </c>
      <c r="N157" t="inlineStr">
        <is>
          <t>Seedling</t>
        </is>
      </c>
      <c r="O157"/>
      <c r="P157" t="n">
        <v>14.0</v>
      </c>
      <c r="Q157"/>
      <c r="R157"/>
      <c r="S157"/>
      <c r="T157"/>
      <c r="U157" t="inlineStr">
        <is>
          <t>Day(s)</t>
        </is>
      </c>
      <c r="V157" t="inlineStr">
        <is>
          <t>Environmental, unspecified</t>
        </is>
      </c>
      <c r="W157" t="inlineStr">
        <is>
          <t>Natural soil</t>
        </is>
      </c>
      <c r="X157" t="inlineStr">
        <is>
          <t>Lab</t>
        </is>
      </c>
      <c r="Y157" t="n">
        <v>3.0</v>
      </c>
      <c r="Z157" t="inlineStr">
        <is>
          <t>Active ingredient</t>
        </is>
      </c>
      <c r="AA157"/>
      <c r="AB157" t="n">
        <v>0.994</v>
      </c>
      <c r="AC157"/>
      <c r="AD157"/>
      <c r="AE157"/>
      <c r="AF157"/>
      <c r="AG157" t="inlineStr">
        <is>
          <t>mg/kg dry soil</t>
        </is>
      </c>
      <c r="AH157"/>
      <c r="AI157"/>
      <c r="AJ157"/>
      <c r="AK157"/>
      <c r="AL157"/>
      <c r="AM157"/>
      <c r="AN157"/>
      <c r="AO157"/>
      <c r="AP157"/>
      <c r="AQ157"/>
      <c r="AR157"/>
      <c r="AS157"/>
      <c r="AT157"/>
      <c r="AU157"/>
      <c r="AV157"/>
      <c r="AW157"/>
      <c r="AX157" t="inlineStr">
        <is>
          <t>Accumulation</t>
        </is>
      </c>
      <c r="AY157" t="inlineStr">
        <is>
          <t>Residue</t>
        </is>
      </c>
      <c r="AZ157" t="inlineStr">
        <is>
          <t>BCFD</t>
        </is>
      </c>
      <c r="BA157"/>
      <c r="BB157" t="n">
        <v>0.994</v>
      </c>
      <c r="BC157"/>
      <c r="BD157"/>
      <c r="BE157"/>
      <c r="BF157"/>
      <c r="BG157"/>
      <c r="BH157"/>
      <c r="BI157" t="inlineStr">
        <is>
          <t>mg/kg dry soil</t>
        </is>
      </c>
      <c r="BJ157" t="inlineStr">
        <is>
          <t>Root</t>
        </is>
      </c>
      <c r="BK157"/>
      <c r="BL157" t="n">
        <v>45.0</v>
      </c>
      <c r="BM157"/>
      <c r="BN157"/>
      <c r="BO157"/>
      <c r="BP157"/>
      <c r="BQ157" t="inlineStr">
        <is>
          <t>Day(s)</t>
        </is>
      </c>
      <c r="BR157" t="inlineStr">
        <is>
          <t>Yu,P.F., L. Xiang, X.H. Li, Z.R. Ding, C.H. Mo, Y.W. Li, H. Li, Q.Y. Cai, D.M. Zhou, and M.H. Wong</t>
        </is>
      </c>
      <c r="BS157" t="n">
        <v>182588.0</v>
      </c>
      <c r="BT157" t="inlineStr">
        <is>
          <t>Cultivar-Dependent Accumulation and Translocation of Perfluorooctanesulfonate Among Lettuce ( Lactuca sativa L.) Cultivars Grown on Perfluorooctanesulfonate-Contaminated Soil</t>
        </is>
      </c>
      <c r="BU157" t="inlineStr">
        <is>
          <t>J. Agric. Food Chem.66(50): 13096-13106</t>
        </is>
      </c>
      <c r="BV157" t="n">
        <v>2018.0</v>
      </c>
      <c r="BW1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8">
      <c r="A158" t="n">
        <v>1763231.0</v>
      </c>
      <c r="B158" t="inlineStr">
        <is>
          <t>1,1,2,2,3,3,4,4,5,5,6,6,7,7,8,8,8-Heptadecafluoro-1-octanesulfonic acid</t>
        </is>
      </c>
      <c r="C158"/>
      <c r="D158" t="inlineStr">
        <is>
          <t>Measured</t>
        </is>
      </c>
      <c r="E158" t="inlineStr">
        <is>
          <t>&gt;=</t>
        </is>
      </c>
      <c r="F158" t="n">
        <v>98.0</v>
      </c>
      <c r="G158"/>
      <c r="H158"/>
      <c r="I158"/>
      <c r="J158"/>
      <c r="K158" t="inlineStr">
        <is>
          <t>Lactuca sativa var. longifolia</t>
        </is>
      </c>
      <c r="L158" t="inlineStr">
        <is>
          <t>Romaine Lettuce</t>
        </is>
      </c>
      <c r="M158" t="inlineStr">
        <is>
          <t>Flowers, Trees, Shrubs, Ferns</t>
        </is>
      </c>
      <c r="N158" t="inlineStr">
        <is>
          <t>Seedling</t>
        </is>
      </c>
      <c r="O158"/>
      <c r="P158" t="n">
        <v>14.0</v>
      </c>
      <c r="Q158"/>
      <c r="R158"/>
      <c r="S158"/>
      <c r="T158"/>
      <c r="U158" t="inlineStr">
        <is>
          <t>Day(s)</t>
        </is>
      </c>
      <c r="V158" t="inlineStr">
        <is>
          <t>Environmental, unspecified</t>
        </is>
      </c>
      <c r="W158" t="inlineStr">
        <is>
          <t>Natural soil</t>
        </is>
      </c>
      <c r="X158" t="inlineStr">
        <is>
          <t>Lab</t>
        </is>
      </c>
      <c r="Y158" t="n">
        <v>3.0</v>
      </c>
      <c r="Z158" t="inlineStr">
        <is>
          <t>Active ingredient</t>
        </is>
      </c>
      <c r="AA158"/>
      <c r="AB158" t="n">
        <v>0.191</v>
      </c>
      <c r="AC158"/>
      <c r="AD158"/>
      <c r="AE158"/>
      <c r="AF158"/>
      <c r="AG158" t="inlineStr">
        <is>
          <t>mg/kg dry soil</t>
        </is>
      </c>
      <c r="AH158"/>
      <c r="AI158"/>
      <c r="AJ158"/>
      <c r="AK158"/>
      <c r="AL158"/>
      <c r="AM158"/>
      <c r="AN158"/>
      <c r="AO158"/>
      <c r="AP158"/>
      <c r="AQ158"/>
      <c r="AR158"/>
      <c r="AS158"/>
      <c r="AT158"/>
      <c r="AU158"/>
      <c r="AV158"/>
      <c r="AW158"/>
      <c r="AX158" t="inlineStr">
        <is>
          <t>Accumulation</t>
        </is>
      </c>
      <c r="AY158" t="inlineStr">
        <is>
          <t>Residue</t>
        </is>
      </c>
      <c r="AZ158" t="inlineStr">
        <is>
          <t>BCFD</t>
        </is>
      </c>
      <c r="BA158"/>
      <c r="BB158" t="n">
        <v>0.191</v>
      </c>
      <c r="BC158"/>
      <c r="BD158"/>
      <c r="BE158"/>
      <c r="BF158"/>
      <c r="BG158"/>
      <c r="BH158"/>
      <c r="BI158" t="inlineStr">
        <is>
          <t>mg/kg dry soil</t>
        </is>
      </c>
      <c r="BJ158" t="inlineStr">
        <is>
          <t>Shoot</t>
        </is>
      </c>
      <c r="BK158"/>
      <c r="BL158" t="n">
        <v>45.0</v>
      </c>
      <c r="BM158"/>
      <c r="BN158"/>
      <c r="BO158"/>
      <c r="BP158"/>
      <c r="BQ158" t="inlineStr">
        <is>
          <t>Day(s)</t>
        </is>
      </c>
      <c r="BR158" t="inlineStr">
        <is>
          <t>Yu,P.F., L. Xiang, X.H. Li, Z.R. Ding, C.H. Mo, Y.W. Li, H. Li, Q.Y. Cai, D.M. Zhou, and M.H. Wong</t>
        </is>
      </c>
      <c r="BS158" t="n">
        <v>182588.0</v>
      </c>
      <c r="BT158" t="inlineStr">
        <is>
          <t>Cultivar-Dependent Accumulation and Translocation of Perfluorooctanesulfonate Among Lettuce ( Lactuca sativa L.) Cultivars Grown on Perfluorooctanesulfonate-Contaminated Soil</t>
        </is>
      </c>
      <c r="BU158" t="inlineStr">
        <is>
          <t>J. Agric. Food Chem.66(50): 13096-13106</t>
        </is>
      </c>
      <c r="BV158" t="n">
        <v>2018.0</v>
      </c>
      <c r="BW15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59">
      <c r="A159" t="n">
        <v>1763231.0</v>
      </c>
      <c r="B159" t="inlineStr">
        <is>
          <t>1,1,2,2,3,3,4,4,5,5,6,6,7,7,8,8,8-Heptadecafluoro-1-octanesulfonic acid</t>
        </is>
      </c>
      <c r="C159"/>
      <c r="D159" t="inlineStr">
        <is>
          <t>Measured</t>
        </is>
      </c>
      <c r="E159" t="inlineStr">
        <is>
          <t>&gt;=</t>
        </is>
      </c>
      <c r="F159" t="n">
        <v>98.0</v>
      </c>
      <c r="G159"/>
      <c r="H159"/>
      <c r="I159"/>
      <c r="J159"/>
      <c r="K159" t="inlineStr">
        <is>
          <t>Lactuca sativa var. longifolia</t>
        </is>
      </c>
      <c r="L159" t="inlineStr">
        <is>
          <t>Romaine Lettuce</t>
        </is>
      </c>
      <c r="M159" t="inlineStr">
        <is>
          <t>Flowers, Trees, Shrubs, Ferns</t>
        </is>
      </c>
      <c r="N159" t="inlineStr">
        <is>
          <t>Seedling</t>
        </is>
      </c>
      <c r="O159"/>
      <c r="P159" t="n">
        <v>14.0</v>
      </c>
      <c r="Q159"/>
      <c r="R159"/>
      <c r="S159"/>
      <c r="T159"/>
      <c r="U159" t="inlineStr">
        <is>
          <t>Day(s)</t>
        </is>
      </c>
      <c r="V159" t="inlineStr">
        <is>
          <t>Environmental, unspecified</t>
        </is>
      </c>
      <c r="W159" t="inlineStr">
        <is>
          <t>Natural soil</t>
        </is>
      </c>
      <c r="X159" t="inlineStr">
        <is>
          <t>Lab</t>
        </is>
      </c>
      <c r="Y159" t="n">
        <v>3.0</v>
      </c>
      <c r="Z159" t="inlineStr">
        <is>
          <t>Active ingredient</t>
        </is>
      </c>
      <c r="AA159"/>
      <c r="AB159" t="n">
        <v>0.997</v>
      </c>
      <c r="AC159"/>
      <c r="AD159"/>
      <c r="AE159"/>
      <c r="AF159"/>
      <c r="AG159" t="inlineStr">
        <is>
          <t>mg/kg dry soil</t>
        </is>
      </c>
      <c r="AH159"/>
      <c r="AI159"/>
      <c r="AJ159"/>
      <c r="AK159"/>
      <c r="AL159"/>
      <c r="AM159"/>
      <c r="AN159"/>
      <c r="AO159"/>
      <c r="AP159"/>
      <c r="AQ159"/>
      <c r="AR159"/>
      <c r="AS159"/>
      <c r="AT159"/>
      <c r="AU159"/>
      <c r="AV159"/>
      <c r="AW159"/>
      <c r="AX159" t="inlineStr">
        <is>
          <t>Accumulation</t>
        </is>
      </c>
      <c r="AY159" t="inlineStr">
        <is>
          <t>Residue</t>
        </is>
      </c>
      <c r="AZ159" t="inlineStr">
        <is>
          <t>BCFD</t>
        </is>
      </c>
      <c r="BA159"/>
      <c r="BB159" t="n">
        <v>0.997</v>
      </c>
      <c r="BC159"/>
      <c r="BD159"/>
      <c r="BE159"/>
      <c r="BF159"/>
      <c r="BG159"/>
      <c r="BH159"/>
      <c r="BI159" t="inlineStr">
        <is>
          <t>mg/kg dry soil</t>
        </is>
      </c>
      <c r="BJ159" t="inlineStr">
        <is>
          <t>Root</t>
        </is>
      </c>
      <c r="BK159"/>
      <c r="BL159" t="n">
        <v>45.0</v>
      </c>
      <c r="BM159"/>
      <c r="BN159"/>
      <c r="BO159"/>
      <c r="BP159"/>
      <c r="BQ159" t="inlineStr">
        <is>
          <t>Day(s)</t>
        </is>
      </c>
      <c r="BR159" t="inlineStr">
        <is>
          <t>Yu,P.F., L. Xiang, X.H. Li, Z.R. Ding, C.H. Mo, Y.W. Li, H. Li, Q.Y. Cai, D.M. Zhou, and M.H. Wong</t>
        </is>
      </c>
      <c r="BS159" t="n">
        <v>182588.0</v>
      </c>
      <c r="BT159" t="inlineStr">
        <is>
          <t>Cultivar-Dependent Accumulation and Translocation of Perfluorooctanesulfonate Among Lettuce ( Lactuca sativa L.) Cultivars Grown on Perfluorooctanesulfonate-Contaminated Soil</t>
        </is>
      </c>
      <c r="BU159" t="inlineStr">
        <is>
          <t>J. Agric. Food Chem.66(50): 13096-13106</t>
        </is>
      </c>
      <c r="BV159" t="n">
        <v>2018.0</v>
      </c>
      <c r="BW15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0">
      <c r="A160" t="n">
        <v>1763231.0</v>
      </c>
      <c r="B160" t="inlineStr">
        <is>
          <t>1,1,2,2,3,3,4,4,5,5,6,6,7,7,8,8,8-Heptadecafluoro-1-octanesulfonic acid</t>
        </is>
      </c>
      <c r="C160"/>
      <c r="D160" t="inlineStr">
        <is>
          <t>Measured</t>
        </is>
      </c>
      <c r="E160" t="inlineStr">
        <is>
          <t>&gt;=</t>
        </is>
      </c>
      <c r="F160" t="n">
        <v>98.0</v>
      </c>
      <c r="G160"/>
      <c r="H160"/>
      <c r="I160"/>
      <c r="J160"/>
      <c r="K160" t="inlineStr">
        <is>
          <t>Lactuca sativa var. longifolia</t>
        </is>
      </c>
      <c r="L160" t="inlineStr">
        <is>
          <t>Romaine Lettuce</t>
        </is>
      </c>
      <c r="M160" t="inlineStr">
        <is>
          <t>Flowers, Trees, Shrubs, Ferns</t>
        </is>
      </c>
      <c r="N160" t="inlineStr">
        <is>
          <t>Seedling</t>
        </is>
      </c>
      <c r="O160"/>
      <c r="P160" t="n">
        <v>14.0</v>
      </c>
      <c r="Q160"/>
      <c r="R160"/>
      <c r="S160"/>
      <c r="T160"/>
      <c r="U160" t="inlineStr">
        <is>
          <t>Day(s)</t>
        </is>
      </c>
      <c r="V160" t="inlineStr">
        <is>
          <t>Environmental, unspecified</t>
        </is>
      </c>
      <c r="W160" t="inlineStr">
        <is>
          <t>Natural soil</t>
        </is>
      </c>
      <c r="X160" t="inlineStr">
        <is>
          <t>Lab</t>
        </is>
      </c>
      <c r="Y160" t="n">
        <v>3.0</v>
      </c>
      <c r="Z160" t="inlineStr">
        <is>
          <t>Active ingredient</t>
        </is>
      </c>
      <c r="AA160"/>
      <c r="AB160" t="n">
        <v>0.189</v>
      </c>
      <c r="AC160"/>
      <c r="AD160"/>
      <c r="AE160"/>
      <c r="AF160"/>
      <c r="AG160" t="inlineStr">
        <is>
          <t>mg/kg dry soil</t>
        </is>
      </c>
      <c r="AH160"/>
      <c r="AI160"/>
      <c r="AJ160"/>
      <c r="AK160"/>
      <c r="AL160"/>
      <c r="AM160"/>
      <c r="AN160"/>
      <c r="AO160"/>
      <c r="AP160"/>
      <c r="AQ160"/>
      <c r="AR160"/>
      <c r="AS160"/>
      <c r="AT160"/>
      <c r="AU160"/>
      <c r="AV160"/>
      <c r="AW160"/>
      <c r="AX160" t="inlineStr">
        <is>
          <t>Accumulation</t>
        </is>
      </c>
      <c r="AY160" t="inlineStr">
        <is>
          <t>Residue</t>
        </is>
      </c>
      <c r="AZ160" t="inlineStr">
        <is>
          <t>BCFD</t>
        </is>
      </c>
      <c r="BA160"/>
      <c r="BB160" t="n">
        <v>0.189</v>
      </c>
      <c r="BC160"/>
      <c r="BD160"/>
      <c r="BE160"/>
      <c r="BF160"/>
      <c r="BG160"/>
      <c r="BH160"/>
      <c r="BI160" t="inlineStr">
        <is>
          <t>mg/kg dry soil</t>
        </is>
      </c>
      <c r="BJ160" t="inlineStr">
        <is>
          <t>Shoot</t>
        </is>
      </c>
      <c r="BK160"/>
      <c r="BL160" t="n">
        <v>45.0</v>
      </c>
      <c r="BM160"/>
      <c r="BN160"/>
      <c r="BO160"/>
      <c r="BP160"/>
      <c r="BQ160" t="inlineStr">
        <is>
          <t>Day(s)</t>
        </is>
      </c>
      <c r="BR160" t="inlineStr">
        <is>
          <t>Yu,P.F., L. Xiang, X.H. Li, Z.R. Ding, C.H. Mo, Y.W. Li, H. Li, Q.Y. Cai, D.M. Zhou, and M.H. Wong</t>
        </is>
      </c>
      <c r="BS160" t="n">
        <v>182588.0</v>
      </c>
      <c r="BT160" t="inlineStr">
        <is>
          <t>Cultivar-Dependent Accumulation and Translocation of Perfluorooctanesulfonate Among Lettuce ( Lactuca sativa L.) Cultivars Grown on Perfluorooctanesulfonate-Contaminated Soil</t>
        </is>
      </c>
      <c r="BU160" t="inlineStr">
        <is>
          <t>J. Agric. Food Chem.66(50): 13096-13106</t>
        </is>
      </c>
      <c r="BV160" t="n">
        <v>2018.0</v>
      </c>
      <c r="BW1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1">
      <c r="A161" t="n">
        <v>1763231.0</v>
      </c>
      <c r="B161" t="inlineStr">
        <is>
          <t>1,1,2,2,3,3,4,4,5,5,6,6,7,7,8,8,8-Heptadecafluoro-1-octanesulfonic acid</t>
        </is>
      </c>
      <c r="C161"/>
      <c r="D161" t="inlineStr">
        <is>
          <t>Measured</t>
        </is>
      </c>
      <c r="E161" t="inlineStr">
        <is>
          <t>&gt;=</t>
        </is>
      </c>
      <c r="F161" t="n">
        <v>98.0</v>
      </c>
      <c r="G161"/>
      <c r="H161"/>
      <c r="I161"/>
      <c r="J161"/>
      <c r="K161" t="inlineStr">
        <is>
          <t>Lactuca sativa var. longifolia</t>
        </is>
      </c>
      <c r="L161" t="inlineStr">
        <is>
          <t>Romaine Lettuce</t>
        </is>
      </c>
      <c r="M161" t="inlineStr">
        <is>
          <t>Flowers, Trees, Shrubs, Ferns</t>
        </is>
      </c>
      <c r="N161" t="inlineStr">
        <is>
          <t>Seedling</t>
        </is>
      </c>
      <c r="O161"/>
      <c r="P161" t="n">
        <v>14.0</v>
      </c>
      <c r="Q161"/>
      <c r="R161"/>
      <c r="S161"/>
      <c r="T161"/>
      <c r="U161" t="inlineStr">
        <is>
          <t>Day(s)</t>
        </is>
      </c>
      <c r="V161" t="inlineStr">
        <is>
          <t>Environmental, unspecified</t>
        </is>
      </c>
      <c r="W161" t="inlineStr">
        <is>
          <t>Natural soil</t>
        </is>
      </c>
      <c r="X161" t="inlineStr">
        <is>
          <t>Lab</t>
        </is>
      </c>
      <c r="Y161" t="n">
        <v>3.0</v>
      </c>
      <c r="Z161" t="inlineStr">
        <is>
          <t>Active ingredient</t>
        </is>
      </c>
      <c r="AA161"/>
      <c r="AB161" t="n">
        <v>0.189</v>
      </c>
      <c r="AC161"/>
      <c r="AD161"/>
      <c r="AE161"/>
      <c r="AF161"/>
      <c r="AG161" t="inlineStr">
        <is>
          <t>mg/kg dry soil</t>
        </is>
      </c>
      <c r="AH161"/>
      <c r="AI161"/>
      <c r="AJ161"/>
      <c r="AK161"/>
      <c r="AL161"/>
      <c r="AM161"/>
      <c r="AN161"/>
      <c r="AO161"/>
      <c r="AP161"/>
      <c r="AQ161"/>
      <c r="AR161"/>
      <c r="AS161"/>
      <c r="AT161"/>
      <c r="AU161"/>
      <c r="AV161"/>
      <c r="AW161"/>
      <c r="AX161" t="inlineStr">
        <is>
          <t>Accumulation</t>
        </is>
      </c>
      <c r="AY161" t="inlineStr">
        <is>
          <t>Residue</t>
        </is>
      </c>
      <c r="AZ161" t="inlineStr">
        <is>
          <t>BCFD</t>
        </is>
      </c>
      <c r="BA161"/>
      <c r="BB161" t="n">
        <v>0.189</v>
      </c>
      <c r="BC161"/>
      <c r="BD161"/>
      <c r="BE161"/>
      <c r="BF161"/>
      <c r="BG161"/>
      <c r="BH161"/>
      <c r="BI161" t="inlineStr">
        <is>
          <t>mg/kg dry soil</t>
        </is>
      </c>
      <c r="BJ161" t="inlineStr">
        <is>
          <t>Root</t>
        </is>
      </c>
      <c r="BK161"/>
      <c r="BL161" t="n">
        <v>45.0</v>
      </c>
      <c r="BM161"/>
      <c r="BN161"/>
      <c r="BO161"/>
      <c r="BP161"/>
      <c r="BQ161" t="inlineStr">
        <is>
          <t>Day(s)</t>
        </is>
      </c>
      <c r="BR161" t="inlineStr">
        <is>
          <t>Yu,P.F., L. Xiang, X.H. Li, Z.R. Ding, C.H. Mo, Y.W. Li, H. Li, Q.Y. Cai, D.M. Zhou, and M.H. Wong</t>
        </is>
      </c>
      <c r="BS161" t="n">
        <v>182588.0</v>
      </c>
      <c r="BT161" t="inlineStr">
        <is>
          <t>Cultivar-Dependent Accumulation and Translocation of Perfluorooctanesulfonate Among Lettuce ( Lactuca sativa L.) Cultivars Grown on Perfluorooctanesulfonate-Contaminated Soil</t>
        </is>
      </c>
      <c r="BU161" t="inlineStr">
        <is>
          <t>J. Agric. Food Chem.66(50): 13096-13106</t>
        </is>
      </c>
      <c r="BV161" t="n">
        <v>2018.0</v>
      </c>
      <c r="BW1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2">
      <c r="A162" t="n">
        <v>1763231.0</v>
      </c>
      <c r="B162" t="inlineStr">
        <is>
          <t>1,1,2,2,3,3,4,4,5,5,6,6,7,7,8,8,8-Heptadecafluoro-1-octanesulfonic acid</t>
        </is>
      </c>
      <c r="C162"/>
      <c r="D162" t="inlineStr">
        <is>
          <t>Measured</t>
        </is>
      </c>
      <c r="E162" t="inlineStr">
        <is>
          <t>&gt;=</t>
        </is>
      </c>
      <c r="F162" t="n">
        <v>98.0</v>
      </c>
      <c r="G162"/>
      <c r="H162"/>
      <c r="I162"/>
      <c r="J162"/>
      <c r="K162" t="inlineStr">
        <is>
          <t>Lactuca sativa var. longifolia</t>
        </is>
      </c>
      <c r="L162" t="inlineStr">
        <is>
          <t>Romaine Lettuce</t>
        </is>
      </c>
      <c r="M162" t="inlineStr">
        <is>
          <t>Flowers, Trees, Shrubs, Ferns</t>
        </is>
      </c>
      <c r="N162" t="inlineStr">
        <is>
          <t>Seedling</t>
        </is>
      </c>
      <c r="O162"/>
      <c r="P162" t="n">
        <v>14.0</v>
      </c>
      <c r="Q162"/>
      <c r="R162"/>
      <c r="S162"/>
      <c r="T162"/>
      <c r="U162" t="inlineStr">
        <is>
          <t>Day(s)</t>
        </is>
      </c>
      <c r="V162" t="inlineStr">
        <is>
          <t>Environmental, unspecified</t>
        </is>
      </c>
      <c r="W162" t="inlineStr">
        <is>
          <t>Natural soil</t>
        </is>
      </c>
      <c r="X162" t="inlineStr">
        <is>
          <t>Lab</t>
        </is>
      </c>
      <c r="Y162" t="n">
        <v>3.0</v>
      </c>
      <c r="Z162" t="inlineStr">
        <is>
          <t>Active ingredient</t>
        </is>
      </c>
      <c r="AA162"/>
      <c r="AB162" t="n">
        <v>0.997</v>
      </c>
      <c r="AC162"/>
      <c r="AD162"/>
      <c r="AE162"/>
      <c r="AF162"/>
      <c r="AG162" t="inlineStr">
        <is>
          <t>mg/kg dry soil</t>
        </is>
      </c>
      <c r="AH162"/>
      <c r="AI162"/>
      <c r="AJ162"/>
      <c r="AK162"/>
      <c r="AL162"/>
      <c r="AM162"/>
      <c r="AN162"/>
      <c r="AO162"/>
      <c r="AP162"/>
      <c r="AQ162"/>
      <c r="AR162"/>
      <c r="AS162"/>
      <c r="AT162"/>
      <c r="AU162"/>
      <c r="AV162"/>
      <c r="AW162"/>
      <c r="AX162" t="inlineStr">
        <is>
          <t>Accumulation</t>
        </is>
      </c>
      <c r="AY162" t="inlineStr">
        <is>
          <t>Residue</t>
        </is>
      </c>
      <c r="AZ162" t="inlineStr">
        <is>
          <t>BCFD</t>
        </is>
      </c>
      <c r="BA162"/>
      <c r="BB162" t="n">
        <v>0.997</v>
      </c>
      <c r="BC162"/>
      <c r="BD162"/>
      <c r="BE162"/>
      <c r="BF162"/>
      <c r="BG162"/>
      <c r="BH162"/>
      <c r="BI162" t="inlineStr">
        <is>
          <t>mg/kg dry soil</t>
        </is>
      </c>
      <c r="BJ162" t="inlineStr">
        <is>
          <t>Shoot</t>
        </is>
      </c>
      <c r="BK162"/>
      <c r="BL162" t="n">
        <v>45.0</v>
      </c>
      <c r="BM162"/>
      <c r="BN162"/>
      <c r="BO162"/>
      <c r="BP162"/>
      <c r="BQ162" t="inlineStr">
        <is>
          <t>Day(s)</t>
        </is>
      </c>
      <c r="BR162" t="inlineStr">
        <is>
          <t>Yu,P.F., L. Xiang, X.H. Li, Z.R. Ding, C.H. Mo, Y.W. Li, H. Li, Q.Y. Cai, D.M. Zhou, and M.H. Wong</t>
        </is>
      </c>
      <c r="BS162" t="n">
        <v>182588.0</v>
      </c>
      <c r="BT162" t="inlineStr">
        <is>
          <t>Cultivar-Dependent Accumulation and Translocation of Perfluorooctanesulfonate Among Lettuce ( Lactuca sativa L.) Cultivars Grown on Perfluorooctanesulfonate-Contaminated Soil</t>
        </is>
      </c>
      <c r="BU162" t="inlineStr">
        <is>
          <t>J. Agric. Food Chem.66(50): 13096-13106</t>
        </is>
      </c>
      <c r="BV162" t="n">
        <v>2018.0</v>
      </c>
      <c r="BW1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3">
      <c r="A163" t="n">
        <v>1763231.0</v>
      </c>
      <c r="B163" t="inlineStr">
        <is>
          <t>1,1,2,2,3,3,4,4,5,5,6,6,7,7,8,8,8-Heptadecafluoro-1-octanesulfonic acid</t>
        </is>
      </c>
      <c r="C163"/>
      <c r="D163" t="inlineStr">
        <is>
          <t>Measured</t>
        </is>
      </c>
      <c r="E163" t="inlineStr">
        <is>
          <t>&gt;=</t>
        </is>
      </c>
      <c r="F163" t="n">
        <v>98.0</v>
      </c>
      <c r="G163"/>
      <c r="H163"/>
      <c r="I163"/>
      <c r="J163"/>
      <c r="K163" t="inlineStr">
        <is>
          <t>Lactuca sativa var. longifolia</t>
        </is>
      </c>
      <c r="L163" t="inlineStr">
        <is>
          <t>Romaine Lettuce</t>
        </is>
      </c>
      <c r="M163" t="inlineStr">
        <is>
          <t>Flowers, Trees, Shrubs, Ferns</t>
        </is>
      </c>
      <c r="N163" t="inlineStr">
        <is>
          <t>Seedling</t>
        </is>
      </c>
      <c r="O163"/>
      <c r="P163" t="n">
        <v>14.0</v>
      </c>
      <c r="Q163"/>
      <c r="R163"/>
      <c r="S163"/>
      <c r="T163"/>
      <c r="U163" t="inlineStr">
        <is>
          <t>Day(s)</t>
        </is>
      </c>
      <c r="V163" t="inlineStr">
        <is>
          <t>Environmental, unspecified</t>
        </is>
      </c>
      <c r="W163" t="inlineStr">
        <is>
          <t>Natural soil</t>
        </is>
      </c>
      <c r="X163" t="inlineStr">
        <is>
          <t>Lab</t>
        </is>
      </c>
      <c r="Y163" t="n">
        <v>3.0</v>
      </c>
      <c r="Z163" t="inlineStr">
        <is>
          <t>Active ingredient</t>
        </is>
      </c>
      <c r="AA163"/>
      <c r="AB163" t="n">
        <v>0.191</v>
      </c>
      <c r="AC163"/>
      <c r="AD163"/>
      <c r="AE163"/>
      <c r="AF163"/>
      <c r="AG163" t="inlineStr">
        <is>
          <t>mg/kg dry soil</t>
        </is>
      </c>
      <c r="AH163"/>
      <c r="AI163"/>
      <c r="AJ163"/>
      <c r="AK163"/>
      <c r="AL163"/>
      <c r="AM163"/>
      <c r="AN163"/>
      <c r="AO163"/>
      <c r="AP163"/>
      <c r="AQ163"/>
      <c r="AR163"/>
      <c r="AS163"/>
      <c r="AT163"/>
      <c r="AU163"/>
      <c r="AV163"/>
      <c r="AW163"/>
      <c r="AX163" t="inlineStr">
        <is>
          <t>Accumulation</t>
        </is>
      </c>
      <c r="AY163" t="inlineStr">
        <is>
          <t>Residue</t>
        </is>
      </c>
      <c r="AZ163" t="inlineStr">
        <is>
          <t>BCFD</t>
        </is>
      </c>
      <c r="BA163"/>
      <c r="BB163" t="n">
        <v>0.191</v>
      </c>
      <c r="BC163"/>
      <c r="BD163"/>
      <c r="BE163"/>
      <c r="BF163"/>
      <c r="BG163"/>
      <c r="BH163"/>
      <c r="BI163" t="inlineStr">
        <is>
          <t>mg/kg dry soil</t>
        </is>
      </c>
      <c r="BJ163" t="inlineStr">
        <is>
          <t>Shoot</t>
        </is>
      </c>
      <c r="BK163"/>
      <c r="BL163" t="n">
        <v>45.0</v>
      </c>
      <c r="BM163"/>
      <c r="BN163"/>
      <c r="BO163"/>
      <c r="BP163"/>
      <c r="BQ163" t="inlineStr">
        <is>
          <t>Day(s)</t>
        </is>
      </c>
      <c r="BR163" t="inlineStr">
        <is>
          <t>Yu,P.F., L. Xiang, X.H. Li, Z.R. Ding, C.H. Mo, Y.W. Li, H. Li, Q.Y. Cai, D.M. Zhou, and M.H. Wong</t>
        </is>
      </c>
      <c r="BS163" t="n">
        <v>182588.0</v>
      </c>
      <c r="BT163" t="inlineStr">
        <is>
          <t>Cultivar-Dependent Accumulation and Translocation of Perfluorooctanesulfonate Among Lettuce ( Lactuca sativa L.) Cultivars Grown on Perfluorooctanesulfonate-Contaminated Soil</t>
        </is>
      </c>
      <c r="BU163" t="inlineStr">
        <is>
          <t>J. Agric. Food Chem.66(50): 13096-13106</t>
        </is>
      </c>
      <c r="BV163" t="n">
        <v>2018.0</v>
      </c>
      <c r="BW1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4">
      <c r="A164" t="n">
        <v>1763231.0</v>
      </c>
      <c r="B164" t="inlineStr">
        <is>
          <t>1,1,2,2,3,3,4,4,5,5,6,6,7,7,8,8,8-Heptadecafluoro-1-octanesulfonic acid</t>
        </is>
      </c>
      <c r="C164"/>
      <c r="D164" t="inlineStr">
        <is>
          <t>Measured</t>
        </is>
      </c>
      <c r="E164" t="inlineStr">
        <is>
          <t>&gt;=</t>
        </is>
      </c>
      <c r="F164" t="n">
        <v>98.0</v>
      </c>
      <c r="G164"/>
      <c r="H164"/>
      <c r="I164"/>
      <c r="J164"/>
      <c r="K164" t="inlineStr">
        <is>
          <t>Lactuca sativa var. longifolia</t>
        </is>
      </c>
      <c r="L164" t="inlineStr">
        <is>
          <t>Romaine Lettuce</t>
        </is>
      </c>
      <c r="M164" t="inlineStr">
        <is>
          <t>Flowers, Trees, Shrubs, Ferns</t>
        </is>
      </c>
      <c r="N164" t="inlineStr">
        <is>
          <t>Seedling</t>
        </is>
      </c>
      <c r="O164"/>
      <c r="P164" t="n">
        <v>14.0</v>
      </c>
      <c r="Q164"/>
      <c r="R164"/>
      <c r="S164"/>
      <c r="T164"/>
      <c r="U164" t="inlineStr">
        <is>
          <t>Day(s)</t>
        </is>
      </c>
      <c r="V164" t="inlineStr">
        <is>
          <t>Environmental, unspecified</t>
        </is>
      </c>
      <c r="W164" t="inlineStr">
        <is>
          <t>Natural soil</t>
        </is>
      </c>
      <c r="X164" t="inlineStr">
        <is>
          <t>Lab</t>
        </is>
      </c>
      <c r="Y164" t="n">
        <v>3.0</v>
      </c>
      <c r="Z164" t="inlineStr">
        <is>
          <t>Active ingredient</t>
        </is>
      </c>
      <c r="AA164"/>
      <c r="AB164" t="n">
        <v>0.978</v>
      </c>
      <c r="AC164"/>
      <c r="AD164"/>
      <c r="AE164"/>
      <c r="AF164"/>
      <c r="AG164" t="inlineStr">
        <is>
          <t>mg/kg dry soil</t>
        </is>
      </c>
      <c r="AH164"/>
      <c r="AI164"/>
      <c r="AJ164"/>
      <c r="AK164"/>
      <c r="AL164"/>
      <c r="AM164"/>
      <c r="AN164"/>
      <c r="AO164"/>
      <c r="AP164"/>
      <c r="AQ164"/>
      <c r="AR164"/>
      <c r="AS164"/>
      <c r="AT164"/>
      <c r="AU164"/>
      <c r="AV164"/>
      <c r="AW164"/>
      <c r="AX164" t="inlineStr">
        <is>
          <t>Accumulation</t>
        </is>
      </c>
      <c r="AY164" t="inlineStr">
        <is>
          <t>Residue</t>
        </is>
      </c>
      <c r="AZ164" t="inlineStr">
        <is>
          <t>BCFD</t>
        </is>
      </c>
      <c r="BA164"/>
      <c r="BB164" t="n">
        <v>0.978</v>
      </c>
      <c r="BC164"/>
      <c r="BD164"/>
      <c r="BE164"/>
      <c r="BF164"/>
      <c r="BG164"/>
      <c r="BH164"/>
      <c r="BI164" t="inlineStr">
        <is>
          <t>mg/kg dry soil</t>
        </is>
      </c>
      <c r="BJ164" t="inlineStr">
        <is>
          <t>Shoot</t>
        </is>
      </c>
      <c r="BK164"/>
      <c r="BL164" t="n">
        <v>45.0</v>
      </c>
      <c r="BM164"/>
      <c r="BN164"/>
      <c r="BO164"/>
      <c r="BP164"/>
      <c r="BQ164" t="inlineStr">
        <is>
          <t>Day(s)</t>
        </is>
      </c>
      <c r="BR164" t="inlineStr">
        <is>
          <t>Yu,P.F., L. Xiang, X.H. Li, Z.R. Ding, C.H. Mo, Y.W. Li, H. Li, Q.Y. Cai, D.M. Zhou, and M.H. Wong</t>
        </is>
      </c>
      <c r="BS164" t="n">
        <v>182588.0</v>
      </c>
      <c r="BT164" t="inlineStr">
        <is>
          <t>Cultivar-Dependent Accumulation and Translocation of Perfluorooctanesulfonate Among Lettuce ( Lactuca sativa L.) Cultivars Grown on Perfluorooctanesulfonate-Contaminated Soil</t>
        </is>
      </c>
      <c r="BU164" t="inlineStr">
        <is>
          <t>J. Agric. Food Chem.66(50): 13096-13106</t>
        </is>
      </c>
      <c r="BV164" t="n">
        <v>2018.0</v>
      </c>
      <c r="BW16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5">
      <c r="A165" t="n">
        <v>1763231.0</v>
      </c>
      <c r="B165" t="inlineStr">
        <is>
          <t>1,1,2,2,3,3,4,4,5,5,6,6,7,7,8,8,8-Heptadecafluoro-1-octanesulfonic acid</t>
        </is>
      </c>
      <c r="C165"/>
      <c r="D165" t="inlineStr">
        <is>
          <t>Measured</t>
        </is>
      </c>
      <c r="E165" t="inlineStr">
        <is>
          <t>&gt;=</t>
        </is>
      </c>
      <c r="F165" t="n">
        <v>98.0</v>
      </c>
      <c r="G165"/>
      <c r="H165"/>
      <c r="I165"/>
      <c r="J165"/>
      <c r="K165" t="inlineStr">
        <is>
          <t>Lactuca sativa var. longifolia</t>
        </is>
      </c>
      <c r="L165" t="inlineStr">
        <is>
          <t>Romaine Lettuce</t>
        </is>
      </c>
      <c r="M165" t="inlineStr">
        <is>
          <t>Flowers, Trees, Shrubs, Ferns</t>
        </is>
      </c>
      <c r="N165" t="inlineStr">
        <is>
          <t>Seedling</t>
        </is>
      </c>
      <c r="O165"/>
      <c r="P165" t="n">
        <v>14.0</v>
      </c>
      <c r="Q165"/>
      <c r="R165"/>
      <c r="S165"/>
      <c r="T165"/>
      <c r="U165" t="inlineStr">
        <is>
          <t>Day(s)</t>
        </is>
      </c>
      <c r="V165" t="inlineStr">
        <is>
          <t>Environmental, unspecified</t>
        </is>
      </c>
      <c r="W165" t="inlineStr">
        <is>
          <t>Natural soil</t>
        </is>
      </c>
      <c r="X165" t="inlineStr">
        <is>
          <t>Lab</t>
        </is>
      </c>
      <c r="Y165" t="n">
        <v>3.0</v>
      </c>
      <c r="Z165" t="inlineStr">
        <is>
          <t>Active ingredient</t>
        </is>
      </c>
      <c r="AA165"/>
      <c r="AB165" t="n">
        <v>0.978</v>
      </c>
      <c r="AC165"/>
      <c r="AD165"/>
      <c r="AE165"/>
      <c r="AF165"/>
      <c r="AG165" t="inlineStr">
        <is>
          <t>mg/kg dry soil</t>
        </is>
      </c>
      <c r="AH165"/>
      <c r="AI165"/>
      <c r="AJ165"/>
      <c r="AK165"/>
      <c r="AL165"/>
      <c r="AM165"/>
      <c r="AN165"/>
      <c r="AO165"/>
      <c r="AP165"/>
      <c r="AQ165"/>
      <c r="AR165"/>
      <c r="AS165"/>
      <c r="AT165"/>
      <c r="AU165"/>
      <c r="AV165"/>
      <c r="AW165"/>
      <c r="AX165" t="inlineStr">
        <is>
          <t>Accumulation</t>
        </is>
      </c>
      <c r="AY165" t="inlineStr">
        <is>
          <t>Residue</t>
        </is>
      </c>
      <c r="AZ165" t="inlineStr">
        <is>
          <t>BCFD</t>
        </is>
      </c>
      <c r="BA165"/>
      <c r="BB165" t="n">
        <v>0.978</v>
      </c>
      <c r="BC165"/>
      <c r="BD165"/>
      <c r="BE165"/>
      <c r="BF165"/>
      <c r="BG165"/>
      <c r="BH165"/>
      <c r="BI165" t="inlineStr">
        <is>
          <t>mg/kg dry soil</t>
        </is>
      </c>
      <c r="BJ165" t="inlineStr">
        <is>
          <t>Root</t>
        </is>
      </c>
      <c r="BK165"/>
      <c r="BL165" t="n">
        <v>45.0</v>
      </c>
      <c r="BM165"/>
      <c r="BN165"/>
      <c r="BO165"/>
      <c r="BP165"/>
      <c r="BQ165" t="inlineStr">
        <is>
          <t>Day(s)</t>
        </is>
      </c>
      <c r="BR165" t="inlineStr">
        <is>
          <t>Yu,P.F., L. Xiang, X.H. Li, Z.R. Ding, C.H. Mo, Y.W. Li, H. Li, Q.Y. Cai, D.M. Zhou, and M.H. Wong</t>
        </is>
      </c>
      <c r="BS165" t="n">
        <v>182588.0</v>
      </c>
      <c r="BT165" t="inlineStr">
        <is>
          <t>Cultivar-Dependent Accumulation and Translocation of Perfluorooctanesulfonate Among Lettuce ( Lactuca sativa L.) Cultivars Grown on Perfluorooctanesulfonate-Contaminated Soil</t>
        </is>
      </c>
      <c r="BU165" t="inlineStr">
        <is>
          <t>J. Agric. Food Chem.66(50): 13096-13106</t>
        </is>
      </c>
      <c r="BV165" t="n">
        <v>2018.0</v>
      </c>
      <c r="BW16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6">
      <c r="A166" t="n">
        <v>1763231.0</v>
      </c>
      <c r="B166" t="inlineStr">
        <is>
          <t>1,1,2,2,3,3,4,4,5,5,6,6,7,7,8,8,8-Heptadecafluoro-1-octanesulfonic acid</t>
        </is>
      </c>
      <c r="C166"/>
      <c r="D166" t="inlineStr">
        <is>
          <t>Measured</t>
        </is>
      </c>
      <c r="E166" t="inlineStr">
        <is>
          <t>&gt;=</t>
        </is>
      </c>
      <c r="F166" t="n">
        <v>98.0</v>
      </c>
      <c r="G166"/>
      <c r="H166"/>
      <c r="I166"/>
      <c r="J166"/>
      <c r="K166" t="inlineStr">
        <is>
          <t>Lactuca sativa var. longifolia</t>
        </is>
      </c>
      <c r="L166" t="inlineStr">
        <is>
          <t>Romaine Lettuce</t>
        </is>
      </c>
      <c r="M166" t="inlineStr">
        <is>
          <t>Flowers, Trees, Shrubs, Ferns</t>
        </is>
      </c>
      <c r="N166" t="inlineStr">
        <is>
          <t>Seedling</t>
        </is>
      </c>
      <c r="O166"/>
      <c r="P166" t="n">
        <v>14.0</v>
      </c>
      <c r="Q166"/>
      <c r="R166"/>
      <c r="S166"/>
      <c r="T166"/>
      <c r="U166" t="inlineStr">
        <is>
          <t>Day(s)</t>
        </is>
      </c>
      <c r="V166" t="inlineStr">
        <is>
          <t>Environmental, unspecified</t>
        </is>
      </c>
      <c r="W166" t="inlineStr">
        <is>
          <t>Natural soil</t>
        </is>
      </c>
      <c r="X166" t="inlineStr">
        <is>
          <t>Lab</t>
        </is>
      </c>
      <c r="Y166" t="n">
        <v>3.0</v>
      </c>
      <c r="Z166" t="inlineStr">
        <is>
          <t>Active ingredient</t>
        </is>
      </c>
      <c r="AA166"/>
      <c r="AB166" t="n">
        <v>0.191</v>
      </c>
      <c r="AC166"/>
      <c r="AD166"/>
      <c r="AE166"/>
      <c r="AF166"/>
      <c r="AG166" t="inlineStr">
        <is>
          <t>mg/kg dry soil</t>
        </is>
      </c>
      <c r="AH166"/>
      <c r="AI166"/>
      <c r="AJ166"/>
      <c r="AK166"/>
      <c r="AL166"/>
      <c r="AM166"/>
      <c r="AN166"/>
      <c r="AO166"/>
      <c r="AP166"/>
      <c r="AQ166"/>
      <c r="AR166"/>
      <c r="AS166"/>
      <c r="AT166"/>
      <c r="AU166"/>
      <c r="AV166"/>
      <c r="AW166"/>
      <c r="AX166" t="inlineStr">
        <is>
          <t>Accumulation</t>
        </is>
      </c>
      <c r="AY166" t="inlineStr">
        <is>
          <t>Residue</t>
        </is>
      </c>
      <c r="AZ166" t="inlineStr">
        <is>
          <t>BCFD</t>
        </is>
      </c>
      <c r="BA166"/>
      <c r="BB166" t="n">
        <v>0.191</v>
      </c>
      <c r="BC166"/>
      <c r="BD166"/>
      <c r="BE166"/>
      <c r="BF166"/>
      <c r="BG166"/>
      <c r="BH166"/>
      <c r="BI166" t="inlineStr">
        <is>
          <t>mg/kg dry soil</t>
        </is>
      </c>
      <c r="BJ166" t="inlineStr">
        <is>
          <t>Root</t>
        </is>
      </c>
      <c r="BK166"/>
      <c r="BL166" t="n">
        <v>45.0</v>
      </c>
      <c r="BM166"/>
      <c r="BN166"/>
      <c r="BO166"/>
      <c r="BP166"/>
      <c r="BQ166" t="inlineStr">
        <is>
          <t>Day(s)</t>
        </is>
      </c>
      <c r="BR166" t="inlineStr">
        <is>
          <t>Yu,P.F., L. Xiang, X.H. Li, Z.R. Ding, C.H. Mo, Y.W. Li, H. Li, Q.Y. Cai, D.M. Zhou, and M.H. Wong</t>
        </is>
      </c>
      <c r="BS166" t="n">
        <v>182588.0</v>
      </c>
      <c r="BT166" t="inlineStr">
        <is>
          <t>Cultivar-Dependent Accumulation and Translocation of Perfluorooctanesulfonate Among Lettuce ( Lactuca sativa L.) Cultivars Grown on Perfluorooctanesulfonate-Contaminated Soil</t>
        </is>
      </c>
      <c r="BU166" t="inlineStr">
        <is>
          <t>J. Agric. Food Chem.66(50): 13096-13106</t>
        </is>
      </c>
      <c r="BV166" t="n">
        <v>2018.0</v>
      </c>
      <c r="BW16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7">
      <c r="A167" t="n">
        <v>1763231.0</v>
      </c>
      <c r="B167" t="inlineStr">
        <is>
          <t>1,1,2,2,3,3,4,4,5,5,6,6,7,7,8,8,8-Heptadecafluoro-1-octanesulfonic acid</t>
        </is>
      </c>
      <c r="C167"/>
      <c r="D167" t="inlineStr">
        <is>
          <t>Measured</t>
        </is>
      </c>
      <c r="E167" t="inlineStr">
        <is>
          <t>&gt;=</t>
        </is>
      </c>
      <c r="F167" t="n">
        <v>98.0</v>
      </c>
      <c r="G167"/>
      <c r="H167"/>
      <c r="I167"/>
      <c r="J167"/>
      <c r="K167" t="inlineStr">
        <is>
          <t>Lactuca sativa var. longifolia</t>
        </is>
      </c>
      <c r="L167" t="inlineStr">
        <is>
          <t>Romaine Lettuce</t>
        </is>
      </c>
      <c r="M167" t="inlineStr">
        <is>
          <t>Flowers, Trees, Shrubs, Ferns</t>
        </is>
      </c>
      <c r="N167" t="inlineStr">
        <is>
          <t>Seedling</t>
        </is>
      </c>
      <c r="O167"/>
      <c r="P167" t="n">
        <v>14.0</v>
      </c>
      <c r="Q167"/>
      <c r="R167"/>
      <c r="S167"/>
      <c r="T167"/>
      <c r="U167" t="inlineStr">
        <is>
          <t>Day(s)</t>
        </is>
      </c>
      <c r="V167" t="inlineStr">
        <is>
          <t>Environmental, unspecified</t>
        </is>
      </c>
      <c r="W167" t="inlineStr">
        <is>
          <t>Natural soil</t>
        </is>
      </c>
      <c r="X167" t="inlineStr">
        <is>
          <t>Lab</t>
        </is>
      </c>
      <c r="Y167" t="n">
        <v>3.0</v>
      </c>
      <c r="Z167" t="inlineStr">
        <is>
          <t>Active ingredient</t>
        </is>
      </c>
      <c r="AA167"/>
      <c r="AB167" t="n">
        <v>0.194</v>
      </c>
      <c r="AC167"/>
      <c r="AD167"/>
      <c r="AE167"/>
      <c r="AF167"/>
      <c r="AG167" t="inlineStr">
        <is>
          <t>mg/kg dry soil</t>
        </is>
      </c>
      <c r="AH167"/>
      <c r="AI167"/>
      <c r="AJ167"/>
      <c r="AK167"/>
      <c r="AL167"/>
      <c r="AM167"/>
      <c r="AN167"/>
      <c r="AO167"/>
      <c r="AP167"/>
      <c r="AQ167"/>
      <c r="AR167"/>
      <c r="AS167"/>
      <c r="AT167"/>
      <c r="AU167"/>
      <c r="AV167"/>
      <c r="AW167"/>
      <c r="AX167" t="inlineStr">
        <is>
          <t>Accumulation</t>
        </is>
      </c>
      <c r="AY167" t="inlineStr">
        <is>
          <t>Residue</t>
        </is>
      </c>
      <c r="AZ167" t="inlineStr">
        <is>
          <t>BCFD</t>
        </is>
      </c>
      <c r="BA167"/>
      <c r="BB167" t="n">
        <v>0.194</v>
      </c>
      <c r="BC167"/>
      <c r="BD167"/>
      <c r="BE167"/>
      <c r="BF167"/>
      <c r="BG167"/>
      <c r="BH167"/>
      <c r="BI167" t="inlineStr">
        <is>
          <t>mg/kg dry soil</t>
        </is>
      </c>
      <c r="BJ167" t="inlineStr">
        <is>
          <t>Shoot</t>
        </is>
      </c>
      <c r="BK167"/>
      <c r="BL167" t="n">
        <v>45.0</v>
      </c>
      <c r="BM167"/>
      <c r="BN167"/>
      <c r="BO167"/>
      <c r="BP167"/>
      <c r="BQ167" t="inlineStr">
        <is>
          <t>Day(s)</t>
        </is>
      </c>
      <c r="BR167" t="inlineStr">
        <is>
          <t>Yu,P.F., L. Xiang, X.H. Li, Z.R. Ding, C.H. Mo, Y.W. Li, H. Li, Q.Y. Cai, D.M. Zhou, and M.H. Wong</t>
        </is>
      </c>
      <c r="BS167" t="n">
        <v>182588.0</v>
      </c>
      <c r="BT167" t="inlineStr">
        <is>
          <t>Cultivar-Dependent Accumulation and Translocation of Perfluorooctanesulfonate Among Lettuce ( Lactuca sativa L.) Cultivars Grown on Perfluorooctanesulfonate-Contaminated Soil</t>
        </is>
      </c>
      <c r="BU167" t="inlineStr">
        <is>
          <t>J. Agric. Food Chem.66(50): 13096-13106</t>
        </is>
      </c>
      <c r="BV167" t="n">
        <v>2018.0</v>
      </c>
      <c r="BW16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8">
      <c r="A168" t="n">
        <v>1763231.0</v>
      </c>
      <c r="B168" t="inlineStr">
        <is>
          <t>1,1,2,2,3,3,4,4,5,5,6,6,7,7,8,8,8-Heptadecafluoro-1-octanesulfonic acid</t>
        </is>
      </c>
      <c r="C168"/>
      <c r="D168" t="inlineStr">
        <is>
          <t>Measured</t>
        </is>
      </c>
      <c r="E168" t="inlineStr">
        <is>
          <t>&gt;=</t>
        </is>
      </c>
      <c r="F168" t="n">
        <v>98.0</v>
      </c>
      <c r="G168"/>
      <c r="H168"/>
      <c r="I168"/>
      <c r="J168"/>
      <c r="K168" t="inlineStr">
        <is>
          <t>Lactuca sativa var. longifolia</t>
        </is>
      </c>
      <c r="L168" t="inlineStr">
        <is>
          <t>Romaine Lettuce</t>
        </is>
      </c>
      <c r="M168" t="inlineStr">
        <is>
          <t>Flowers, Trees, Shrubs, Ferns</t>
        </is>
      </c>
      <c r="N168" t="inlineStr">
        <is>
          <t>Seedling</t>
        </is>
      </c>
      <c r="O168"/>
      <c r="P168" t="n">
        <v>14.0</v>
      </c>
      <c r="Q168"/>
      <c r="R168"/>
      <c r="S168"/>
      <c r="T168"/>
      <c r="U168" t="inlineStr">
        <is>
          <t>Day(s)</t>
        </is>
      </c>
      <c r="V168" t="inlineStr">
        <is>
          <t>Environmental, unspecified</t>
        </is>
      </c>
      <c r="W168" t="inlineStr">
        <is>
          <t>Natural soil</t>
        </is>
      </c>
      <c r="X168" t="inlineStr">
        <is>
          <t>Lab</t>
        </is>
      </c>
      <c r="Y168" t="n">
        <v>3.0</v>
      </c>
      <c r="Z168" t="inlineStr">
        <is>
          <t>Active ingredient</t>
        </is>
      </c>
      <c r="AA168"/>
      <c r="AB168" t="n">
        <v>0.19</v>
      </c>
      <c r="AC168"/>
      <c r="AD168"/>
      <c r="AE168"/>
      <c r="AF168"/>
      <c r="AG168" t="inlineStr">
        <is>
          <t>mg/kg dry soil</t>
        </is>
      </c>
      <c r="AH168"/>
      <c r="AI168"/>
      <c r="AJ168"/>
      <c r="AK168"/>
      <c r="AL168"/>
      <c r="AM168"/>
      <c r="AN168"/>
      <c r="AO168"/>
      <c r="AP168"/>
      <c r="AQ168"/>
      <c r="AR168"/>
      <c r="AS168"/>
      <c r="AT168"/>
      <c r="AU168"/>
      <c r="AV168"/>
      <c r="AW168"/>
      <c r="AX168" t="inlineStr">
        <is>
          <t>Accumulation</t>
        </is>
      </c>
      <c r="AY168" t="inlineStr">
        <is>
          <t>Residue</t>
        </is>
      </c>
      <c r="AZ168" t="inlineStr">
        <is>
          <t>BCFD</t>
        </is>
      </c>
      <c r="BA168"/>
      <c r="BB168" t="n">
        <v>0.19</v>
      </c>
      <c r="BC168"/>
      <c r="BD168"/>
      <c r="BE168"/>
      <c r="BF168"/>
      <c r="BG168"/>
      <c r="BH168"/>
      <c r="BI168" t="inlineStr">
        <is>
          <t>mg/kg dry soil</t>
        </is>
      </c>
      <c r="BJ168" t="inlineStr">
        <is>
          <t>Shoot</t>
        </is>
      </c>
      <c r="BK168"/>
      <c r="BL168" t="n">
        <v>45.0</v>
      </c>
      <c r="BM168"/>
      <c r="BN168"/>
      <c r="BO168"/>
      <c r="BP168"/>
      <c r="BQ168" t="inlineStr">
        <is>
          <t>Day(s)</t>
        </is>
      </c>
      <c r="BR168" t="inlineStr">
        <is>
          <t>Yu,P.F., L. Xiang, X.H. Li, Z.R. Ding, C.H. Mo, Y.W. Li, H. Li, Q.Y. Cai, D.M. Zhou, and M.H. Wong</t>
        </is>
      </c>
      <c r="BS168" t="n">
        <v>182588.0</v>
      </c>
      <c r="BT168" t="inlineStr">
        <is>
          <t>Cultivar-Dependent Accumulation and Translocation of Perfluorooctanesulfonate Among Lettuce ( Lactuca sativa L.) Cultivars Grown on Perfluorooctanesulfonate-Contaminated Soil</t>
        </is>
      </c>
      <c r="BU168" t="inlineStr">
        <is>
          <t>J. Agric. Food Chem.66(50): 13096-13106</t>
        </is>
      </c>
      <c r="BV168" t="n">
        <v>2018.0</v>
      </c>
      <c r="BW16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69">
      <c r="A169" t="n">
        <v>1763231.0</v>
      </c>
      <c r="B169" t="inlineStr">
        <is>
          <t>1,1,2,2,3,3,4,4,5,5,6,6,7,7,8,8,8-Heptadecafluoro-1-octanesulfonic acid</t>
        </is>
      </c>
      <c r="C169"/>
      <c r="D169" t="inlineStr">
        <is>
          <t>Measured</t>
        </is>
      </c>
      <c r="E169" t="inlineStr">
        <is>
          <t>&gt;=</t>
        </is>
      </c>
      <c r="F169" t="n">
        <v>98.0</v>
      </c>
      <c r="G169"/>
      <c r="H169"/>
      <c r="I169"/>
      <c r="J169"/>
      <c r="K169" t="inlineStr">
        <is>
          <t>Lactuca sativa var. longifolia</t>
        </is>
      </c>
      <c r="L169" t="inlineStr">
        <is>
          <t>Romaine Lettuce</t>
        </is>
      </c>
      <c r="M169" t="inlineStr">
        <is>
          <t>Flowers, Trees, Shrubs, Ferns</t>
        </is>
      </c>
      <c r="N169" t="inlineStr">
        <is>
          <t>Seedling</t>
        </is>
      </c>
      <c r="O169"/>
      <c r="P169" t="n">
        <v>14.0</v>
      </c>
      <c r="Q169"/>
      <c r="R169"/>
      <c r="S169"/>
      <c r="T169"/>
      <c r="U169" t="inlineStr">
        <is>
          <t>Day(s)</t>
        </is>
      </c>
      <c r="V169" t="inlineStr">
        <is>
          <t>Environmental, unspecified</t>
        </is>
      </c>
      <c r="W169" t="inlineStr">
        <is>
          <t>Natural soil</t>
        </is>
      </c>
      <c r="X169" t="inlineStr">
        <is>
          <t>Lab</t>
        </is>
      </c>
      <c r="Y169" t="n">
        <v>3.0</v>
      </c>
      <c r="Z169" t="inlineStr">
        <is>
          <t>Active ingredient</t>
        </is>
      </c>
      <c r="AA169"/>
      <c r="AB169" t="n">
        <v>0.982</v>
      </c>
      <c r="AC169"/>
      <c r="AD169"/>
      <c r="AE169"/>
      <c r="AF169"/>
      <c r="AG169" t="inlineStr">
        <is>
          <t>mg/kg dry soil</t>
        </is>
      </c>
      <c r="AH169"/>
      <c r="AI169"/>
      <c r="AJ169"/>
      <c r="AK169"/>
      <c r="AL169"/>
      <c r="AM169"/>
      <c r="AN169"/>
      <c r="AO169"/>
      <c r="AP169"/>
      <c r="AQ169"/>
      <c r="AR169"/>
      <c r="AS169"/>
      <c r="AT169"/>
      <c r="AU169"/>
      <c r="AV169"/>
      <c r="AW169"/>
      <c r="AX169" t="inlineStr">
        <is>
          <t>Accumulation</t>
        </is>
      </c>
      <c r="AY169" t="inlineStr">
        <is>
          <t>Residue</t>
        </is>
      </c>
      <c r="AZ169" t="inlineStr">
        <is>
          <t>BCFD</t>
        </is>
      </c>
      <c r="BA169"/>
      <c r="BB169" t="n">
        <v>0.982</v>
      </c>
      <c r="BC169"/>
      <c r="BD169"/>
      <c r="BE169"/>
      <c r="BF169"/>
      <c r="BG169"/>
      <c r="BH169"/>
      <c r="BI169" t="inlineStr">
        <is>
          <t>mg/kg dry soil</t>
        </is>
      </c>
      <c r="BJ169" t="inlineStr">
        <is>
          <t>Root</t>
        </is>
      </c>
      <c r="BK169"/>
      <c r="BL169" t="n">
        <v>45.0</v>
      </c>
      <c r="BM169"/>
      <c r="BN169"/>
      <c r="BO169"/>
      <c r="BP169"/>
      <c r="BQ169" t="inlineStr">
        <is>
          <t>Day(s)</t>
        </is>
      </c>
      <c r="BR169" t="inlineStr">
        <is>
          <t>Yu,P.F., L. Xiang, X.H. Li, Z.R. Ding, C.H. Mo, Y.W. Li, H. Li, Q.Y. Cai, D.M. Zhou, and M.H. Wong</t>
        </is>
      </c>
      <c r="BS169" t="n">
        <v>182588.0</v>
      </c>
      <c r="BT169" t="inlineStr">
        <is>
          <t>Cultivar-Dependent Accumulation and Translocation of Perfluorooctanesulfonate Among Lettuce ( Lactuca sativa L.) Cultivars Grown on Perfluorooctanesulfonate-Contaminated Soil</t>
        </is>
      </c>
      <c r="BU169" t="inlineStr">
        <is>
          <t>J. Agric. Food Chem.66(50): 13096-13106</t>
        </is>
      </c>
      <c r="BV169" t="n">
        <v>2018.0</v>
      </c>
      <c r="BW16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0">
      <c r="A170" t="n">
        <v>1763231.0</v>
      </c>
      <c r="B170" t="inlineStr">
        <is>
          <t>1,1,2,2,3,3,4,4,5,5,6,6,7,7,8,8,8-Heptadecafluoro-1-octanesulfonic acid</t>
        </is>
      </c>
      <c r="C170"/>
      <c r="D170" t="inlineStr">
        <is>
          <t>Measured</t>
        </is>
      </c>
      <c r="E170" t="inlineStr">
        <is>
          <t>&gt;=</t>
        </is>
      </c>
      <c r="F170" t="n">
        <v>98.0</v>
      </c>
      <c r="G170"/>
      <c r="H170"/>
      <c r="I170"/>
      <c r="J170"/>
      <c r="K170" t="inlineStr">
        <is>
          <t>Lactuca sativa var. longifolia</t>
        </is>
      </c>
      <c r="L170" t="inlineStr">
        <is>
          <t>Romaine Lettuce</t>
        </is>
      </c>
      <c r="M170" t="inlineStr">
        <is>
          <t>Flowers, Trees, Shrubs, Ferns</t>
        </is>
      </c>
      <c r="N170" t="inlineStr">
        <is>
          <t>Seedling</t>
        </is>
      </c>
      <c r="O170"/>
      <c r="P170" t="n">
        <v>14.0</v>
      </c>
      <c r="Q170"/>
      <c r="R170"/>
      <c r="S170"/>
      <c r="T170"/>
      <c r="U170" t="inlineStr">
        <is>
          <t>Day(s)</t>
        </is>
      </c>
      <c r="V170" t="inlineStr">
        <is>
          <t>Environmental, unspecified</t>
        </is>
      </c>
      <c r="W170" t="inlineStr">
        <is>
          <t>Natural soil</t>
        </is>
      </c>
      <c r="X170" t="inlineStr">
        <is>
          <t>Lab</t>
        </is>
      </c>
      <c r="Y170" t="n">
        <v>3.0</v>
      </c>
      <c r="Z170" t="inlineStr">
        <is>
          <t>Active ingredient</t>
        </is>
      </c>
      <c r="AA170"/>
      <c r="AB170" t="n">
        <v>0.194</v>
      </c>
      <c r="AC170"/>
      <c r="AD170"/>
      <c r="AE170"/>
      <c r="AF170"/>
      <c r="AG170" t="inlineStr">
        <is>
          <t>mg/kg dry soil</t>
        </is>
      </c>
      <c r="AH170"/>
      <c r="AI170"/>
      <c r="AJ170"/>
      <c r="AK170"/>
      <c r="AL170"/>
      <c r="AM170"/>
      <c r="AN170"/>
      <c r="AO170"/>
      <c r="AP170"/>
      <c r="AQ170"/>
      <c r="AR170"/>
      <c r="AS170"/>
      <c r="AT170"/>
      <c r="AU170"/>
      <c r="AV170"/>
      <c r="AW170"/>
      <c r="AX170" t="inlineStr">
        <is>
          <t>Accumulation</t>
        </is>
      </c>
      <c r="AY170" t="inlineStr">
        <is>
          <t>Residue</t>
        </is>
      </c>
      <c r="AZ170" t="inlineStr">
        <is>
          <t>BCFD</t>
        </is>
      </c>
      <c r="BA170"/>
      <c r="BB170" t="n">
        <v>0.194</v>
      </c>
      <c r="BC170"/>
      <c r="BD170"/>
      <c r="BE170"/>
      <c r="BF170"/>
      <c r="BG170"/>
      <c r="BH170"/>
      <c r="BI170" t="inlineStr">
        <is>
          <t>mg/kg dry soil</t>
        </is>
      </c>
      <c r="BJ170" t="inlineStr">
        <is>
          <t>Root</t>
        </is>
      </c>
      <c r="BK170"/>
      <c r="BL170" t="n">
        <v>45.0</v>
      </c>
      <c r="BM170"/>
      <c r="BN170"/>
      <c r="BO170"/>
      <c r="BP170"/>
      <c r="BQ170" t="inlineStr">
        <is>
          <t>Day(s)</t>
        </is>
      </c>
      <c r="BR170" t="inlineStr">
        <is>
          <t>Yu,P.F., L. Xiang, X.H. Li, Z.R. Ding, C.H. Mo, Y.W. Li, H. Li, Q.Y. Cai, D.M. Zhou, and M.H. Wong</t>
        </is>
      </c>
      <c r="BS170" t="n">
        <v>182588.0</v>
      </c>
      <c r="BT170" t="inlineStr">
        <is>
          <t>Cultivar-Dependent Accumulation and Translocation of Perfluorooctanesulfonate Among Lettuce ( Lactuca sativa L.) Cultivars Grown on Perfluorooctanesulfonate-Contaminated Soil</t>
        </is>
      </c>
      <c r="BU170" t="inlineStr">
        <is>
          <t>J. Agric. Food Chem.66(50): 13096-13106</t>
        </is>
      </c>
      <c r="BV170" t="n">
        <v>2018.0</v>
      </c>
      <c r="BW17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1">
      <c r="A171" t="n">
        <v>1763231.0</v>
      </c>
      <c r="B171" t="inlineStr">
        <is>
          <t>1,1,2,2,3,3,4,4,5,5,6,6,7,7,8,8,8-Heptadecafluoro-1-octanesulfonic acid</t>
        </is>
      </c>
      <c r="C171"/>
      <c r="D171" t="inlineStr">
        <is>
          <t>Measured</t>
        </is>
      </c>
      <c r="E171" t="inlineStr">
        <is>
          <t>&gt;=</t>
        </is>
      </c>
      <c r="F171" t="n">
        <v>98.0</v>
      </c>
      <c r="G171"/>
      <c r="H171"/>
      <c r="I171"/>
      <c r="J171"/>
      <c r="K171" t="inlineStr">
        <is>
          <t>Lactuca sativa var. longifolia</t>
        </is>
      </c>
      <c r="L171" t="inlineStr">
        <is>
          <t>Romaine Lettuce</t>
        </is>
      </c>
      <c r="M171" t="inlineStr">
        <is>
          <t>Flowers, Trees, Shrubs, Ferns</t>
        </is>
      </c>
      <c r="N171" t="inlineStr">
        <is>
          <t>Seedling</t>
        </is>
      </c>
      <c r="O171"/>
      <c r="P171" t="n">
        <v>14.0</v>
      </c>
      <c r="Q171"/>
      <c r="R171"/>
      <c r="S171"/>
      <c r="T171"/>
      <c r="U171" t="inlineStr">
        <is>
          <t>Day(s)</t>
        </is>
      </c>
      <c r="V171" t="inlineStr">
        <is>
          <t>Environmental, unspecified</t>
        </is>
      </c>
      <c r="W171" t="inlineStr">
        <is>
          <t>Natural soil</t>
        </is>
      </c>
      <c r="X171" t="inlineStr">
        <is>
          <t>Lab</t>
        </is>
      </c>
      <c r="Y171" t="n">
        <v>3.0</v>
      </c>
      <c r="Z171" t="inlineStr">
        <is>
          <t>Active ingredient</t>
        </is>
      </c>
      <c r="AA171"/>
      <c r="AB171" t="n">
        <v>0.982</v>
      </c>
      <c r="AC171"/>
      <c r="AD171"/>
      <c r="AE171"/>
      <c r="AF171"/>
      <c r="AG171" t="inlineStr">
        <is>
          <t>mg/kg dry soil</t>
        </is>
      </c>
      <c r="AH171"/>
      <c r="AI171"/>
      <c r="AJ171"/>
      <c r="AK171"/>
      <c r="AL171"/>
      <c r="AM171"/>
      <c r="AN171"/>
      <c r="AO171"/>
      <c r="AP171"/>
      <c r="AQ171"/>
      <c r="AR171"/>
      <c r="AS171"/>
      <c r="AT171"/>
      <c r="AU171"/>
      <c r="AV171"/>
      <c r="AW171"/>
      <c r="AX171" t="inlineStr">
        <is>
          <t>Accumulation</t>
        </is>
      </c>
      <c r="AY171" t="inlineStr">
        <is>
          <t>Residue</t>
        </is>
      </c>
      <c r="AZ171" t="inlineStr">
        <is>
          <t>BCFD</t>
        </is>
      </c>
      <c r="BA171"/>
      <c r="BB171" t="n">
        <v>0.982</v>
      </c>
      <c r="BC171"/>
      <c r="BD171"/>
      <c r="BE171"/>
      <c r="BF171"/>
      <c r="BG171"/>
      <c r="BH171"/>
      <c r="BI171" t="inlineStr">
        <is>
          <t>mg/kg dry soil</t>
        </is>
      </c>
      <c r="BJ171" t="inlineStr">
        <is>
          <t>Shoot</t>
        </is>
      </c>
      <c r="BK171"/>
      <c r="BL171" t="n">
        <v>45.0</v>
      </c>
      <c r="BM171"/>
      <c r="BN171"/>
      <c r="BO171"/>
      <c r="BP171"/>
      <c r="BQ171" t="inlineStr">
        <is>
          <t>Day(s)</t>
        </is>
      </c>
      <c r="BR171" t="inlineStr">
        <is>
          <t>Yu,P.F., L. Xiang, X.H. Li, Z.R. Ding, C.H. Mo, Y.W. Li, H. Li, Q.Y. Cai, D.M. Zhou, and M.H. Wong</t>
        </is>
      </c>
      <c r="BS171" t="n">
        <v>182588.0</v>
      </c>
      <c r="BT171" t="inlineStr">
        <is>
          <t>Cultivar-Dependent Accumulation and Translocation of Perfluorooctanesulfonate Among Lettuce ( Lactuca sativa L.) Cultivars Grown on Perfluorooctanesulfonate-Contaminated Soil</t>
        </is>
      </c>
      <c r="BU171" t="inlineStr">
        <is>
          <t>J. Agric. Food Chem.66(50): 13096-13106</t>
        </is>
      </c>
      <c r="BV171" t="n">
        <v>2018.0</v>
      </c>
      <c r="BW17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2">
      <c r="A172" t="n">
        <v>1763231.0</v>
      </c>
      <c r="B172" t="inlineStr">
        <is>
          <t>1,1,2,2,3,3,4,4,5,5,6,6,7,7,8,8,8-Heptadecafluoro-1-octanesulfonic acid</t>
        </is>
      </c>
      <c r="C172"/>
      <c r="D172" t="inlineStr">
        <is>
          <t>Measured</t>
        </is>
      </c>
      <c r="E172" t="inlineStr">
        <is>
          <t>&gt;=</t>
        </is>
      </c>
      <c r="F172" t="n">
        <v>98.0</v>
      </c>
      <c r="G172"/>
      <c r="H172"/>
      <c r="I172"/>
      <c r="J172"/>
      <c r="K172" t="inlineStr">
        <is>
          <t>Lactuca sativa var. longifolia</t>
        </is>
      </c>
      <c r="L172" t="inlineStr">
        <is>
          <t>Romaine Lettuce</t>
        </is>
      </c>
      <c r="M172" t="inlineStr">
        <is>
          <t>Flowers, Trees, Shrubs, Ferns</t>
        </is>
      </c>
      <c r="N172" t="inlineStr">
        <is>
          <t>Seedling</t>
        </is>
      </c>
      <c r="O172"/>
      <c r="P172" t="n">
        <v>14.0</v>
      </c>
      <c r="Q172"/>
      <c r="R172"/>
      <c r="S172"/>
      <c r="T172"/>
      <c r="U172" t="inlineStr">
        <is>
          <t>Day(s)</t>
        </is>
      </c>
      <c r="V172" t="inlineStr">
        <is>
          <t>Environmental, unspecified</t>
        </is>
      </c>
      <c r="W172" t="inlineStr">
        <is>
          <t>Natural soil</t>
        </is>
      </c>
      <c r="X172" t="inlineStr">
        <is>
          <t>Lab</t>
        </is>
      </c>
      <c r="Y172" t="n">
        <v>3.0</v>
      </c>
      <c r="Z172" t="inlineStr">
        <is>
          <t>Active ingredient</t>
        </is>
      </c>
      <c r="AA172"/>
      <c r="AB172" t="n">
        <v>0.987</v>
      </c>
      <c r="AC172"/>
      <c r="AD172"/>
      <c r="AE172"/>
      <c r="AF172"/>
      <c r="AG172" t="inlineStr">
        <is>
          <t>mg/kg dry soil</t>
        </is>
      </c>
      <c r="AH172"/>
      <c r="AI172"/>
      <c r="AJ172"/>
      <c r="AK172"/>
      <c r="AL172"/>
      <c r="AM172"/>
      <c r="AN172"/>
      <c r="AO172"/>
      <c r="AP172"/>
      <c r="AQ172"/>
      <c r="AR172"/>
      <c r="AS172"/>
      <c r="AT172"/>
      <c r="AU172"/>
      <c r="AV172"/>
      <c r="AW172"/>
      <c r="AX172" t="inlineStr">
        <is>
          <t>Accumulation</t>
        </is>
      </c>
      <c r="AY172" t="inlineStr">
        <is>
          <t>Residue</t>
        </is>
      </c>
      <c r="AZ172" t="inlineStr">
        <is>
          <t>BCFD</t>
        </is>
      </c>
      <c r="BA172"/>
      <c r="BB172" t="n">
        <v>0.987</v>
      </c>
      <c r="BC172"/>
      <c r="BD172"/>
      <c r="BE172"/>
      <c r="BF172"/>
      <c r="BG172"/>
      <c r="BH172"/>
      <c r="BI172" t="inlineStr">
        <is>
          <t>mg/kg dry soil</t>
        </is>
      </c>
      <c r="BJ172" t="inlineStr">
        <is>
          <t>Root</t>
        </is>
      </c>
      <c r="BK172"/>
      <c r="BL172" t="n">
        <v>45.0</v>
      </c>
      <c r="BM172"/>
      <c r="BN172"/>
      <c r="BO172"/>
      <c r="BP172"/>
      <c r="BQ172" t="inlineStr">
        <is>
          <t>Day(s)</t>
        </is>
      </c>
      <c r="BR172" t="inlineStr">
        <is>
          <t>Yu,P.F., L. Xiang, X.H. Li, Z.R. Ding, C.H. Mo, Y.W. Li, H. Li, Q.Y. Cai, D.M. Zhou, and M.H. Wong</t>
        </is>
      </c>
      <c r="BS172" t="n">
        <v>182588.0</v>
      </c>
      <c r="BT172" t="inlineStr">
        <is>
          <t>Cultivar-Dependent Accumulation and Translocation of Perfluorooctanesulfonate Among Lettuce ( Lactuca sativa L.) Cultivars Grown on Perfluorooctanesulfonate-Contaminated Soil</t>
        </is>
      </c>
      <c r="BU172" t="inlineStr">
        <is>
          <t>J. Agric. Food Chem.66(50): 13096-13106</t>
        </is>
      </c>
      <c r="BV172" t="n">
        <v>2018.0</v>
      </c>
      <c r="BW17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3">
      <c r="A173" t="n">
        <v>1763231.0</v>
      </c>
      <c r="B173" t="inlineStr">
        <is>
          <t>1,1,2,2,3,3,4,4,5,5,6,6,7,7,8,8,8-Heptadecafluoro-1-octanesulfonic acid</t>
        </is>
      </c>
      <c r="C173"/>
      <c r="D173" t="inlineStr">
        <is>
          <t>Measured</t>
        </is>
      </c>
      <c r="E173" t="inlineStr">
        <is>
          <t>&gt;=</t>
        </is>
      </c>
      <c r="F173" t="n">
        <v>98.0</v>
      </c>
      <c r="G173"/>
      <c r="H173"/>
      <c r="I173"/>
      <c r="J173"/>
      <c r="K173" t="inlineStr">
        <is>
          <t>Lactuca sativa var. longifolia</t>
        </is>
      </c>
      <c r="L173" t="inlineStr">
        <is>
          <t>Romaine Lettuce</t>
        </is>
      </c>
      <c r="M173" t="inlineStr">
        <is>
          <t>Flowers, Trees, Shrubs, Ferns</t>
        </is>
      </c>
      <c r="N173" t="inlineStr">
        <is>
          <t>Seedling</t>
        </is>
      </c>
      <c r="O173"/>
      <c r="P173" t="n">
        <v>14.0</v>
      </c>
      <c r="Q173"/>
      <c r="R173"/>
      <c r="S173"/>
      <c r="T173"/>
      <c r="U173" t="inlineStr">
        <is>
          <t>Day(s)</t>
        </is>
      </c>
      <c r="V173" t="inlineStr">
        <is>
          <t>Environmental, unspecified</t>
        </is>
      </c>
      <c r="W173" t="inlineStr">
        <is>
          <t>Natural soil</t>
        </is>
      </c>
      <c r="X173" t="inlineStr">
        <is>
          <t>Lab</t>
        </is>
      </c>
      <c r="Y173" t="n">
        <v>3.0</v>
      </c>
      <c r="Z173" t="inlineStr">
        <is>
          <t>Active ingredient</t>
        </is>
      </c>
      <c r="AA173"/>
      <c r="AB173" t="n">
        <v>0.19</v>
      </c>
      <c r="AC173"/>
      <c r="AD173"/>
      <c r="AE173"/>
      <c r="AF173"/>
      <c r="AG173" t="inlineStr">
        <is>
          <t>mg/kg dry soil</t>
        </is>
      </c>
      <c r="AH173"/>
      <c r="AI173"/>
      <c r="AJ173"/>
      <c r="AK173"/>
      <c r="AL173"/>
      <c r="AM173"/>
      <c r="AN173"/>
      <c r="AO173"/>
      <c r="AP173"/>
      <c r="AQ173"/>
      <c r="AR173"/>
      <c r="AS173"/>
      <c r="AT173"/>
      <c r="AU173"/>
      <c r="AV173"/>
      <c r="AW173"/>
      <c r="AX173" t="inlineStr">
        <is>
          <t>Accumulation</t>
        </is>
      </c>
      <c r="AY173" t="inlineStr">
        <is>
          <t>Residue</t>
        </is>
      </c>
      <c r="AZ173" t="inlineStr">
        <is>
          <t>BCFD</t>
        </is>
      </c>
      <c r="BA173"/>
      <c r="BB173" t="n">
        <v>0.19</v>
      </c>
      <c r="BC173"/>
      <c r="BD173"/>
      <c r="BE173"/>
      <c r="BF173"/>
      <c r="BG173"/>
      <c r="BH173"/>
      <c r="BI173" t="inlineStr">
        <is>
          <t>mg/kg dry soil</t>
        </is>
      </c>
      <c r="BJ173" t="inlineStr">
        <is>
          <t>Root</t>
        </is>
      </c>
      <c r="BK173"/>
      <c r="BL173" t="n">
        <v>45.0</v>
      </c>
      <c r="BM173"/>
      <c r="BN173"/>
      <c r="BO173"/>
      <c r="BP173"/>
      <c r="BQ173" t="inlineStr">
        <is>
          <t>Day(s)</t>
        </is>
      </c>
      <c r="BR173" t="inlineStr">
        <is>
          <t>Yu,P.F., L. Xiang, X.H. Li, Z.R. Ding, C.H. Mo, Y.W. Li, H. Li, Q.Y. Cai, D.M. Zhou, and M.H. Wong</t>
        </is>
      </c>
      <c r="BS173" t="n">
        <v>182588.0</v>
      </c>
      <c r="BT173" t="inlineStr">
        <is>
          <t>Cultivar-Dependent Accumulation and Translocation of Perfluorooctanesulfonate Among Lettuce ( Lactuca sativa L.) Cultivars Grown on Perfluorooctanesulfonate-Contaminated Soil</t>
        </is>
      </c>
      <c r="BU173" t="inlineStr">
        <is>
          <t>J. Agric. Food Chem.66(50): 13096-13106</t>
        </is>
      </c>
      <c r="BV173" t="n">
        <v>2018.0</v>
      </c>
      <c r="BW17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4">
      <c r="A174" t="n">
        <v>1763231.0</v>
      </c>
      <c r="B174" t="inlineStr">
        <is>
          <t>1,1,2,2,3,3,4,4,5,5,6,6,7,7,8,8,8-Heptadecafluoro-1-octanesulfonic acid</t>
        </is>
      </c>
      <c r="C174"/>
      <c r="D174" t="inlineStr">
        <is>
          <t>Measured</t>
        </is>
      </c>
      <c r="E174" t="inlineStr">
        <is>
          <t>&gt;=</t>
        </is>
      </c>
      <c r="F174" t="n">
        <v>98.0</v>
      </c>
      <c r="G174"/>
      <c r="H174"/>
      <c r="I174"/>
      <c r="J174"/>
      <c r="K174" t="inlineStr">
        <is>
          <t>Lactuca sativa var. longifolia</t>
        </is>
      </c>
      <c r="L174" t="inlineStr">
        <is>
          <t>Romaine Lettuce</t>
        </is>
      </c>
      <c r="M174" t="inlineStr">
        <is>
          <t>Flowers, Trees, Shrubs, Ferns</t>
        </is>
      </c>
      <c r="N174" t="inlineStr">
        <is>
          <t>Seedling</t>
        </is>
      </c>
      <c r="O174"/>
      <c r="P174" t="n">
        <v>14.0</v>
      </c>
      <c r="Q174"/>
      <c r="R174"/>
      <c r="S174"/>
      <c r="T174"/>
      <c r="U174" t="inlineStr">
        <is>
          <t>Day(s)</t>
        </is>
      </c>
      <c r="V174" t="inlineStr">
        <is>
          <t>Environmental, unspecified</t>
        </is>
      </c>
      <c r="W174" t="inlineStr">
        <is>
          <t>Natural soil</t>
        </is>
      </c>
      <c r="X174" t="inlineStr">
        <is>
          <t>Lab</t>
        </is>
      </c>
      <c r="Y174" t="n">
        <v>3.0</v>
      </c>
      <c r="Z174" t="inlineStr">
        <is>
          <t>Active ingredient</t>
        </is>
      </c>
      <c r="AA174"/>
      <c r="AB174" t="n">
        <v>0.987</v>
      </c>
      <c r="AC174"/>
      <c r="AD174"/>
      <c r="AE174"/>
      <c r="AF174"/>
      <c r="AG174" t="inlineStr">
        <is>
          <t>mg/kg dry soil</t>
        </is>
      </c>
      <c r="AH174"/>
      <c r="AI174"/>
      <c r="AJ174"/>
      <c r="AK174"/>
      <c r="AL174"/>
      <c r="AM174"/>
      <c r="AN174"/>
      <c r="AO174"/>
      <c r="AP174"/>
      <c r="AQ174"/>
      <c r="AR174"/>
      <c r="AS174"/>
      <c r="AT174"/>
      <c r="AU174"/>
      <c r="AV174"/>
      <c r="AW174"/>
      <c r="AX174" t="inlineStr">
        <is>
          <t>Accumulation</t>
        </is>
      </c>
      <c r="AY174" t="inlineStr">
        <is>
          <t>Residue</t>
        </is>
      </c>
      <c r="AZ174" t="inlineStr">
        <is>
          <t>BCFD</t>
        </is>
      </c>
      <c r="BA174"/>
      <c r="BB174" t="n">
        <v>0.987</v>
      </c>
      <c r="BC174"/>
      <c r="BD174"/>
      <c r="BE174"/>
      <c r="BF174"/>
      <c r="BG174"/>
      <c r="BH174"/>
      <c r="BI174" t="inlineStr">
        <is>
          <t>mg/kg dry soil</t>
        </is>
      </c>
      <c r="BJ174" t="inlineStr">
        <is>
          <t>Shoot</t>
        </is>
      </c>
      <c r="BK174"/>
      <c r="BL174" t="n">
        <v>45.0</v>
      </c>
      <c r="BM174"/>
      <c r="BN174"/>
      <c r="BO174"/>
      <c r="BP174"/>
      <c r="BQ174" t="inlineStr">
        <is>
          <t>Day(s)</t>
        </is>
      </c>
      <c r="BR174" t="inlineStr">
        <is>
          <t>Yu,P.F., L. Xiang, X.H. Li, Z.R. Ding, C.H. Mo, Y.W. Li, H. Li, Q.Y. Cai, D.M. Zhou, and M.H. Wong</t>
        </is>
      </c>
      <c r="BS174" t="n">
        <v>182588.0</v>
      </c>
      <c r="BT174" t="inlineStr">
        <is>
          <t>Cultivar-Dependent Accumulation and Translocation of Perfluorooctanesulfonate Among Lettuce ( Lactuca sativa L.) Cultivars Grown on Perfluorooctanesulfonate-Contaminated Soil</t>
        </is>
      </c>
      <c r="BU174" t="inlineStr">
        <is>
          <t>J. Agric. Food Chem.66(50): 13096-13106</t>
        </is>
      </c>
      <c r="BV174" t="n">
        <v>2018.0</v>
      </c>
      <c r="BW17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5">
      <c r="A175" t="n">
        <v>1763231.0</v>
      </c>
      <c r="B175" t="inlineStr">
        <is>
          <t>1,1,2,2,3,3,4,4,5,5,6,6,7,7,8,8,8-Heptadecafluoro-1-octanesulfonic acid</t>
        </is>
      </c>
      <c r="C175"/>
      <c r="D175" t="inlineStr">
        <is>
          <t>Measured</t>
        </is>
      </c>
      <c r="E175" t="inlineStr">
        <is>
          <t>&gt;=</t>
        </is>
      </c>
      <c r="F175" t="n">
        <v>98.0</v>
      </c>
      <c r="G175"/>
      <c r="H175"/>
      <c r="I175"/>
      <c r="J175"/>
      <c r="K175" t="inlineStr">
        <is>
          <t>Lactuca sativa var. longifolia</t>
        </is>
      </c>
      <c r="L175" t="inlineStr">
        <is>
          <t>Romaine Lettuce</t>
        </is>
      </c>
      <c r="M175" t="inlineStr">
        <is>
          <t>Flowers, Trees, Shrubs, Ferns</t>
        </is>
      </c>
      <c r="N175" t="inlineStr">
        <is>
          <t>Seedling</t>
        </is>
      </c>
      <c r="O175"/>
      <c r="P175" t="n">
        <v>14.0</v>
      </c>
      <c r="Q175"/>
      <c r="R175"/>
      <c r="S175"/>
      <c r="T175"/>
      <c r="U175" t="inlineStr">
        <is>
          <t>Day(s)</t>
        </is>
      </c>
      <c r="V175" t="inlineStr">
        <is>
          <t>Environmental, unspecified</t>
        </is>
      </c>
      <c r="W175" t="inlineStr">
        <is>
          <t>Natural soil</t>
        </is>
      </c>
      <c r="X175" t="inlineStr">
        <is>
          <t>Lab</t>
        </is>
      </c>
      <c r="Y175" t="n">
        <v>3.0</v>
      </c>
      <c r="Z175" t="inlineStr">
        <is>
          <t>Active ingredient</t>
        </is>
      </c>
      <c r="AA175"/>
      <c r="AB175" t="n">
        <v>0.981</v>
      </c>
      <c r="AC175"/>
      <c r="AD175"/>
      <c r="AE175"/>
      <c r="AF175"/>
      <c r="AG175" t="inlineStr">
        <is>
          <t>mg/kg dry soil</t>
        </is>
      </c>
      <c r="AH175"/>
      <c r="AI175"/>
      <c r="AJ175"/>
      <c r="AK175"/>
      <c r="AL175"/>
      <c r="AM175"/>
      <c r="AN175"/>
      <c r="AO175"/>
      <c r="AP175"/>
      <c r="AQ175"/>
      <c r="AR175"/>
      <c r="AS175"/>
      <c r="AT175"/>
      <c r="AU175"/>
      <c r="AV175"/>
      <c r="AW175"/>
      <c r="AX175" t="inlineStr">
        <is>
          <t>Accumulation</t>
        </is>
      </c>
      <c r="AY175" t="inlineStr">
        <is>
          <t>Residue</t>
        </is>
      </c>
      <c r="AZ175" t="inlineStr">
        <is>
          <t>BCFD</t>
        </is>
      </c>
      <c r="BA175"/>
      <c r="BB175" t="n">
        <v>0.981</v>
      </c>
      <c r="BC175"/>
      <c r="BD175"/>
      <c r="BE175"/>
      <c r="BF175"/>
      <c r="BG175"/>
      <c r="BH175"/>
      <c r="BI175" t="inlineStr">
        <is>
          <t>mg/kg dry soil</t>
        </is>
      </c>
      <c r="BJ175" t="inlineStr">
        <is>
          <t>Root</t>
        </is>
      </c>
      <c r="BK175"/>
      <c r="BL175" t="n">
        <v>45.0</v>
      </c>
      <c r="BM175"/>
      <c r="BN175"/>
      <c r="BO175"/>
      <c r="BP175"/>
      <c r="BQ175" t="inlineStr">
        <is>
          <t>Day(s)</t>
        </is>
      </c>
      <c r="BR175" t="inlineStr">
        <is>
          <t>Yu,P.F., L. Xiang, X.H. Li, Z.R. Ding, C.H. Mo, Y.W. Li, H. Li, Q.Y. Cai, D.M. Zhou, and M.H. Wong</t>
        </is>
      </c>
      <c r="BS175" t="n">
        <v>182588.0</v>
      </c>
      <c r="BT175" t="inlineStr">
        <is>
          <t>Cultivar-Dependent Accumulation and Translocation of Perfluorooctanesulfonate Among Lettuce ( Lactuca sativa L.) Cultivars Grown on Perfluorooctanesulfonate-Contaminated Soil</t>
        </is>
      </c>
      <c r="BU175" t="inlineStr">
        <is>
          <t>J. Agric. Food Chem.66(50): 13096-13106</t>
        </is>
      </c>
      <c r="BV175" t="n">
        <v>2018.0</v>
      </c>
      <c r="BW17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6">
      <c r="A176" t="n">
        <v>1763231.0</v>
      </c>
      <c r="B176" t="inlineStr">
        <is>
          <t>1,1,2,2,3,3,4,4,5,5,6,6,7,7,8,8,8-Heptadecafluoro-1-octanesulfonic acid</t>
        </is>
      </c>
      <c r="C176"/>
      <c r="D176" t="inlineStr">
        <is>
          <t>Measured</t>
        </is>
      </c>
      <c r="E176" t="inlineStr">
        <is>
          <t>&gt;=</t>
        </is>
      </c>
      <c r="F176" t="n">
        <v>98.0</v>
      </c>
      <c r="G176"/>
      <c r="H176"/>
      <c r="I176"/>
      <c r="J176"/>
      <c r="K176" t="inlineStr">
        <is>
          <t>Lactuca sativa var. longifolia</t>
        </is>
      </c>
      <c r="L176" t="inlineStr">
        <is>
          <t>Romaine Lettuce</t>
        </is>
      </c>
      <c r="M176" t="inlineStr">
        <is>
          <t>Flowers, Trees, Shrubs, Ferns</t>
        </is>
      </c>
      <c r="N176" t="inlineStr">
        <is>
          <t>Seedling</t>
        </is>
      </c>
      <c r="O176"/>
      <c r="P176" t="n">
        <v>14.0</v>
      </c>
      <c r="Q176"/>
      <c r="R176"/>
      <c r="S176"/>
      <c r="T176"/>
      <c r="U176" t="inlineStr">
        <is>
          <t>Day(s)</t>
        </is>
      </c>
      <c r="V176" t="inlineStr">
        <is>
          <t>Environmental, unspecified</t>
        </is>
      </c>
      <c r="W176" t="inlineStr">
        <is>
          <t>Natural soil</t>
        </is>
      </c>
      <c r="X176" t="inlineStr">
        <is>
          <t>Lab</t>
        </is>
      </c>
      <c r="Y176" t="n">
        <v>3.0</v>
      </c>
      <c r="Z176" t="inlineStr">
        <is>
          <t>Active ingredient</t>
        </is>
      </c>
      <c r="AA176"/>
      <c r="AB176" t="n">
        <v>0.191</v>
      </c>
      <c r="AC176"/>
      <c r="AD176"/>
      <c r="AE176"/>
      <c r="AF176"/>
      <c r="AG176" t="inlineStr">
        <is>
          <t>mg/kg dry soil</t>
        </is>
      </c>
      <c r="AH176"/>
      <c r="AI176"/>
      <c r="AJ176"/>
      <c r="AK176"/>
      <c r="AL176"/>
      <c r="AM176"/>
      <c r="AN176"/>
      <c r="AO176"/>
      <c r="AP176"/>
      <c r="AQ176"/>
      <c r="AR176"/>
      <c r="AS176"/>
      <c r="AT176"/>
      <c r="AU176"/>
      <c r="AV176"/>
      <c r="AW176"/>
      <c r="AX176" t="inlineStr">
        <is>
          <t>Accumulation</t>
        </is>
      </c>
      <c r="AY176" t="inlineStr">
        <is>
          <t>Residue</t>
        </is>
      </c>
      <c r="AZ176" t="inlineStr">
        <is>
          <t>BCFD</t>
        </is>
      </c>
      <c r="BA176"/>
      <c r="BB176" t="n">
        <v>0.191</v>
      </c>
      <c r="BC176"/>
      <c r="BD176"/>
      <c r="BE176"/>
      <c r="BF176"/>
      <c r="BG176"/>
      <c r="BH176"/>
      <c r="BI176" t="inlineStr">
        <is>
          <t>mg/kg dry soil</t>
        </is>
      </c>
      <c r="BJ176" t="inlineStr">
        <is>
          <t>Shoot</t>
        </is>
      </c>
      <c r="BK176"/>
      <c r="BL176" t="n">
        <v>45.0</v>
      </c>
      <c r="BM176"/>
      <c r="BN176"/>
      <c r="BO176"/>
      <c r="BP176"/>
      <c r="BQ176" t="inlineStr">
        <is>
          <t>Day(s)</t>
        </is>
      </c>
      <c r="BR176" t="inlineStr">
        <is>
          <t>Yu,P.F., L. Xiang, X.H. Li, Z.R. Ding, C.H. Mo, Y.W. Li, H. Li, Q.Y. Cai, D.M. Zhou, and M.H. Wong</t>
        </is>
      </c>
      <c r="BS176" t="n">
        <v>182588.0</v>
      </c>
      <c r="BT176" t="inlineStr">
        <is>
          <t>Cultivar-Dependent Accumulation and Translocation of Perfluorooctanesulfonate Among Lettuce ( Lactuca sativa L.) Cultivars Grown on Perfluorooctanesulfonate-Contaminated Soil</t>
        </is>
      </c>
      <c r="BU176" t="inlineStr">
        <is>
          <t>J. Agric. Food Chem.66(50): 13096-13106</t>
        </is>
      </c>
      <c r="BV176" t="n">
        <v>2018.0</v>
      </c>
      <c r="BW17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7">
      <c r="A177" t="n">
        <v>1763231.0</v>
      </c>
      <c r="B177" t="inlineStr">
        <is>
          <t>1,1,2,2,3,3,4,4,5,5,6,6,7,7,8,8,8-Heptadecafluoro-1-octanesulfonic acid</t>
        </is>
      </c>
      <c r="C177"/>
      <c r="D177" t="inlineStr">
        <is>
          <t>Measured</t>
        </is>
      </c>
      <c r="E177" t="inlineStr">
        <is>
          <t>&gt;=</t>
        </is>
      </c>
      <c r="F177" t="n">
        <v>98.0</v>
      </c>
      <c r="G177"/>
      <c r="H177"/>
      <c r="I177"/>
      <c r="J177"/>
      <c r="K177" t="inlineStr">
        <is>
          <t>Lactuca sativa var. longifolia</t>
        </is>
      </c>
      <c r="L177" t="inlineStr">
        <is>
          <t>Romaine Lettuce</t>
        </is>
      </c>
      <c r="M177" t="inlineStr">
        <is>
          <t>Flowers, Trees, Shrubs, Ferns</t>
        </is>
      </c>
      <c r="N177" t="inlineStr">
        <is>
          <t>Seedling</t>
        </is>
      </c>
      <c r="O177"/>
      <c r="P177" t="n">
        <v>14.0</v>
      </c>
      <c r="Q177"/>
      <c r="R177"/>
      <c r="S177"/>
      <c r="T177"/>
      <c r="U177" t="inlineStr">
        <is>
          <t>Day(s)</t>
        </is>
      </c>
      <c r="V177" t="inlineStr">
        <is>
          <t>Environmental, unspecified</t>
        </is>
      </c>
      <c r="W177" t="inlineStr">
        <is>
          <t>Natural soil</t>
        </is>
      </c>
      <c r="X177" t="inlineStr">
        <is>
          <t>Lab</t>
        </is>
      </c>
      <c r="Y177" t="n">
        <v>3.0</v>
      </c>
      <c r="Z177" t="inlineStr">
        <is>
          <t>Active ingredient</t>
        </is>
      </c>
      <c r="AA177"/>
      <c r="AB177" t="n">
        <v>0.19</v>
      </c>
      <c r="AC177"/>
      <c r="AD177"/>
      <c r="AE177"/>
      <c r="AF177"/>
      <c r="AG177" t="inlineStr">
        <is>
          <t>mg/kg dry soil</t>
        </is>
      </c>
      <c r="AH177"/>
      <c r="AI177"/>
      <c r="AJ177"/>
      <c r="AK177"/>
      <c r="AL177"/>
      <c r="AM177"/>
      <c r="AN177"/>
      <c r="AO177"/>
      <c r="AP177"/>
      <c r="AQ177"/>
      <c r="AR177"/>
      <c r="AS177"/>
      <c r="AT177"/>
      <c r="AU177"/>
      <c r="AV177"/>
      <c r="AW177"/>
      <c r="AX177" t="inlineStr">
        <is>
          <t>Accumulation</t>
        </is>
      </c>
      <c r="AY177" t="inlineStr">
        <is>
          <t>Residue</t>
        </is>
      </c>
      <c r="AZ177" t="inlineStr">
        <is>
          <t>BCFD</t>
        </is>
      </c>
      <c r="BA177"/>
      <c r="BB177" t="n">
        <v>0.19</v>
      </c>
      <c r="BC177"/>
      <c r="BD177"/>
      <c r="BE177"/>
      <c r="BF177"/>
      <c r="BG177"/>
      <c r="BH177"/>
      <c r="BI177" t="inlineStr">
        <is>
          <t>mg/kg dry soil</t>
        </is>
      </c>
      <c r="BJ177" t="inlineStr">
        <is>
          <t>Shoot</t>
        </is>
      </c>
      <c r="BK177"/>
      <c r="BL177" t="n">
        <v>45.0</v>
      </c>
      <c r="BM177"/>
      <c r="BN177"/>
      <c r="BO177"/>
      <c r="BP177"/>
      <c r="BQ177" t="inlineStr">
        <is>
          <t>Day(s)</t>
        </is>
      </c>
      <c r="BR177" t="inlineStr">
        <is>
          <t>Yu,P.F., L. Xiang, X.H. Li, Z.R. Ding, C.H. Mo, Y.W. Li, H. Li, Q.Y. Cai, D.M. Zhou, and M.H. Wong</t>
        </is>
      </c>
      <c r="BS177" t="n">
        <v>182588.0</v>
      </c>
      <c r="BT177" t="inlineStr">
        <is>
          <t>Cultivar-Dependent Accumulation and Translocation of Perfluorooctanesulfonate Among Lettuce ( Lactuca sativa L.) Cultivars Grown on Perfluorooctanesulfonate-Contaminated Soil</t>
        </is>
      </c>
      <c r="BU177" t="inlineStr">
        <is>
          <t>J. Agric. Food Chem.66(50): 13096-13106</t>
        </is>
      </c>
      <c r="BV177" t="n">
        <v>2018.0</v>
      </c>
      <c r="BW17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8">
      <c r="A178" t="n">
        <v>1763231.0</v>
      </c>
      <c r="B178" t="inlineStr">
        <is>
          <t>1,1,2,2,3,3,4,4,5,5,6,6,7,7,8,8,8-Heptadecafluoro-1-octanesulfonic acid</t>
        </is>
      </c>
      <c r="C178"/>
      <c r="D178" t="inlineStr">
        <is>
          <t>Measured</t>
        </is>
      </c>
      <c r="E178" t="inlineStr">
        <is>
          <t>&gt;=</t>
        </is>
      </c>
      <c r="F178" t="n">
        <v>98.0</v>
      </c>
      <c r="G178"/>
      <c r="H178"/>
      <c r="I178"/>
      <c r="J178"/>
      <c r="K178" t="inlineStr">
        <is>
          <t>Lactuca sativa var. longifolia</t>
        </is>
      </c>
      <c r="L178" t="inlineStr">
        <is>
          <t>Romaine Lettuce</t>
        </is>
      </c>
      <c r="M178" t="inlineStr">
        <is>
          <t>Flowers, Trees, Shrubs, Ferns</t>
        </is>
      </c>
      <c r="N178" t="inlineStr">
        <is>
          <t>Seedling</t>
        </is>
      </c>
      <c r="O178"/>
      <c r="P178" t="n">
        <v>14.0</v>
      </c>
      <c r="Q178"/>
      <c r="R178"/>
      <c r="S178"/>
      <c r="T178"/>
      <c r="U178" t="inlineStr">
        <is>
          <t>Day(s)</t>
        </is>
      </c>
      <c r="V178" t="inlineStr">
        <is>
          <t>Environmental, unspecified</t>
        </is>
      </c>
      <c r="W178" t="inlineStr">
        <is>
          <t>Natural soil</t>
        </is>
      </c>
      <c r="X178" t="inlineStr">
        <is>
          <t>Lab</t>
        </is>
      </c>
      <c r="Y178" t="n">
        <v>3.0</v>
      </c>
      <c r="Z178" t="inlineStr">
        <is>
          <t>Active ingredient</t>
        </is>
      </c>
      <c r="AA178"/>
      <c r="AB178" t="n">
        <v>0.99</v>
      </c>
      <c r="AC178"/>
      <c r="AD178"/>
      <c r="AE178"/>
      <c r="AF178"/>
      <c r="AG178" t="inlineStr">
        <is>
          <t>mg/kg dry soil</t>
        </is>
      </c>
      <c r="AH178"/>
      <c r="AI178"/>
      <c r="AJ178"/>
      <c r="AK178"/>
      <c r="AL178"/>
      <c r="AM178"/>
      <c r="AN178"/>
      <c r="AO178"/>
      <c r="AP178"/>
      <c r="AQ178"/>
      <c r="AR178"/>
      <c r="AS178"/>
      <c r="AT178"/>
      <c r="AU178"/>
      <c r="AV178"/>
      <c r="AW178"/>
      <c r="AX178" t="inlineStr">
        <is>
          <t>Accumulation</t>
        </is>
      </c>
      <c r="AY178" t="inlineStr">
        <is>
          <t>Residue</t>
        </is>
      </c>
      <c r="AZ178" t="inlineStr">
        <is>
          <t>BCFD</t>
        </is>
      </c>
      <c r="BA178"/>
      <c r="BB178" t="n">
        <v>0.99</v>
      </c>
      <c r="BC178"/>
      <c r="BD178"/>
      <c r="BE178"/>
      <c r="BF178"/>
      <c r="BG178"/>
      <c r="BH178"/>
      <c r="BI178" t="inlineStr">
        <is>
          <t>mg/kg dry soil</t>
        </is>
      </c>
      <c r="BJ178" t="inlineStr">
        <is>
          <t>Shoot</t>
        </is>
      </c>
      <c r="BK178"/>
      <c r="BL178" t="n">
        <v>45.0</v>
      </c>
      <c r="BM178"/>
      <c r="BN178"/>
      <c r="BO178"/>
      <c r="BP178"/>
      <c r="BQ178" t="inlineStr">
        <is>
          <t>Day(s)</t>
        </is>
      </c>
      <c r="BR178" t="inlineStr">
        <is>
          <t>Yu,P.F., L. Xiang, X.H. Li, Z.R. Ding, C.H. Mo, Y.W. Li, H. Li, Q.Y. Cai, D.M. Zhou, and M.H. Wong</t>
        </is>
      </c>
      <c r="BS178" t="n">
        <v>182588.0</v>
      </c>
      <c r="BT178" t="inlineStr">
        <is>
          <t>Cultivar-Dependent Accumulation and Translocation of Perfluorooctanesulfonate Among Lettuce ( Lactuca sativa L.) Cultivars Grown on Perfluorooctanesulfonate-Contaminated Soil</t>
        </is>
      </c>
      <c r="BU178" t="inlineStr">
        <is>
          <t>J. Agric. Food Chem.66(50): 13096-13106</t>
        </is>
      </c>
      <c r="BV178" t="n">
        <v>2018.0</v>
      </c>
      <c r="BW17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79">
      <c r="A179" t="n">
        <v>1763231.0</v>
      </c>
      <c r="B179" t="inlineStr">
        <is>
          <t>1,1,2,2,3,3,4,4,5,5,6,6,7,7,8,8,8-Heptadecafluoro-1-octanesulfonic acid</t>
        </is>
      </c>
      <c r="C179"/>
      <c r="D179" t="inlineStr">
        <is>
          <t>Measured</t>
        </is>
      </c>
      <c r="E179" t="inlineStr">
        <is>
          <t>&gt;=</t>
        </is>
      </c>
      <c r="F179" t="n">
        <v>98.0</v>
      </c>
      <c r="G179"/>
      <c r="H179"/>
      <c r="I179"/>
      <c r="J179"/>
      <c r="K179" t="inlineStr">
        <is>
          <t>Lactuca sativa var. longifolia</t>
        </is>
      </c>
      <c r="L179" t="inlineStr">
        <is>
          <t>Romaine Lettuce</t>
        </is>
      </c>
      <c r="M179" t="inlineStr">
        <is>
          <t>Flowers, Trees, Shrubs, Ferns</t>
        </is>
      </c>
      <c r="N179" t="inlineStr">
        <is>
          <t>Seedling</t>
        </is>
      </c>
      <c r="O179"/>
      <c r="P179" t="n">
        <v>14.0</v>
      </c>
      <c r="Q179"/>
      <c r="R179"/>
      <c r="S179"/>
      <c r="T179"/>
      <c r="U179" t="inlineStr">
        <is>
          <t>Day(s)</t>
        </is>
      </c>
      <c r="V179" t="inlineStr">
        <is>
          <t>Environmental, unspecified</t>
        </is>
      </c>
      <c r="W179" t="inlineStr">
        <is>
          <t>Natural soil</t>
        </is>
      </c>
      <c r="X179" t="inlineStr">
        <is>
          <t>Lab</t>
        </is>
      </c>
      <c r="Y179" t="n">
        <v>3.0</v>
      </c>
      <c r="Z179" t="inlineStr">
        <is>
          <t>Active ingredient</t>
        </is>
      </c>
      <c r="AA179"/>
      <c r="AB179" t="n">
        <v>0.19</v>
      </c>
      <c r="AC179"/>
      <c r="AD179"/>
      <c r="AE179"/>
      <c r="AF179"/>
      <c r="AG179" t="inlineStr">
        <is>
          <t>mg/kg dry soil</t>
        </is>
      </c>
      <c r="AH179"/>
      <c r="AI179"/>
      <c r="AJ179"/>
      <c r="AK179"/>
      <c r="AL179"/>
      <c r="AM179"/>
      <c r="AN179"/>
      <c r="AO179"/>
      <c r="AP179"/>
      <c r="AQ179"/>
      <c r="AR179"/>
      <c r="AS179"/>
      <c r="AT179"/>
      <c r="AU179"/>
      <c r="AV179"/>
      <c r="AW179"/>
      <c r="AX179" t="inlineStr">
        <is>
          <t>Accumulation</t>
        </is>
      </c>
      <c r="AY179" t="inlineStr">
        <is>
          <t>Residue</t>
        </is>
      </c>
      <c r="AZ179" t="inlineStr">
        <is>
          <t>BCFD</t>
        </is>
      </c>
      <c r="BA179"/>
      <c r="BB179" t="n">
        <v>0.19</v>
      </c>
      <c r="BC179"/>
      <c r="BD179"/>
      <c r="BE179"/>
      <c r="BF179"/>
      <c r="BG179"/>
      <c r="BH179"/>
      <c r="BI179" t="inlineStr">
        <is>
          <t>mg/kg dry soil</t>
        </is>
      </c>
      <c r="BJ179" t="inlineStr">
        <is>
          <t>Root</t>
        </is>
      </c>
      <c r="BK179"/>
      <c r="BL179" t="n">
        <v>45.0</v>
      </c>
      <c r="BM179"/>
      <c r="BN179"/>
      <c r="BO179"/>
      <c r="BP179"/>
      <c r="BQ179" t="inlineStr">
        <is>
          <t>Day(s)</t>
        </is>
      </c>
      <c r="BR179" t="inlineStr">
        <is>
          <t>Yu,P.F., L. Xiang, X.H. Li, Z.R. Ding, C.H. Mo, Y.W. Li, H. Li, Q.Y. Cai, D.M. Zhou, and M.H. Wong</t>
        </is>
      </c>
      <c r="BS179" t="n">
        <v>182588.0</v>
      </c>
      <c r="BT179" t="inlineStr">
        <is>
          <t>Cultivar-Dependent Accumulation and Translocation of Perfluorooctanesulfonate Among Lettuce ( Lactuca sativa L.) Cultivars Grown on Perfluorooctanesulfonate-Contaminated Soil</t>
        </is>
      </c>
      <c r="BU179" t="inlineStr">
        <is>
          <t>J. Agric. Food Chem.66(50): 13096-13106</t>
        </is>
      </c>
      <c r="BV179" t="n">
        <v>2018.0</v>
      </c>
      <c r="BW17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0">
      <c r="A180" t="n">
        <v>1763231.0</v>
      </c>
      <c r="B180" t="inlineStr">
        <is>
          <t>1,1,2,2,3,3,4,4,5,5,6,6,7,7,8,8,8-Heptadecafluoro-1-octanesulfonic acid</t>
        </is>
      </c>
      <c r="C180"/>
      <c r="D180" t="inlineStr">
        <is>
          <t>Measured</t>
        </is>
      </c>
      <c r="E180" t="inlineStr">
        <is>
          <t>&gt;=</t>
        </is>
      </c>
      <c r="F180" t="n">
        <v>98.0</v>
      </c>
      <c r="G180"/>
      <c r="H180"/>
      <c r="I180"/>
      <c r="J180"/>
      <c r="K180" t="inlineStr">
        <is>
          <t>Lactuca sativa var. longifolia</t>
        </is>
      </c>
      <c r="L180" t="inlineStr">
        <is>
          <t>Romaine Lettuce</t>
        </is>
      </c>
      <c r="M180" t="inlineStr">
        <is>
          <t>Flowers, Trees, Shrubs, Ferns</t>
        </is>
      </c>
      <c r="N180" t="inlineStr">
        <is>
          <t>Seedling</t>
        </is>
      </c>
      <c r="O180"/>
      <c r="P180" t="n">
        <v>14.0</v>
      </c>
      <c r="Q180"/>
      <c r="R180"/>
      <c r="S180"/>
      <c r="T180"/>
      <c r="U180" t="inlineStr">
        <is>
          <t>Day(s)</t>
        </is>
      </c>
      <c r="V180" t="inlineStr">
        <is>
          <t>Environmental, unspecified</t>
        </is>
      </c>
      <c r="W180" t="inlineStr">
        <is>
          <t>Natural soil</t>
        </is>
      </c>
      <c r="X180" t="inlineStr">
        <is>
          <t>Lab</t>
        </is>
      </c>
      <c r="Y180" t="n">
        <v>3.0</v>
      </c>
      <c r="Z180" t="inlineStr">
        <is>
          <t>Active ingredient</t>
        </is>
      </c>
      <c r="AA180"/>
      <c r="AB180" t="n">
        <v>0.99</v>
      </c>
      <c r="AC180"/>
      <c r="AD180"/>
      <c r="AE180"/>
      <c r="AF180"/>
      <c r="AG180" t="inlineStr">
        <is>
          <t>mg/kg dry soil</t>
        </is>
      </c>
      <c r="AH180"/>
      <c r="AI180"/>
      <c r="AJ180"/>
      <c r="AK180"/>
      <c r="AL180"/>
      <c r="AM180"/>
      <c r="AN180"/>
      <c r="AO180"/>
      <c r="AP180"/>
      <c r="AQ180"/>
      <c r="AR180"/>
      <c r="AS180"/>
      <c r="AT180"/>
      <c r="AU180"/>
      <c r="AV180"/>
      <c r="AW180"/>
      <c r="AX180" t="inlineStr">
        <is>
          <t>Accumulation</t>
        </is>
      </c>
      <c r="AY180" t="inlineStr">
        <is>
          <t>Residue</t>
        </is>
      </c>
      <c r="AZ180" t="inlineStr">
        <is>
          <t>BCFD</t>
        </is>
      </c>
      <c r="BA180"/>
      <c r="BB180" t="n">
        <v>0.99</v>
      </c>
      <c r="BC180"/>
      <c r="BD180"/>
      <c r="BE180"/>
      <c r="BF180"/>
      <c r="BG180"/>
      <c r="BH180"/>
      <c r="BI180" t="inlineStr">
        <is>
          <t>mg/kg dry soil</t>
        </is>
      </c>
      <c r="BJ180" t="inlineStr">
        <is>
          <t>Root</t>
        </is>
      </c>
      <c r="BK180"/>
      <c r="BL180" t="n">
        <v>45.0</v>
      </c>
      <c r="BM180"/>
      <c r="BN180"/>
      <c r="BO180"/>
      <c r="BP180"/>
      <c r="BQ180" t="inlineStr">
        <is>
          <t>Day(s)</t>
        </is>
      </c>
      <c r="BR180" t="inlineStr">
        <is>
          <t>Yu,P.F., L. Xiang, X.H. Li, Z.R. Ding, C.H. Mo, Y.W. Li, H. Li, Q.Y. Cai, D.M. Zhou, and M.H. Wong</t>
        </is>
      </c>
      <c r="BS180" t="n">
        <v>182588.0</v>
      </c>
      <c r="BT180" t="inlineStr">
        <is>
          <t>Cultivar-Dependent Accumulation and Translocation of Perfluorooctanesulfonate Among Lettuce ( Lactuca sativa L.) Cultivars Grown on Perfluorooctanesulfonate-Contaminated Soil</t>
        </is>
      </c>
      <c r="BU180" t="inlineStr">
        <is>
          <t>J. Agric. Food Chem.66(50): 13096-13106</t>
        </is>
      </c>
      <c r="BV180" t="n">
        <v>2018.0</v>
      </c>
      <c r="BW18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1">
      <c r="A181" t="n">
        <v>1763231.0</v>
      </c>
      <c r="B181" t="inlineStr">
        <is>
          <t>1,1,2,2,3,3,4,4,5,5,6,6,7,7,8,8,8-Heptadecafluoro-1-octanesulfonic acid</t>
        </is>
      </c>
      <c r="C181"/>
      <c r="D181" t="inlineStr">
        <is>
          <t>Measured</t>
        </is>
      </c>
      <c r="E181" t="inlineStr">
        <is>
          <t>&gt;=</t>
        </is>
      </c>
      <c r="F181" t="n">
        <v>98.0</v>
      </c>
      <c r="G181"/>
      <c r="H181"/>
      <c r="I181"/>
      <c r="J181"/>
      <c r="K181" t="inlineStr">
        <is>
          <t>Lactuca sativa var. longifolia</t>
        </is>
      </c>
      <c r="L181" t="inlineStr">
        <is>
          <t>Romaine Lettuce</t>
        </is>
      </c>
      <c r="M181" t="inlineStr">
        <is>
          <t>Flowers, Trees, Shrubs, Ferns</t>
        </is>
      </c>
      <c r="N181" t="inlineStr">
        <is>
          <t>Seedling</t>
        </is>
      </c>
      <c r="O181"/>
      <c r="P181" t="n">
        <v>14.0</v>
      </c>
      <c r="Q181"/>
      <c r="R181"/>
      <c r="S181"/>
      <c r="T181"/>
      <c r="U181" t="inlineStr">
        <is>
          <t>Day(s)</t>
        </is>
      </c>
      <c r="V181" t="inlineStr">
        <is>
          <t>Environmental, unspecified</t>
        </is>
      </c>
      <c r="W181" t="inlineStr">
        <is>
          <t>Natural soil</t>
        </is>
      </c>
      <c r="X181" t="inlineStr">
        <is>
          <t>Lab</t>
        </is>
      </c>
      <c r="Y181" t="n">
        <v>3.0</v>
      </c>
      <c r="Z181" t="inlineStr">
        <is>
          <t>Active ingredient</t>
        </is>
      </c>
      <c r="AA181"/>
      <c r="AB181" t="n">
        <v>0.192</v>
      </c>
      <c r="AC181"/>
      <c r="AD181"/>
      <c r="AE181"/>
      <c r="AF181"/>
      <c r="AG181" t="inlineStr">
        <is>
          <t>mg/kg dry soil</t>
        </is>
      </c>
      <c r="AH181"/>
      <c r="AI181"/>
      <c r="AJ181"/>
      <c r="AK181"/>
      <c r="AL181"/>
      <c r="AM181"/>
      <c r="AN181"/>
      <c r="AO181"/>
      <c r="AP181"/>
      <c r="AQ181"/>
      <c r="AR181"/>
      <c r="AS181"/>
      <c r="AT181"/>
      <c r="AU181"/>
      <c r="AV181"/>
      <c r="AW181"/>
      <c r="AX181" t="inlineStr">
        <is>
          <t>Accumulation</t>
        </is>
      </c>
      <c r="AY181" t="inlineStr">
        <is>
          <t>Residue</t>
        </is>
      </c>
      <c r="AZ181" t="inlineStr">
        <is>
          <t>BCFD</t>
        </is>
      </c>
      <c r="BA181"/>
      <c r="BB181" t="n">
        <v>0.192</v>
      </c>
      <c r="BC181"/>
      <c r="BD181"/>
      <c r="BE181"/>
      <c r="BF181"/>
      <c r="BG181"/>
      <c r="BH181"/>
      <c r="BI181" t="inlineStr">
        <is>
          <t>mg/kg dry soil</t>
        </is>
      </c>
      <c r="BJ181" t="inlineStr">
        <is>
          <t>Shoot</t>
        </is>
      </c>
      <c r="BK181"/>
      <c r="BL181" t="n">
        <v>45.0</v>
      </c>
      <c r="BM181"/>
      <c r="BN181"/>
      <c r="BO181"/>
      <c r="BP181"/>
      <c r="BQ181" t="inlineStr">
        <is>
          <t>Day(s)</t>
        </is>
      </c>
      <c r="BR181" t="inlineStr">
        <is>
          <t>Yu,P.F., L. Xiang, X.H. Li, Z.R. Ding, C.H. Mo, Y.W. Li, H. Li, Q.Y. Cai, D.M. Zhou, and M.H. Wong</t>
        </is>
      </c>
      <c r="BS181" t="n">
        <v>182588.0</v>
      </c>
      <c r="BT181" t="inlineStr">
        <is>
          <t>Cultivar-Dependent Accumulation and Translocation of Perfluorooctanesulfonate Among Lettuce ( Lactuca sativa L.) Cultivars Grown on Perfluorooctanesulfonate-Contaminated Soil</t>
        </is>
      </c>
      <c r="BU181" t="inlineStr">
        <is>
          <t>J. Agric. Food Chem.66(50): 13096-13106</t>
        </is>
      </c>
      <c r="BV181" t="n">
        <v>2018.0</v>
      </c>
      <c r="BW18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2">
      <c r="A182" t="n">
        <v>1763231.0</v>
      </c>
      <c r="B182" t="inlineStr">
        <is>
          <t>1,1,2,2,3,3,4,4,5,5,6,6,7,7,8,8,8-Heptadecafluoro-1-octanesulfonic acid</t>
        </is>
      </c>
      <c r="C182"/>
      <c r="D182" t="inlineStr">
        <is>
          <t>Measured</t>
        </is>
      </c>
      <c r="E182" t="inlineStr">
        <is>
          <t>&gt;=</t>
        </is>
      </c>
      <c r="F182" t="n">
        <v>98.0</v>
      </c>
      <c r="G182"/>
      <c r="H182"/>
      <c r="I182"/>
      <c r="J182"/>
      <c r="K182" t="inlineStr">
        <is>
          <t>Lactuca sativa var. longifolia</t>
        </is>
      </c>
      <c r="L182" t="inlineStr">
        <is>
          <t>Romaine Lettuce</t>
        </is>
      </c>
      <c r="M182" t="inlineStr">
        <is>
          <t>Flowers, Trees, Shrubs, Ferns</t>
        </is>
      </c>
      <c r="N182" t="inlineStr">
        <is>
          <t>Seedling</t>
        </is>
      </c>
      <c r="O182"/>
      <c r="P182" t="n">
        <v>14.0</v>
      </c>
      <c r="Q182"/>
      <c r="R182"/>
      <c r="S182"/>
      <c r="T182"/>
      <c r="U182" t="inlineStr">
        <is>
          <t>Day(s)</t>
        </is>
      </c>
      <c r="V182" t="inlineStr">
        <is>
          <t>Environmental, unspecified</t>
        </is>
      </c>
      <c r="W182" t="inlineStr">
        <is>
          <t>Natural soil</t>
        </is>
      </c>
      <c r="X182" t="inlineStr">
        <is>
          <t>Lab</t>
        </is>
      </c>
      <c r="Y182" t="n">
        <v>3.0</v>
      </c>
      <c r="Z182" t="inlineStr">
        <is>
          <t>Active ingredient</t>
        </is>
      </c>
      <c r="AA182"/>
      <c r="AB182" t="n">
        <v>0.984</v>
      </c>
      <c r="AC182"/>
      <c r="AD182"/>
      <c r="AE182"/>
      <c r="AF182"/>
      <c r="AG182" t="inlineStr">
        <is>
          <t>mg/kg dry soil</t>
        </is>
      </c>
      <c r="AH182"/>
      <c r="AI182"/>
      <c r="AJ182"/>
      <c r="AK182"/>
      <c r="AL182"/>
      <c r="AM182"/>
      <c r="AN182"/>
      <c r="AO182"/>
      <c r="AP182"/>
      <c r="AQ182"/>
      <c r="AR182"/>
      <c r="AS182"/>
      <c r="AT182"/>
      <c r="AU182"/>
      <c r="AV182"/>
      <c r="AW182"/>
      <c r="AX182" t="inlineStr">
        <is>
          <t>Accumulation</t>
        </is>
      </c>
      <c r="AY182" t="inlineStr">
        <is>
          <t>Residue</t>
        </is>
      </c>
      <c r="AZ182" t="inlineStr">
        <is>
          <t>BCFD</t>
        </is>
      </c>
      <c r="BA182"/>
      <c r="BB182" t="n">
        <v>0.984</v>
      </c>
      <c r="BC182"/>
      <c r="BD182"/>
      <c r="BE182"/>
      <c r="BF182"/>
      <c r="BG182"/>
      <c r="BH182"/>
      <c r="BI182" t="inlineStr">
        <is>
          <t>mg/kg dry soil</t>
        </is>
      </c>
      <c r="BJ182" t="inlineStr">
        <is>
          <t>Shoot</t>
        </is>
      </c>
      <c r="BK182"/>
      <c r="BL182" t="n">
        <v>45.0</v>
      </c>
      <c r="BM182"/>
      <c r="BN182"/>
      <c r="BO182"/>
      <c r="BP182"/>
      <c r="BQ182" t="inlineStr">
        <is>
          <t>Day(s)</t>
        </is>
      </c>
      <c r="BR182" t="inlineStr">
        <is>
          <t>Yu,P.F., L. Xiang, X.H. Li, Z.R. Ding, C.H. Mo, Y.W. Li, H. Li, Q.Y. Cai, D.M. Zhou, and M.H. Wong</t>
        </is>
      </c>
      <c r="BS182" t="n">
        <v>182588.0</v>
      </c>
      <c r="BT182" t="inlineStr">
        <is>
          <t>Cultivar-Dependent Accumulation and Translocation of Perfluorooctanesulfonate Among Lettuce ( Lactuca sativa L.) Cultivars Grown on Perfluorooctanesulfonate-Contaminated Soil</t>
        </is>
      </c>
      <c r="BU182" t="inlineStr">
        <is>
          <t>J. Agric. Food Chem.66(50): 13096-13106</t>
        </is>
      </c>
      <c r="BV182" t="n">
        <v>2018.0</v>
      </c>
      <c r="BW18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3">
      <c r="A183" t="n">
        <v>1763231.0</v>
      </c>
      <c r="B183" t="inlineStr">
        <is>
          <t>1,1,2,2,3,3,4,4,5,5,6,6,7,7,8,8,8-Heptadecafluoro-1-octanesulfonic acid</t>
        </is>
      </c>
      <c r="C183"/>
      <c r="D183" t="inlineStr">
        <is>
          <t>Measured</t>
        </is>
      </c>
      <c r="E183" t="inlineStr">
        <is>
          <t>&gt;=</t>
        </is>
      </c>
      <c r="F183" t="n">
        <v>98.0</v>
      </c>
      <c r="G183"/>
      <c r="H183"/>
      <c r="I183"/>
      <c r="J183"/>
      <c r="K183" t="inlineStr">
        <is>
          <t>Lactuca sativa var. longifolia</t>
        </is>
      </c>
      <c r="L183" t="inlineStr">
        <is>
          <t>Romaine Lettuce</t>
        </is>
      </c>
      <c r="M183" t="inlineStr">
        <is>
          <t>Flowers, Trees, Shrubs, Ferns</t>
        </is>
      </c>
      <c r="N183" t="inlineStr">
        <is>
          <t>Seedling</t>
        </is>
      </c>
      <c r="O183"/>
      <c r="P183" t="n">
        <v>14.0</v>
      </c>
      <c r="Q183"/>
      <c r="R183"/>
      <c r="S183"/>
      <c r="T183"/>
      <c r="U183" t="inlineStr">
        <is>
          <t>Day(s)</t>
        </is>
      </c>
      <c r="V183" t="inlineStr">
        <is>
          <t>Environmental, unspecified</t>
        </is>
      </c>
      <c r="W183" t="inlineStr">
        <is>
          <t>Natural soil</t>
        </is>
      </c>
      <c r="X183" t="inlineStr">
        <is>
          <t>Lab</t>
        </is>
      </c>
      <c r="Y183" t="n">
        <v>3.0</v>
      </c>
      <c r="Z183" t="inlineStr">
        <is>
          <t>Active ingredient</t>
        </is>
      </c>
      <c r="AA183"/>
      <c r="AB183" t="n">
        <v>0.984</v>
      </c>
      <c r="AC183"/>
      <c r="AD183"/>
      <c r="AE183"/>
      <c r="AF183"/>
      <c r="AG183" t="inlineStr">
        <is>
          <t>mg/kg dry soil</t>
        </is>
      </c>
      <c r="AH183"/>
      <c r="AI183"/>
      <c r="AJ183"/>
      <c r="AK183"/>
      <c r="AL183"/>
      <c r="AM183"/>
      <c r="AN183"/>
      <c r="AO183"/>
      <c r="AP183"/>
      <c r="AQ183"/>
      <c r="AR183"/>
      <c r="AS183"/>
      <c r="AT183"/>
      <c r="AU183"/>
      <c r="AV183"/>
      <c r="AW183"/>
      <c r="AX183" t="inlineStr">
        <is>
          <t>Accumulation</t>
        </is>
      </c>
      <c r="AY183" t="inlineStr">
        <is>
          <t>Residue</t>
        </is>
      </c>
      <c r="AZ183" t="inlineStr">
        <is>
          <t>BCFD</t>
        </is>
      </c>
      <c r="BA183"/>
      <c r="BB183" t="n">
        <v>0.984</v>
      </c>
      <c r="BC183"/>
      <c r="BD183"/>
      <c r="BE183"/>
      <c r="BF183"/>
      <c r="BG183"/>
      <c r="BH183"/>
      <c r="BI183" t="inlineStr">
        <is>
          <t>mg/kg dry soil</t>
        </is>
      </c>
      <c r="BJ183" t="inlineStr">
        <is>
          <t>Root</t>
        </is>
      </c>
      <c r="BK183"/>
      <c r="BL183" t="n">
        <v>45.0</v>
      </c>
      <c r="BM183"/>
      <c r="BN183"/>
      <c r="BO183"/>
      <c r="BP183"/>
      <c r="BQ183" t="inlineStr">
        <is>
          <t>Day(s)</t>
        </is>
      </c>
      <c r="BR183" t="inlineStr">
        <is>
          <t>Yu,P.F., L. Xiang, X.H. Li, Z.R. Ding, C.H. Mo, Y.W. Li, H. Li, Q.Y. Cai, D.M. Zhou, and M.H. Wong</t>
        </is>
      </c>
      <c r="BS183" t="n">
        <v>182588.0</v>
      </c>
      <c r="BT183" t="inlineStr">
        <is>
          <t>Cultivar-Dependent Accumulation and Translocation of Perfluorooctanesulfonate Among Lettuce ( Lactuca sativa L.) Cultivars Grown on Perfluorooctanesulfonate-Contaminated Soil</t>
        </is>
      </c>
      <c r="BU183" t="inlineStr">
        <is>
          <t>J. Agric. Food Chem.66(50): 13096-13106</t>
        </is>
      </c>
      <c r="BV183" t="n">
        <v>2018.0</v>
      </c>
      <c r="BW18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4">
      <c r="A184" t="n">
        <v>1763231.0</v>
      </c>
      <c r="B184" t="inlineStr">
        <is>
          <t>1,1,2,2,3,3,4,4,5,5,6,6,7,7,8,8,8-Heptadecafluoro-1-octanesulfonic acid</t>
        </is>
      </c>
      <c r="C184"/>
      <c r="D184" t="inlineStr">
        <is>
          <t>Measured</t>
        </is>
      </c>
      <c r="E184" t="inlineStr">
        <is>
          <t>&gt;=</t>
        </is>
      </c>
      <c r="F184" t="n">
        <v>98.0</v>
      </c>
      <c r="G184"/>
      <c r="H184"/>
      <c r="I184"/>
      <c r="J184"/>
      <c r="K184" t="inlineStr">
        <is>
          <t>Lactuca sativa var. longifolia</t>
        </is>
      </c>
      <c r="L184" t="inlineStr">
        <is>
          <t>Romaine Lettuce</t>
        </is>
      </c>
      <c r="M184" t="inlineStr">
        <is>
          <t>Flowers, Trees, Shrubs, Ferns</t>
        </is>
      </c>
      <c r="N184" t="inlineStr">
        <is>
          <t>Seedling</t>
        </is>
      </c>
      <c r="O184"/>
      <c r="P184" t="n">
        <v>14.0</v>
      </c>
      <c r="Q184"/>
      <c r="R184"/>
      <c r="S184"/>
      <c r="T184"/>
      <c r="U184" t="inlineStr">
        <is>
          <t>Day(s)</t>
        </is>
      </c>
      <c r="V184" t="inlineStr">
        <is>
          <t>Environmental, unspecified</t>
        </is>
      </c>
      <c r="W184" t="inlineStr">
        <is>
          <t>Natural soil</t>
        </is>
      </c>
      <c r="X184" t="inlineStr">
        <is>
          <t>Lab</t>
        </is>
      </c>
      <c r="Y184" t="n">
        <v>3.0</v>
      </c>
      <c r="Z184" t="inlineStr">
        <is>
          <t>Active ingredient</t>
        </is>
      </c>
      <c r="AA184"/>
      <c r="AB184" t="n">
        <v>0.192</v>
      </c>
      <c r="AC184"/>
      <c r="AD184"/>
      <c r="AE184"/>
      <c r="AF184"/>
      <c r="AG184" t="inlineStr">
        <is>
          <t>mg/kg dry soil</t>
        </is>
      </c>
      <c r="AH184"/>
      <c r="AI184"/>
      <c r="AJ184"/>
      <c r="AK184"/>
      <c r="AL184"/>
      <c r="AM184"/>
      <c r="AN184"/>
      <c r="AO184"/>
      <c r="AP184"/>
      <c r="AQ184"/>
      <c r="AR184"/>
      <c r="AS184"/>
      <c r="AT184"/>
      <c r="AU184"/>
      <c r="AV184"/>
      <c r="AW184"/>
      <c r="AX184" t="inlineStr">
        <is>
          <t>Accumulation</t>
        </is>
      </c>
      <c r="AY184" t="inlineStr">
        <is>
          <t>Residue</t>
        </is>
      </c>
      <c r="AZ184" t="inlineStr">
        <is>
          <t>BCFD</t>
        </is>
      </c>
      <c r="BA184"/>
      <c r="BB184" t="n">
        <v>0.192</v>
      </c>
      <c r="BC184"/>
      <c r="BD184"/>
      <c r="BE184"/>
      <c r="BF184"/>
      <c r="BG184"/>
      <c r="BH184"/>
      <c r="BI184" t="inlineStr">
        <is>
          <t>mg/kg dry soil</t>
        </is>
      </c>
      <c r="BJ184" t="inlineStr">
        <is>
          <t>Root</t>
        </is>
      </c>
      <c r="BK184"/>
      <c r="BL184" t="n">
        <v>45.0</v>
      </c>
      <c r="BM184"/>
      <c r="BN184"/>
      <c r="BO184"/>
      <c r="BP184"/>
      <c r="BQ184" t="inlineStr">
        <is>
          <t>Day(s)</t>
        </is>
      </c>
      <c r="BR184" t="inlineStr">
        <is>
          <t>Yu,P.F., L. Xiang, X.H. Li, Z.R. Ding, C.H. Mo, Y.W. Li, H. Li, Q.Y. Cai, D.M. Zhou, and M.H. Wong</t>
        </is>
      </c>
      <c r="BS184" t="n">
        <v>182588.0</v>
      </c>
      <c r="BT184" t="inlineStr">
        <is>
          <t>Cultivar-Dependent Accumulation and Translocation of Perfluorooctanesulfonate Among Lettuce ( Lactuca sativa L.) Cultivars Grown on Perfluorooctanesulfonate-Contaminated Soil</t>
        </is>
      </c>
      <c r="BU184" t="inlineStr">
        <is>
          <t>J. Agric. Food Chem.66(50): 13096-13106</t>
        </is>
      </c>
      <c r="BV184" t="n">
        <v>2018.0</v>
      </c>
      <c r="BW18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5">
      <c r="A185" t="n">
        <v>1763231.0</v>
      </c>
      <c r="B185" t="inlineStr">
        <is>
          <t>1,1,2,2,3,3,4,4,5,5,6,6,7,7,8,8,8-Heptadecafluoro-1-octanesulfonic acid</t>
        </is>
      </c>
      <c r="C185"/>
      <c r="D185" t="inlineStr">
        <is>
          <t>Measured</t>
        </is>
      </c>
      <c r="E185" t="inlineStr">
        <is>
          <t>&gt;=</t>
        </is>
      </c>
      <c r="F185" t="n">
        <v>98.0</v>
      </c>
      <c r="G185"/>
      <c r="H185"/>
      <c r="I185"/>
      <c r="J185"/>
      <c r="K185" t="inlineStr">
        <is>
          <t>Lactuca sativa var. longifolia</t>
        </is>
      </c>
      <c r="L185" t="inlineStr">
        <is>
          <t>Romaine Lettuce</t>
        </is>
      </c>
      <c r="M185" t="inlineStr">
        <is>
          <t>Flowers, Trees, Shrubs, Ferns</t>
        </is>
      </c>
      <c r="N185" t="inlineStr">
        <is>
          <t>Seedling</t>
        </is>
      </c>
      <c r="O185"/>
      <c r="P185" t="n">
        <v>14.0</v>
      </c>
      <c r="Q185"/>
      <c r="R185"/>
      <c r="S185"/>
      <c r="T185"/>
      <c r="U185" t="inlineStr">
        <is>
          <t>Day(s)</t>
        </is>
      </c>
      <c r="V185" t="inlineStr">
        <is>
          <t>Environmental, unspecified</t>
        </is>
      </c>
      <c r="W185" t="inlineStr">
        <is>
          <t>Natural soil</t>
        </is>
      </c>
      <c r="X185" t="inlineStr">
        <is>
          <t>Lab</t>
        </is>
      </c>
      <c r="Y185" t="n">
        <v>3.0</v>
      </c>
      <c r="Z185" t="inlineStr">
        <is>
          <t>Active ingredient</t>
        </is>
      </c>
      <c r="AA185"/>
      <c r="AB185" t="n">
        <v>0.194</v>
      </c>
      <c r="AC185"/>
      <c r="AD185"/>
      <c r="AE185"/>
      <c r="AF185"/>
      <c r="AG185" t="inlineStr">
        <is>
          <t>mg/kg dry soil</t>
        </is>
      </c>
      <c r="AH185"/>
      <c r="AI185"/>
      <c r="AJ185"/>
      <c r="AK185"/>
      <c r="AL185"/>
      <c r="AM185"/>
      <c r="AN185"/>
      <c r="AO185"/>
      <c r="AP185"/>
      <c r="AQ185"/>
      <c r="AR185"/>
      <c r="AS185"/>
      <c r="AT185"/>
      <c r="AU185"/>
      <c r="AV185"/>
      <c r="AW185"/>
      <c r="AX185" t="inlineStr">
        <is>
          <t>Accumulation</t>
        </is>
      </c>
      <c r="AY185" t="inlineStr">
        <is>
          <t>Residue</t>
        </is>
      </c>
      <c r="AZ185" t="inlineStr">
        <is>
          <t>BCFD</t>
        </is>
      </c>
      <c r="BA185"/>
      <c r="BB185" t="n">
        <v>0.194</v>
      </c>
      <c r="BC185"/>
      <c r="BD185"/>
      <c r="BE185"/>
      <c r="BF185"/>
      <c r="BG185"/>
      <c r="BH185"/>
      <c r="BI185" t="inlineStr">
        <is>
          <t>mg/kg dry soil</t>
        </is>
      </c>
      <c r="BJ185" t="inlineStr">
        <is>
          <t>Root</t>
        </is>
      </c>
      <c r="BK185"/>
      <c r="BL185" t="n">
        <v>45.0</v>
      </c>
      <c r="BM185"/>
      <c r="BN185"/>
      <c r="BO185"/>
      <c r="BP185"/>
      <c r="BQ185" t="inlineStr">
        <is>
          <t>Day(s)</t>
        </is>
      </c>
      <c r="BR185" t="inlineStr">
        <is>
          <t>Yu,P.F., L. Xiang, X.H. Li, Z.R. Ding, C.H. Mo, Y.W. Li, H. Li, Q.Y. Cai, D.M. Zhou, and M.H. Wong</t>
        </is>
      </c>
      <c r="BS185" t="n">
        <v>182588.0</v>
      </c>
      <c r="BT185" t="inlineStr">
        <is>
          <t>Cultivar-Dependent Accumulation and Translocation of Perfluorooctanesulfonate Among Lettuce ( Lactuca sativa L.) Cultivars Grown on Perfluorooctanesulfonate-Contaminated Soil</t>
        </is>
      </c>
      <c r="BU185" t="inlineStr">
        <is>
          <t>J. Agric. Food Chem.66(50): 13096-13106</t>
        </is>
      </c>
      <c r="BV185" t="n">
        <v>2018.0</v>
      </c>
      <c r="BW18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6">
      <c r="A186" t="n">
        <v>1763231.0</v>
      </c>
      <c r="B186" t="inlineStr">
        <is>
          <t>1,1,2,2,3,3,4,4,5,5,6,6,7,7,8,8,8-Heptadecafluoro-1-octanesulfonic acid</t>
        </is>
      </c>
      <c r="C186"/>
      <c r="D186" t="inlineStr">
        <is>
          <t>Measured</t>
        </is>
      </c>
      <c r="E186" t="inlineStr">
        <is>
          <t>&gt;=</t>
        </is>
      </c>
      <c r="F186" t="n">
        <v>98.0</v>
      </c>
      <c r="G186"/>
      <c r="H186"/>
      <c r="I186"/>
      <c r="J186"/>
      <c r="K186" t="inlineStr">
        <is>
          <t>Lactuca sativa var. longifolia</t>
        </is>
      </c>
      <c r="L186" t="inlineStr">
        <is>
          <t>Romaine Lettuce</t>
        </is>
      </c>
      <c r="M186" t="inlineStr">
        <is>
          <t>Flowers, Trees, Shrubs, Ferns</t>
        </is>
      </c>
      <c r="N186" t="inlineStr">
        <is>
          <t>Seedling</t>
        </is>
      </c>
      <c r="O186"/>
      <c r="P186" t="n">
        <v>14.0</v>
      </c>
      <c r="Q186"/>
      <c r="R186"/>
      <c r="S186"/>
      <c r="T186"/>
      <c r="U186" t="inlineStr">
        <is>
          <t>Day(s)</t>
        </is>
      </c>
      <c r="V186" t="inlineStr">
        <is>
          <t>Environmental, unspecified</t>
        </is>
      </c>
      <c r="W186" t="inlineStr">
        <is>
          <t>Natural soil</t>
        </is>
      </c>
      <c r="X186" t="inlineStr">
        <is>
          <t>Lab</t>
        </is>
      </c>
      <c r="Y186" t="n">
        <v>3.0</v>
      </c>
      <c r="Z186" t="inlineStr">
        <is>
          <t>Active ingredient</t>
        </is>
      </c>
      <c r="AA186"/>
      <c r="AB186" t="n">
        <v>0.194</v>
      </c>
      <c r="AC186"/>
      <c r="AD186"/>
      <c r="AE186"/>
      <c r="AF186"/>
      <c r="AG186" t="inlineStr">
        <is>
          <t>mg/kg dry soil</t>
        </is>
      </c>
      <c r="AH186"/>
      <c r="AI186"/>
      <c r="AJ186"/>
      <c r="AK186"/>
      <c r="AL186"/>
      <c r="AM186"/>
      <c r="AN186"/>
      <c r="AO186"/>
      <c r="AP186"/>
      <c r="AQ186"/>
      <c r="AR186"/>
      <c r="AS186"/>
      <c r="AT186"/>
      <c r="AU186"/>
      <c r="AV186"/>
      <c r="AW186"/>
      <c r="AX186" t="inlineStr">
        <is>
          <t>Accumulation</t>
        </is>
      </c>
      <c r="AY186" t="inlineStr">
        <is>
          <t>Residue</t>
        </is>
      </c>
      <c r="AZ186" t="inlineStr">
        <is>
          <t>BCFD</t>
        </is>
      </c>
      <c r="BA186"/>
      <c r="BB186" t="n">
        <v>0.194</v>
      </c>
      <c r="BC186"/>
      <c r="BD186"/>
      <c r="BE186"/>
      <c r="BF186"/>
      <c r="BG186"/>
      <c r="BH186"/>
      <c r="BI186" t="inlineStr">
        <is>
          <t>mg/kg dry soil</t>
        </is>
      </c>
      <c r="BJ186" t="inlineStr">
        <is>
          <t>Shoot</t>
        </is>
      </c>
      <c r="BK186"/>
      <c r="BL186" t="n">
        <v>45.0</v>
      </c>
      <c r="BM186"/>
      <c r="BN186"/>
      <c r="BO186"/>
      <c r="BP186"/>
      <c r="BQ186" t="inlineStr">
        <is>
          <t>Day(s)</t>
        </is>
      </c>
      <c r="BR186" t="inlineStr">
        <is>
          <t>Yu,P.F., L. Xiang, X.H. Li, Z.R. Ding, C.H. Mo, Y.W. Li, H. Li, Q.Y. Cai, D.M. Zhou, and M.H. Wong</t>
        </is>
      </c>
      <c r="BS186" t="n">
        <v>182588.0</v>
      </c>
      <c r="BT186" t="inlineStr">
        <is>
          <t>Cultivar-Dependent Accumulation and Translocation of Perfluorooctanesulfonate Among Lettuce ( Lactuca sativa L.) Cultivars Grown on Perfluorooctanesulfonate-Contaminated Soil</t>
        </is>
      </c>
      <c r="BU186" t="inlineStr">
        <is>
          <t>J. Agric. Food Chem.66(50): 13096-13106</t>
        </is>
      </c>
      <c r="BV186" t="n">
        <v>2018.0</v>
      </c>
      <c r="BW18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7">
      <c r="A187" t="n">
        <v>1763231.0</v>
      </c>
      <c r="B187" t="inlineStr">
        <is>
          <t>1,1,2,2,3,3,4,4,5,5,6,6,7,7,8,8,8-Heptadecafluoro-1-octanesulfonic acid</t>
        </is>
      </c>
      <c r="C187"/>
      <c r="D187" t="inlineStr">
        <is>
          <t>Measured</t>
        </is>
      </c>
      <c r="E187" t="inlineStr">
        <is>
          <t>&gt;=</t>
        </is>
      </c>
      <c r="F187" t="n">
        <v>98.0</v>
      </c>
      <c r="G187"/>
      <c r="H187"/>
      <c r="I187"/>
      <c r="J187"/>
      <c r="K187" t="inlineStr">
        <is>
          <t>Lactuca sativa var. longifolia</t>
        </is>
      </c>
      <c r="L187" t="inlineStr">
        <is>
          <t>Romaine Lettuce</t>
        </is>
      </c>
      <c r="M187" t="inlineStr">
        <is>
          <t>Flowers, Trees, Shrubs, Ferns</t>
        </is>
      </c>
      <c r="N187" t="inlineStr">
        <is>
          <t>Seedling</t>
        </is>
      </c>
      <c r="O187"/>
      <c r="P187" t="n">
        <v>14.0</v>
      </c>
      <c r="Q187"/>
      <c r="R187"/>
      <c r="S187"/>
      <c r="T187"/>
      <c r="U187" t="inlineStr">
        <is>
          <t>Day(s)</t>
        </is>
      </c>
      <c r="V187" t="inlineStr">
        <is>
          <t>Environmental, unspecified</t>
        </is>
      </c>
      <c r="W187" t="inlineStr">
        <is>
          <t>Natural soil</t>
        </is>
      </c>
      <c r="X187" t="inlineStr">
        <is>
          <t>Lab</t>
        </is>
      </c>
      <c r="Y187" t="n">
        <v>3.0</v>
      </c>
      <c r="Z187" t="inlineStr">
        <is>
          <t>Active ingredient</t>
        </is>
      </c>
      <c r="AA187"/>
      <c r="AB187" t="n">
        <v>0.985</v>
      </c>
      <c r="AC187"/>
      <c r="AD187"/>
      <c r="AE187"/>
      <c r="AF187"/>
      <c r="AG187" t="inlineStr">
        <is>
          <t>mg/kg dry soil</t>
        </is>
      </c>
      <c r="AH187"/>
      <c r="AI187"/>
      <c r="AJ187"/>
      <c r="AK187"/>
      <c r="AL187"/>
      <c r="AM187"/>
      <c r="AN187"/>
      <c r="AO187"/>
      <c r="AP187"/>
      <c r="AQ187"/>
      <c r="AR187"/>
      <c r="AS187"/>
      <c r="AT187"/>
      <c r="AU187"/>
      <c r="AV187"/>
      <c r="AW187"/>
      <c r="AX187" t="inlineStr">
        <is>
          <t>Accumulation</t>
        </is>
      </c>
      <c r="AY187" t="inlineStr">
        <is>
          <t>Residue</t>
        </is>
      </c>
      <c r="AZ187" t="inlineStr">
        <is>
          <t>BCFD</t>
        </is>
      </c>
      <c r="BA187"/>
      <c r="BB187" t="n">
        <v>0.985</v>
      </c>
      <c r="BC187"/>
      <c r="BD187"/>
      <c r="BE187"/>
      <c r="BF187"/>
      <c r="BG187"/>
      <c r="BH187"/>
      <c r="BI187" t="inlineStr">
        <is>
          <t>mg/kg dry soil</t>
        </is>
      </c>
      <c r="BJ187" t="inlineStr">
        <is>
          <t>Shoot</t>
        </is>
      </c>
      <c r="BK187"/>
      <c r="BL187" t="n">
        <v>45.0</v>
      </c>
      <c r="BM187"/>
      <c r="BN187"/>
      <c r="BO187"/>
      <c r="BP187"/>
      <c r="BQ187" t="inlineStr">
        <is>
          <t>Day(s)</t>
        </is>
      </c>
      <c r="BR187" t="inlineStr">
        <is>
          <t>Yu,P.F., L. Xiang, X.H. Li, Z.R. Ding, C.H. Mo, Y.W. Li, H. Li, Q.Y. Cai, D.M. Zhou, and M.H. Wong</t>
        </is>
      </c>
      <c r="BS187" t="n">
        <v>182588.0</v>
      </c>
      <c r="BT187" t="inlineStr">
        <is>
          <t>Cultivar-Dependent Accumulation and Translocation of Perfluorooctanesulfonate Among Lettuce ( Lactuca sativa L.) Cultivars Grown on Perfluorooctanesulfonate-Contaminated Soil</t>
        </is>
      </c>
      <c r="BU187" t="inlineStr">
        <is>
          <t>J. Agric. Food Chem.66(50): 13096-13106</t>
        </is>
      </c>
      <c r="BV187" t="n">
        <v>2018.0</v>
      </c>
      <c r="BW18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8">
      <c r="A188" t="n">
        <v>1763231.0</v>
      </c>
      <c r="B188" t="inlineStr">
        <is>
          <t>1,1,2,2,3,3,4,4,5,5,6,6,7,7,8,8,8-Heptadecafluoro-1-octanesulfonic acid</t>
        </is>
      </c>
      <c r="C188"/>
      <c r="D188" t="inlineStr">
        <is>
          <t>Measured</t>
        </is>
      </c>
      <c r="E188" t="inlineStr">
        <is>
          <t>&gt;=</t>
        </is>
      </c>
      <c r="F188" t="n">
        <v>98.0</v>
      </c>
      <c r="G188"/>
      <c r="H188"/>
      <c r="I188"/>
      <c r="J188"/>
      <c r="K188" t="inlineStr">
        <is>
          <t>Lactuca sativa var. longifolia</t>
        </is>
      </c>
      <c r="L188" t="inlineStr">
        <is>
          <t>Romaine Lettuce</t>
        </is>
      </c>
      <c r="M188" t="inlineStr">
        <is>
          <t>Flowers, Trees, Shrubs, Ferns</t>
        </is>
      </c>
      <c r="N188" t="inlineStr">
        <is>
          <t>Seedling</t>
        </is>
      </c>
      <c r="O188"/>
      <c r="P188" t="n">
        <v>14.0</v>
      </c>
      <c r="Q188"/>
      <c r="R188"/>
      <c r="S188"/>
      <c r="T188"/>
      <c r="U188" t="inlineStr">
        <is>
          <t>Day(s)</t>
        </is>
      </c>
      <c r="V188" t="inlineStr">
        <is>
          <t>Environmental, unspecified</t>
        </is>
      </c>
      <c r="W188" t="inlineStr">
        <is>
          <t>Natural soil</t>
        </is>
      </c>
      <c r="X188" t="inlineStr">
        <is>
          <t>Lab</t>
        </is>
      </c>
      <c r="Y188" t="n">
        <v>3.0</v>
      </c>
      <c r="Z188" t="inlineStr">
        <is>
          <t>Active ingredient</t>
        </is>
      </c>
      <c r="AA188"/>
      <c r="AB188" t="n">
        <v>0.985</v>
      </c>
      <c r="AC188"/>
      <c r="AD188"/>
      <c r="AE188"/>
      <c r="AF188"/>
      <c r="AG188" t="inlineStr">
        <is>
          <t>mg/kg dry soil</t>
        </is>
      </c>
      <c r="AH188"/>
      <c r="AI188"/>
      <c r="AJ188"/>
      <c r="AK188"/>
      <c r="AL188"/>
      <c r="AM188"/>
      <c r="AN188"/>
      <c r="AO188"/>
      <c r="AP188"/>
      <c r="AQ188"/>
      <c r="AR188"/>
      <c r="AS188"/>
      <c r="AT188"/>
      <c r="AU188"/>
      <c r="AV188"/>
      <c r="AW188"/>
      <c r="AX188" t="inlineStr">
        <is>
          <t>Accumulation</t>
        </is>
      </c>
      <c r="AY188" t="inlineStr">
        <is>
          <t>Residue</t>
        </is>
      </c>
      <c r="AZ188" t="inlineStr">
        <is>
          <t>BCFD</t>
        </is>
      </c>
      <c r="BA188"/>
      <c r="BB188" t="n">
        <v>0.985</v>
      </c>
      <c r="BC188"/>
      <c r="BD188"/>
      <c r="BE188"/>
      <c r="BF188"/>
      <c r="BG188"/>
      <c r="BH188"/>
      <c r="BI188" t="inlineStr">
        <is>
          <t>mg/kg dry soil</t>
        </is>
      </c>
      <c r="BJ188" t="inlineStr">
        <is>
          <t>Root</t>
        </is>
      </c>
      <c r="BK188"/>
      <c r="BL188" t="n">
        <v>45.0</v>
      </c>
      <c r="BM188"/>
      <c r="BN188"/>
      <c r="BO188"/>
      <c r="BP188"/>
      <c r="BQ188" t="inlineStr">
        <is>
          <t>Day(s)</t>
        </is>
      </c>
      <c r="BR188" t="inlineStr">
        <is>
          <t>Yu,P.F., L. Xiang, X.H. Li, Z.R. Ding, C.H. Mo, Y.W. Li, H. Li, Q.Y. Cai, D.M. Zhou, and M.H. Wong</t>
        </is>
      </c>
      <c r="BS188" t="n">
        <v>182588.0</v>
      </c>
      <c r="BT188" t="inlineStr">
        <is>
          <t>Cultivar-Dependent Accumulation and Translocation of Perfluorooctanesulfonate Among Lettuce ( Lactuca sativa L.) Cultivars Grown on Perfluorooctanesulfonate-Contaminated Soil</t>
        </is>
      </c>
      <c r="BU188" t="inlineStr">
        <is>
          <t>J. Agric. Food Chem.66(50): 13096-13106</t>
        </is>
      </c>
      <c r="BV188" t="n">
        <v>2018.0</v>
      </c>
      <c r="BW18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89">
      <c r="A189" t="n">
        <v>1763231.0</v>
      </c>
      <c r="B189" t="inlineStr">
        <is>
          <t>1,1,2,2,3,3,4,4,5,5,6,6,7,7,8,8,8-Heptadecafluoro-1-octanesulfonic acid</t>
        </is>
      </c>
      <c r="C189"/>
      <c r="D189" t="inlineStr">
        <is>
          <t>Measured</t>
        </is>
      </c>
      <c r="E189" t="inlineStr">
        <is>
          <t>&gt;=</t>
        </is>
      </c>
      <c r="F189" t="n">
        <v>98.0</v>
      </c>
      <c r="G189"/>
      <c r="H189"/>
      <c r="I189"/>
      <c r="J189"/>
      <c r="K189" t="inlineStr">
        <is>
          <t>Lactuca sativa var. longifolia</t>
        </is>
      </c>
      <c r="L189" t="inlineStr">
        <is>
          <t>Romaine Lettuce</t>
        </is>
      </c>
      <c r="M189" t="inlineStr">
        <is>
          <t>Flowers, Trees, Shrubs, Ferns</t>
        </is>
      </c>
      <c r="N189" t="inlineStr">
        <is>
          <t>Seedling</t>
        </is>
      </c>
      <c r="O189"/>
      <c r="P189" t="n">
        <v>14.0</v>
      </c>
      <c r="Q189"/>
      <c r="R189"/>
      <c r="S189"/>
      <c r="T189"/>
      <c r="U189" t="inlineStr">
        <is>
          <t>Day(s)</t>
        </is>
      </c>
      <c r="V189" t="inlineStr">
        <is>
          <t>Environmental, unspecified</t>
        </is>
      </c>
      <c r="W189" t="inlineStr">
        <is>
          <t>Natural soil</t>
        </is>
      </c>
      <c r="X189" t="inlineStr">
        <is>
          <t>Lab</t>
        </is>
      </c>
      <c r="Y189" t="n">
        <v>3.0</v>
      </c>
      <c r="Z189" t="inlineStr">
        <is>
          <t>Active ingredient</t>
        </is>
      </c>
      <c r="AA189"/>
      <c r="AB189" t="n">
        <v>0.988</v>
      </c>
      <c r="AC189"/>
      <c r="AD189"/>
      <c r="AE189"/>
      <c r="AF189"/>
      <c r="AG189" t="inlineStr">
        <is>
          <t>mg/kg dry soil</t>
        </is>
      </c>
      <c r="AH189"/>
      <c r="AI189"/>
      <c r="AJ189"/>
      <c r="AK189"/>
      <c r="AL189"/>
      <c r="AM189"/>
      <c r="AN189"/>
      <c r="AO189"/>
      <c r="AP189"/>
      <c r="AQ189"/>
      <c r="AR189"/>
      <c r="AS189"/>
      <c r="AT189"/>
      <c r="AU189"/>
      <c r="AV189"/>
      <c r="AW189"/>
      <c r="AX189" t="inlineStr">
        <is>
          <t>Accumulation</t>
        </is>
      </c>
      <c r="AY189" t="inlineStr">
        <is>
          <t>Residue</t>
        </is>
      </c>
      <c r="AZ189" t="inlineStr">
        <is>
          <t>BCFD</t>
        </is>
      </c>
      <c r="BA189"/>
      <c r="BB189" t="n">
        <v>0.988</v>
      </c>
      <c r="BC189"/>
      <c r="BD189"/>
      <c r="BE189"/>
      <c r="BF189"/>
      <c r="BG189"/>
      <c r="BH189"/>
      <c r="BI189" t="inlineStr">
        <is>
          <t>mg/kg dry soil</t>
        </is>
      </c>
      <c r="BJ189" t="inlineStr">
        <is>
          <t>Root</t>
        </is>
      </c>
      <c r="BK189"/>
      <c r="BL189" t="n">
        <v>45.0</v>
      </c>
      <c r="BM189"/>
      <c r="BN189"/>
      <c r="BO189"/>
      <c r="BP189"/>
      <c r="BQ189" t="inlineStr">
        <is>
          <t>Day(s)</t>
        </is>
      </c>
      <c r="BR189" t="inlineStr">
        <is>
          <t>Yu,P.F., L. Xiang, X.H. Li, Z.R. Ding, C.H. Mo, Y.W. Li, H. Li, Q.Y. Cai, D.M. Zhou, and M.H. Wong</t>
        </is>
      </c>
      <c r="BS189" t="n">
        <v>182588.0</v>
      </c>
      <c r="BT189" t="inlineStr">
        <is>
          <t>Cultivar-Dependent Accumulation and Translocation of Perfluorooctanesulfonate Among Lettuce ( Lactuca sativa L.) Cultivars Grown on Perfluorooctanesulfonate-Contaminated Soil</t>
        </is>
      </c>
      <c r="BU189" t="inlineStr">
        <is>
          <t>J. Agric. Food Chem.66(50): 13096-13106</t>
        </is>
      </c>
      <c r="BV189" t="n">
        <v>2018.0</v>
      </c>
      <c r="BW18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0">
      <c r="A190" t="n">
        <v>1763231.0</v>
      </c>
      <c r="B190" t="inlineStr">
        <is>
          <t>1,1,2,2,3,3,4,4,5,5,6,6,7,7,8,8,8-Heptadecafluoro-1-octanesulfonic acid</t>
        </is>
      </c>
      <c r="C190"/>
      <c r="D190" t="inlineStr">
        <is>
          <t>Measured</t>
        </is>
      </c>
      <c r="E190" t="inlineStr">
        <is>
          <t>&gt;=</t>
        </is>
      </c>
      <c r="F190" t="n">
        <v>98.0</v>
      </c>
      <c r="G190"/>
      <c r="H190"/>
      <c r="I190"/>
      <c r="J190"/>
      <c r="K190" t="inlineStr">
        <is>
          <t>Lactuca sativa var. longifolia</t>
        </is>
      </c>
      <c r="L190" t="inlineStr">
        <is>
          <t>Romaine Lettuce</t>
        </is>
      </c>
      <c r="M190" t="inlineStr">
        <is>
          <t>Flowers, Trees, Shrubs, Ferns</t>
        </is>
      </c>
      <c r="N190" t="inlineStr">
        <is>
          <t>Seedling</t>
        </is>
      </c>
      <c r="O190"/>
      <c r="P190" t="n">
        <v>14.0</v>
      </c>
      <c r="Q190"/>
      <c r="R190"/>
      <c r="S190"/>
      <c r="T190"/>
      <c r="U190" t="inlineStr">
        <is>
          <t>Day(s)</t>
        </is>
      </c>
      <c r="V190" t="inlineStr">
        <is>
          <t>Environmental, unspecified</t>
        </is>
      </c>
      <c r="W190" t="inlineStr">
        <is>
          <t>Natural soil</t>
        </is>
      </c>
      <c r="X190" t="inlineStr">
        <is>
          <t>Lab</t>
        </is>
      </c>
      <c r="Y190" t="n">
        <v>3.0</v>
      </c>
      <c r="Z190" t="inlineStr">
        <is>
          <t>Active ingredient</t>
        </is>
      </c>
      <c r="AA190"/>
      <c r="AB190" t="n">
        <v>0.988</v>
      </c>
      <c r="AC190"/>
      <c r="AD190"/>
      <c r="AE190"/>
      <c r="AF190"/>
      <c r="AG190" t="inlineStr">
        <is>
          <t>mg/kg dry soil</t>
        </is>
      </c>
      <c r="AH190"/>
      <c r="AI190"/>
      <c r="AJ190"/>
      <c r="AK190"/>
      <c r="AL190"/>
      <c r="AM190"/>
      <c r="AN190"/>
      <c r="AO190"/>
      <c r="AP190"/>
      <c r="AQ190"/>
      <c r="AR190"/>
      <c r="AS190"/>
      <c r="AT190"/>
      <c r="AU190"/>
      <c r="AV190"/>
      <c r="AW190"/>
      <c r="AX190" t="inlineStr">
        <is>
          <t>Accumulation</t>
        </is>
      </c>
      <c r="AY190" t="inlineStr">
        <is>
          <t>Residue</t>
        </is>
      </c>
      <c r="AZ190" t="inlineStr">
        <is>
          <t>BCFD</t>
        </is>
      </c>
      <c r="BA190"/>
      <c r="BB190" t="n">
        <v>0.988</v>
      </c>
      <c r="BC190"/>
      <c r="BD190"/>
      <c r="BE190"/>
      <c r="BF190"/>
      <c r="BG190"/>
      <c r="BH190"/>
      <c r="BI190" t="inlineStr">
        <is>
          <t>mg/kg dry soil</t>
        </is>
      </c>
      <c r="BJ190" t="inlineStr">
        <is>
          <t>Shoot</t>
        </is>
      </c>
      <c r="BK190"/>
      <c r="BL190" t="n">
        <v>45.0</v>
      </c>
      <c r="BM190"/>
      <c r="BN190"/>
      <c r="BO190"/>
      <c r="BP190"/>
      <c r="BQ190" t="inlineStr">
        <is>
          <t>Day(s)</t>
        </is>
      </c>
      <c r="BR190" t="inlineStr">
        <is>
          <t>Yu,P.F., L. Xiang, X.H. Li, Z.R. Ding, C.H. Mo, Y.W. Li, H. Li, Q.Y. Cai, D.M. Zhou, and M.H. Wong</t>
        </is>
      </c>
      <c r="BS190" t="n">
        <v>182588.0</v>
      </c>
      <c r="BT190" t="inlineStr">
        <is>
          <t>Cultivar-Dependent Accumulation and Translocation of Perfluorooctanesulfonate Among Lettuce ( Lactuca sativa L.) Cultivars Grown on Perfluorooctanesulfonate-Contaminated Soil</t>
        </is>
      </c>
      <c r="BU190" t="inlineStr">
        <is>
          <t>J. Agric. Food Chem.66(50): 13096-13106</t>
        </is>
      </c>
      <c r="BV190" t="n">
        <v>2018.0</v>
      </c>
      <c r="BW19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1">
      <c r="A191" t="n">
        <v>1763231.0</v>
      </c>
      <c r="B191" t="inlineStr">
        <is>
          <t>1,1,2,2,3,3,4,4,5,5,6,6,7,7,8,8,8-Heptadecafluoro-1-octanesulfonic acid</t>
        </is>
      </c>
      <c r="C191"/>
      <c r="D191" t="inlineStr">
        <is>
          <t>Measured</t>
        </is>
      </c>
      <c r="E191" t="inlineStr">
        <is>
          <t>&gt;=</t>
        </is>
      </c>
      <c r="F191" t="n">
        <v>98.0</v>
      </c>
      <c r="G191"/>
      <c r="H191"/>
      <c r="I191"/>
      <c r="J191"/>
      <c r="K191" t="inlineStr">
        <is>
          <t>Lactuca sativa var. longifolia</t>
        </is>
      </c>
      <c r="L191" t="inlineStr">
        <is>
          <t>Romaine Lettuce</t>
        </is>
      </c>
      <c r="M191" t="inlineStr">
        <is>
          <t>Flowers, Trees, Shrubs, Ferns</t>
        </is>
      </c>
      <c r="N191" t="inlineStr">
        <is>
          <t>Seedling</t>
        </is>
      </c>
      <c r="O191"/>
      <c r="P191" t="n">
        <v>14.0</v>
      </c>
      <c r="Q191"/>
      <c r="R191"/>
      <c r="S191"/>
      <c r="T191"/>
      <c r="U191" t="inlineStr">
        <is>
          <t>Day(s)</t>
        </is>
      </c>
      <c r="V191" t="inlineStr">
        <is>
          <t>Environmental, unspecified</t>
        </is>
      </c>
      <c r="W191" t="inlineStr">
        <is>
          <t>Natural soil</t>
        </is>
      </c>
      <c r="X191" t="inlineStr">
        <is>
          <t>Lab</t>
        </is>
      </c>
      <c r="Y191" t="n">
        <v>3.0</v>
      </c>
      <c r="Z191" t="inlineStr">
        <is>
          <t>Active ingredient</t>
        </is>
      </c>
      <c r="AA191"/>
      <c r="AB191" t="n">
        <v>0.188</v>
      </c>
      <c r="AC191"/>
      <c r="AD191"/>
      <c r="AE191"/>
      <c r="AF191"/>
      <c r="AG191" t="inlineStr">
        <is>
          <t>mg/kg dry soil</t>
        </is>
      </c>
      <c r="AH191"/>
      <c r="AI191"/>
      <c r="AJ191"/>
      <c r="AK191"/>
      <c r="AL191"/>
      <c r="AM191"/>
      <c r="AN191"/>
      <c r="AO191"/>
      <c r="AP191"/>
      <c r="AQ191"/>
      <c r="AR191"/>
      <c r="AS191"/>
      <c r="AT191"/>
      <c r="AU191"/>
      <c r="AV191"/>
      <c r="AW191"/>
      <c r="AX191" t="inlineStr">
        <is>
          <t>Accumulation</t>
        </is>
      </c>
      <c r="AY191" t="inlineStr">
        <is>
          <t>Residue</t>
        </is>
      </c>
      <c r="AZ191" t="inlineStr">
        <is>
          <t>BCFD</t>
        </is>
      </c>
      <c r="BA191"/>
      <c r="BB191" t="n">
        <v>0.188</v>
      </c>
      <c r="BC191"/>
      <c r="BD191"/>
      <c r="BE191"/>
      <c r="BF191"/>
      <c r="BG191"/>
      <c r="BH191"/>
      <c r="BI191" t="inlineStr">
        <is>
          <t>mg/kg dry soil</t>
        </is>
      </c>
      <c r="BJ191" t="inlineStr">
        <is>
          <t>Shoot</t>
        </is>
      </c>
      <c r="BK191"/>
      <c r="BL191" t="n">
        <v>45.0</v>
      </c>
      <c r="BM191"/>
      <c r="BN191"/>
      <c r="BO191"/>
      <c r="BP191"/>
      <c r="BQ191" t="inlineStr">
        <is>
          <t>Day(s)</t>
        </is>
      </c>
      <c r="BR191" t="inlineStr">
        <is>
          <t>Yu,P.F., L. Xiang, X.H. Li, Z.R. Ding, C.H. Mo, Y.W. Li, H. Li, Q.Y. Cai, D.M. Zhou, and M.H. Wong</t>
        </is>
      </c>
      <c r="BS191" t="n">
        <v>182588.0</v>
      </c>
      <c r="BT191" t="inlineStr">
        <is>
          <t>Cultivar-Dependent Accumulation and Translocation of Perfluorooctanesulfonate Among Lettuce ( Lactuca sativa L.) Cultivars Grown on Perfluorooctanesulfonate-Contaminated Soil</t>
        </is>
      </c>
      <c r="BU191" t="inlineStr">
        <is>
          <t>J. Agric. Food Chem.66(50): 13096-13106</t>
        </is>
      </c>
      <c r="BV191" t="n">
        <v>2018.0</v>
      </c>
      <c r="BW19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2">
      <c r="A192" t="n">
        <v>1763231.0</v>
      </c>
      <c r="B192" t="inlineStr">
        <is>
          <t>1,1,2,2,3,3,4,4,5,5,6,6,7,7,8,8,8-Heptadecafluoro-1-octanesulfonic acid</t>
        </is>
      </c>
      <c r="C192"/>
      <c r="D192" t="inlineStr">
        <is>
          <t>Measured</t>
        </is>
      </c>
      <c r="E192" t="inlineStr">
        <is>
          <t>&gt;=</t>
        </is>
      </c>
      <c r="F192" t="n">
        <v>98.0</v>
      </c>
      <c r="G192"/>
      <c r="H192"/>
      <c r="I192"/>
      <c r="J192"/>
      <c r="K192" t="inlineStr">
        <is>
          <t>Lactuca sativa var. longifolia</t>
        </is>
      </c>
      <c r="L192" t="inlineStr">
        <is>
          <t>Romaine Lettuce</t>
        </is>
      </c>
      <c r="M192" t="inlineStr">
        <is>
          <t>Flowers, Trees, Shrubs, Ferns</t>
        </is>
      </c>
      <c r="N192" t="inlineStr">
        <is>
          <t>Seedling</t>
        </is>
      </c>
      <c r="O192"/>
      <c r="P192" t="n">
        <v>14.0</v>
      </c>
      <c r="Q192"/>
      <c r="R192"/>
      <c r="S192"/>
      <c r="T192"/>
      <c r="U192" t="inlineStr">
        <is>
          <t>Day(s)</t>
        </is>
      </c>
      <c r="V192" t="inlineStr">
        <is>
          <t>Environmental, unspecified</t>
        </is>
      </c>
      <c r="W192" t="inlineStr">
        <is>
          <t>Natural soil</t>
        </is>
      </c>
      <c r="X192" t="inlineStr">
        <is>
          <t>Lab</t>
        </is>
      </c>
      <c r="Y192" t="n">
        <v>3.0</v>
      </c>
      <c r="Z192" t="inlineStr">
        <is>
          <t>Active ingredient</t>
        </is>
      </c>
      <c r="AA192"/>
      <c r="AB192" t="n">
        <v>0.188</v>
      </c>
      <c r="AC192"/>
      <c r="AD192"/>
      <c r="AE192"/>
      <c r="AF192"/>
      <c r="AG192" t="inlineStr">
        <is>
          <t>mg/kg dry soil</t>
        </is>
      </c>
      <c r="AH192"/>
      <c r="AI192"/>
      <c r="AJ192"/>
      <c r="AK192"/>
      <c r="AL192"/>
      <c r="AM192"/>
      <c r="AN192"/>
      <c r="AO192"/>
      <c r="AP192"/>
      <c r="AQ192"/>
      <c r="AR192"/>
      <c r="AS192"/>
      <c r="AT192"/>
      <c r="AU192"/>
      <c r="AV192"/>
      <c r="AW192"/>
      <c r="AX192" t="inlineStr">
        <is>
          <t>Accumulation</t>
        </is>
      </c>
      <c r="AY192" t="inlineStr">
        <is>
          <t>Residue</t>
        </is>
      </c>
      <c r="AZ192" t="inlineStr">
        <is>
          <t>BCFD</t>
        </is>
      </c>
      <c r="BA192"/>
      <c r="BB192" t="n">
        <v>0.188</v>
      </c>
      <c r="BC192"/>
      <c r="BD192"/>
      <c r="BE192"/>
      <c r="BF192"/>
      <c r="BG192"/>
      <c r="BH192"/>
      <c r="BI192" t="inlineStr">
        <is>
          <t>mg/kg dry soil</t>
        </is>
      </c>
      <c r="BJ192" t="inlineStr">
        <is>
          <t>Root</t>
        </is>
      </c>
      <c r="BK192"/>
      <c r="BL192" t="n">
        <v>45.0</v>
      </c>
      <c r="BM192"/>
      <c r="BN192"/>
      <c r="BO192"/>
      <c r="BP192"/>
      <c r="BQ192" t="inlineStr">
        <is>
          <t>Day(s)</t>
        </is>
      </c>
      <c r="BR192" t="inlineStr">
        <is>
          <t>Yu,P.F., L. Xiang, X.H. Li, Z.R. Ding, C.H. Mo, Y.W. Li, H. Li, Q.Y. Cai, D.M. Zhou, and M.H. Wong</t>
        </is>
      </c>
      <c r="BS192" t="n">
        <v>182588.0</v>
      </c>
      <c r="BT192" t="inlineStr">
        <is>
          <t>Cultivar-Dependent Accumulation and Translocation of Perfluorooctanesulfonate Among Lettuce ( Lactuca sativa L.) Cultivars Grown on Perfluorooctanesulfonate-Contaminated Soil</t>
        </is>
      </c>
      <c r="BU192" t="inlineStr">
        <is>
          <t>J. Agric. Food Chem.66(50): 13096-13106</t>
        </is>
      </c>
      <c r="BV192" t="n">
        <v>2018.0</v>
      </c>
      <c r="BW19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3">
      <c r="A193" t="n">
        <v>1763231.0</v>
      </c>
      <c r="B193" t="inlineStr">
        <is>
          <t>1,1,2,2,3,3,4,4,5,5,6,6,7,7,8,8,8-Heptadecafluoro-1-octanesulfonic acid</t>
        </is>
      </c>
      <c r="C193"/>
      <c r="D193" t="inlineStr">
        <is>
          <t>Measured</t>
        </is>
      </c>
      <c r="E193" t="inlineStr">
        <is>
          <t>&gt;=</t>
        </is>
      </c>
      <c r="F193" t="n">
        <v>98.0</v>
      </c>
      <c r="G193"/>
      <c r="H193"/>
      <c r="I193"/>
      <c r="J193"/>
      <c r="K193" t="inlineStr">
        <is>
          <t>Lactuca sativa var. longifolia</t>
        </is>
      </c>
      <c r="L193" t="inlineStr">
        <is>
          <t>Romaine Lettuce</t>
        </is>
      </c>
      <c r="M193" t="inlineStr">
        <is>
          <t>Flowers, Trees, Shrubs, Ferns</t>
        </is>
      </c>
      <c r="N193" t="inlineStr">
        <is>
          <t>Seedling</t>
        </is>
      </c>
      <c r="O193"/>
      <c r="P193" t="n">
        <v>14.0</v>
      </c>
      <c r="Q193"/>
      <c r="R193"/>
      <c r="S193"/>
      <c r="T193"/>
      <c r="U193" t="inlineStr">
        <is>
          <t>Day(s)</t>
        </is>
      </c>
      <c r="V193" t="inlineStr">
        <is>
          <t>Environmental, unspecified</t>
        </is>
      </c>
      <c r="W193" t="inlineStr">
        <is>
          <t>Natural soil</t>
        </is>
      </c>
      <c r="X193" t="inlineStr">
        <is>
          <t>Lab</t>
        </is>
      </c>
      <c r="Y193" t="n">
        <v>3.0</v>
      </c>
      <c r="Z193" t="inlineStr">
        <is>
          <t>Active ingredient</t>
        </is>
      </c>
      <c r="AA193"/>
      <c r="AB193" t="n">
        <v>0.994</v>
      </c>
      <c r="AC193"/>
      <c r="AD193"/>
      <c r="AE193"/>
      <c r="AF193"/>
      <c r="AG193" t="inlineStr">
        <is>
          <t>mg/kg dry soil</t>
        </is>
      </c>
      <c r="AH193"/>
      <c r="AI193"/>
      <c r="AJ193"/>
      <c r="AK193"/>
      <c r="AL193"/>
      <c r="AM193"/>
      <c r="AN193"/>
      <c r="AO193"/>
      <c r="AP193"/>
      <c r="AQ193"/>
      <c r="AR193"/>
      <c r="AS193"/>
      <c r="AT193"/>
      <c r="AU193"/>
      <c r="AV193"/>
      <c r="AW193"/>
      <c r="AX193" t="inlineStr">
        <is>
          <t>Accumulation</t>
        </is>
      </c>
      <c r="AY193" t="inlineStr">
        <is>
          <t>Residue</t>
        </is>
      </c>
      <c r="AZ193" t="inlineStr">
        <is>
          <t>BCFD</t>
        </is>
      </c>
      <c r="BA193"/>
      <c r="BB193" t="n">
        <v>0.994</v>
      </c>
      <c r="BC193"/>
      <c r="BD193"/>
      <c r="BE193"/>
      <c r="BF193"/>
      <c r="BG193"/>
      <c r="BH193"/>
      <c r="BI193" t="inlineStr">
        <is>
          <t>mg/kg dry soil</t>
        </is>
      </c>
      <c r="BJ193" t="inlineStr">
        <is>
          <t>Shoot</t>
        </is>
      </c>
      <c r="BK193"/>
      <c r="BL193" t="n">
        <v>45.0</v>
      </c>
      <c r="BM193"/>
      <c r="BN193"/>
      <c r="BO193"/>
      <c r="BP193"/>
      <c r="BQ193" t="inlineStr">
        <is>
          <t>Day(s)</t>
        </is>
      </c>
      <c r="BR193" t="inlineStr">
        <is>
          <t>Yu,P.F., L. Xiang, X.H. Li, Z.R. Ding, C.H. Mo, Y.W. Li, H. Li, Q.Y. Cai, D.M. Zhou, and M.H. Wong</t>
        </is>
      </c>
      <c r="BS193" t="n">
        <v>182588.0</v>
      </c>
      <c r="BT193" t="inlineStr">
        <is>
          <t>Cultivar-Dependent Accumulation and Translocation of Perfluorooctanesulfonate Among Lettuce ( Lactuca sativa L.) Cultivars Grown on Perfluorooctanesulfonate-Contaminated Soil</t>
        </is>
      </c>
      <c r="BU193" t="inlineStr">
        <is>
          <t>J. Agric. Food Chem.66(50): 13096-13106</t>
        </is>
      </c>
      <c r="BV193" t="n">
        <v>2018.0</v>
      </c>
      <c r="BW19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4">
      <c r="A194" t="n">
        <v>1763231.0</v>
      </c>
      <c r="B194" t="inlineStr">
        <is>
          <t>1,1,2,2,3,3,4,4,5,5,6,6,7,7,8,8,8-Heptadecafluoro-1-octanesulfonic acid</t>
        </is>
      </c>
      <c r="C194"/>
      <c r="D194" t="inlineStr">
        <is>
          <t>Measured</t>
        </is>
      </c>
      <c r="E194" t="inlineStr">
        <is>
          <t>&gt;=</t>
        </is>
      </c>
      <c r="F194" t="n">
        <v>98.0</v>
      </c>
      <c r="G194"/>
      <c r="H194"/>
      <c r="I194"/>
      <c r="J194"/>
      <c r="K194" t="inlineStr">
        <is>
          <t>Lactuca sativa var. longifolia</t>
        </is>
      </c>
      <c r="L194" t="inlineStr">
        <is>
          <t>Romaine Lettuce</t>
        </is>
      </c>
      <c r="M194" t="inlineStr">
        <is>
          <t>Flowers, Trees, Shrubs, Ferns</t>
        </is>
      </c>
      <c r="N194" t="inlineStr">
        <is>
          <t>Seedling</t>
        </is>
      </c>
      <c r="O194"/>
      <c r="P194" t="n">
        <v>14.0</v>
      </c>
      <c r="Q194"/>
      <c r="R194"/>
      <c r="S194"/>
      <c r="T194"/>
      <c r="U194" t="inlineStr">
        <is>
          <t>Day(s)</t>
        </is>
      </c>
      <c r="V194" t="inlineStr">
        <is>
          <t>Environmental, unspecified</t>
        </is>
      </c>
      <c r="W194" t="inlineStr">
        <is>
          <t>Natural soil</t>
        </is>
      </c>
      <c r="X194" t="inlineStr">
        <is>
          <t>Lab</t>
        </is>
      </c>
      <c r="Y194" t="n">
        <v>3.0</v>
      </c>
      <c r="Z194" t="inlineStr">
        <is>
          <t>Active ingredient</t>
        </is>
      </c>
      <c r="AA194"/>
      <c r="AB194" t="n">
        <v>0.993</v>
      </c>
      <c r="AC194"/>
      <c r="AD194"/>
      <c r="AE194"/>
      <c r="AF194"/>
      <c r="AG194" t="inlineStr">
        <is>
          <t>mg/kg dry soil</t>
        </is>
      </c>
      <c r="AH194"/>
      <c r="AI194"/>
      <c r="AJ194"/>
      <c r="AK194"/>
      <c r="AL194"/>
      <c r="AM194"/>
      <c r="AN194"/>
      <c r="AO194"/>
      <c r="AP194"/>
      <c r="AQ194"/>
      <c r="AR194"/>
      <c r="AS194"/>
      <c r="AT194"/>
      <c r="AU194"/>
      <c r="AV194"/>
      <c r="AW194"/>
      <c r="AX194" t="inlineStr">
        <is>
          <t>Accumulation</t>
        </is>
      </c>
      <c r="AY194" t="inlineStr">
        <is>
          <t>Residue</t>
        </is>
      </c>
      <c r="AZ194" t="inlineStr">
        <is>
          <t>BCFD</t>
        </is>
      </c>
      <c r="BA194"/>
      <c r="BB194" t="n">
        <v>0.993</v>
      </c>
      <c r="BC194"/>
      <c r="BD194"/>
      <c r="BE194"/>
      <c r="BF194"/>
      <c r="BG194"/>
      <c r="BH194"/>
      <c r="BI194" t="inlineStr">
        <is>
          <t>mg/kg dry soil</t>
        </is>
      </c>
      <c r="BJ194" t="inlineStr">
        <is>
          <t>Shoot</t>
        </is>
      </c>
      <c r="BK194"/>
      <c r="BL194" t="n">
        <v>45.0</v>
      </c>
      <c r="BM194"/>
      <c r="BN194"/>
      <c r="BO194"/>
      <c r="BP194"/>
      <c r="BQ194" t="inlineStr">
        <is>
          <t>Day(s)</t>
        </is>
      </c>
      <c r="BR194" t="inlineStr">
        <is>
          <t>Yu,P.F., L. Xiang, X.H. Li, Z.R. Ding, C.H. Mo, Y.W. Li, H. Li, Q.Y. Cai, D.M. Zhou, and M.H. Wong</t>
        </is>
      </c>
      <c r="BS194" t="n">
        <v>182588.0</v>
      </c>
      <c r="BT194" t="inlineStr">
        <is>
          <t>Cultivar-Dependent Accumulation and Translocation of Perfluorooctanesulfonate Among Lettuce ( Lactuca sativa L.) Cultivars Grown on Perfluorooctanesulfonate-Contaminated Soil</t>
        </is>
      </c>
      <c r="BU194" t="inlineStr">
        <is>
          <t>J. Agric. Food Chem.66(50): 13096-13106</t>
        </is>
      </c>
      <c r="BV194" t="n">
        <v>2018.0</v>
      </c>
      <c r="BW19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5">
      <c r="A195" t="n">
        <v>1763231.0</v>
      </c>
      <c r="B195" t="inlineStr">
        <is>
          <t>1,1,2,2,3,3,4,4,5,5,6,6,7,7,8,8,8-Heptadecafluoro-1-octanesulfonic acid</t>
        </is>
      </c>
      <c r="C195"/>
      <c r="D195" t="inlineStr">
        <is>
          <t>Measured</t>
        </is>
      </c>
      <c r="E195" t="inlineStr">
        <is>
          <t>&gt;=</t>
        </is>
      </c>
      <c r="F195" t="n">
        <v>98.0</v>
      </c>
      <c r="G195"/>
      <c r="H195"/>
      <c r="I195"/>
      <c r="J195"/>
      <c r="K195" t="inlineStr">
        <is>
          <t>Lactuca sativa var. longifolia</t>
        </is>
      </c>
      <c r="L195" t="inlineStr">
        <is>
          <t>Romaine Lettuce</t>
        </is>
      </c>
      <c r="M195" t="inlineStr">
        <is>
          <t>Flowers, Trees, Shrubs, Ferns</t>
        </is>
      </c>
      <c r="N195" t="inlineStr">
        <is>
          <t>Seedling</t>
        </is>
      </c>
      <c r="O195"/>
      <c r="P195" t="n">
        <v>14.0</v>
      </c>
      <c r="Q195"/>
      <c r="R195"/>
      <c r="S195"/>
      <c r="T195"/>
      <c r="U195" t="inlineStr">
        <is>
          <t>Day(s)</t>
        </is>
      </c>
      <c r="V195" t="inlineStr">
        <is>
          <t>Environmental, unspecified</t>
        </is>
      </c>
      <c r="W195" t="inlineStr">
        <is>
          <t>Natural soil</t>
        </is>
      </c>
      <c r="X195" t="inlineStr">
        <is>
          <t>Lab</t>
        </is>
      </c>
      <c r="Y195" t="n">
        <v>3.0</v>
      </c>
      <c r="Z195" t="inlineStr">
        <is>
          <t>Active ingredient</t>
        </is>
      </c>
      <c r="AA195"/>
      <c r="AB195" t="n">
        <v>0.191</v>
      </c>
      <c r="AC195"/>
      <c r="AD195"/>
      <c r="AE195"/>
      <c r="AF195"/>
      <c r="AG195" t="inlineStr">
        <is>
          <t>mg/kg dry soil</t>
        </is>
      </c>
      <c r="AH195"/>
      <c r="AI195"/>
      <c r="AJ195"/>
      <c r="AK195"/>
      <c r="AL195"/>
      <c r="AM195"/>
      <c r="AN195"/>
      <c r="AO195"/>
      <c r="AP195"/>
      <c r="AQ195"/>
      <c r="AR195"/>
      <c r="AS195"/>
      <c r="AT195"/>
      <c r="AU195"/>
      <c r="AV195"/>
      <c r="AW195"/>
      <c r="AX195" t="inlineStr">
        <is>
          <t>Accumulation</t>
        </is>
      </c>
      <c r="AY195" t="inlineStr">
        <is>
          <t>Residue</t>
        </is>
      </c>
      <c r="AZ195" t="inlineStr">
        <is>
          <t>BCFD</t>
        </is>
      </c>
      <c r="BA195"/>
      <c r="BB195" t="n">
        <v>0.191</v>
      </c>
      <c r="BC195"/>
      <c r="BD195"/>
      <c r="BE195"/>
      <c r="BF195"/>
      <c r="BG195"/>
      <c r="BH195"/>
      <c r="BI195" t="inlineStr">
        <is>
          <t>mg/kg dry soil</t>
        </is>
      </c>
      <c r="BJ195" t="inlineStr">
        <is>
          <t>Shoot</t>
        </is>
      </c>
      <c r="BK195"/>
      <c r="BL195" t="n">
        <v>45.0</v>
      </c>
      <c r="BM195"/>
      <c r="BN195"/>
      <c r="BO195"/>
      <c r="BP195"/>
      <c r="BQ195" t="inlineStr">
        <is>
          <t>Day(s)</t>
        </is>
      </c>
      <c r="BR195" t="inlineStr">
        <is>
          <t>Yu,P.F., L. Xiang, X.H. Li, Z.R. Ding, C.H. Mo, Y.W. Li, H. Li, Q.Y. Cai, D.M. Zhou, and M.H. Wong</t>
        </is>
      </c>
      <c r="BS195" t="n">
        <v>182588.0</v>
      </c>
      <c r="BT195" t="inlineStr">
        <is>
          <t>Cultivar-Dependent Accumulation and Translocation of Perfluorooctanesulfonate Among Lettuce ( Lactuca sativa L.) Cultivars Grown on Perfluorooctanesulfonate-Contaminated Soil</t>
        </is>
      </c>
      <c r="BU195" t="inlineStr">
        <is>
          <t>J. Agric. Food Chem.66(50): 13096-13106</t>
        </is>
      </c>
      <c r="BV195" t="n">
        <v>2018.0</v>
      </c>
      <c r="BW19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6">
      <c r="A196" t="n">
        <v>1763231.0</v>
      </c>
      <c r="B196" t="inlineStr">
        <is>
          <t>1,1,2,2,3,3,4,4,5,5,6,6,7,7,8,8,8-Heptadecafluoro-1-octanesulfonic acid</t>
        </is>
      </c>
      <c r="C196"/>
      <c r="D196" t="inlineStr">
        <is>
          <t>Measured</t>
        </is>
      </c>
      <c r="E196" t="inlineStr">
        <is>
          <t>&gt;=</t>
        </is>
      </c>
      <c r="F196" t="n">
        <v>98.0</v>
      </c>
      <c r="G196"/>
      <c r="H196"/>
      <c r="I196"/>
      <c r="J196"/>
      <c r="K196" t="inlineStr">
        <is>
          <t>Lactuca sativa var. longifolia</t>
        </is>
      </c>
      <c r="L196" t="inlineStr">
        <is>
          <t>Romaine Lettuce</t>
        </is>
      </c>
      <c r="M196" t="inlineStr">
        <is>
          <t>Flowers, Trees, Shrubs, Ferns</t>
        </is>
      </c>
      <c r="N196" t="inlineStr">
        <is>
          <t>Seedling</t>
        </is>
      </c>
      <c r="O196"/>
      <c r="P196" t="n">
        <v>14.0</v>
      </c>
      <c r="Q196"/>
      <c r="R196"/>
      <c r="S196"/>
      <c r="T196"/>
      <c r="U196" t="inlineStr">
        <is>
          <t>Day(s)</t>
        </is>
      </c>
      <c r="V196" t="inlineStr">
        <is>
          <t>Environmental, unspecified</t>
        </is>
      </c>
      <c r="W196" t="inlineStr">
        <is>
          <t>Natural soil</t>
        </is>
      </c>
      <c r="X196" t="inlineStr">
        <is>
          <t>Lab</t>
        </is>
      </c>
      <c r="Y196" t="n">
        <v>3.0</v>
      </c>
      <c r="Z196" t="inlineStr">
        <is>
          <t>Active ingredient</t>
        </is>
      </c>
      <c r="AA196"/>
      <c r="AB196" t="n">
        <v>0.191</v>
      </c>
      <c r="AC196"/>
      <c r="AD196"/>
      <c r="AE196"/>
      <c r="AF196"/>
      <c r="AG196" t="inlineStr">
        <is>
          <t>mg/kg dry soil</t>
        </is>
      </c>
      <c r="AH196"/>
      <c r="AI196"/>
      <c r="AJ196"/>
      <c r="AK196"/>
      <c r="AL196"/>
      <c r="AM196"/>
      <c r="AN196"/>
      <c r="AO196"/>
      <c r="AP196"/>
      <c r="AQ196"/>
      <c r="AR196"/>
      <c r="AS196"/>
      <c r="AT196"/>
      <c r="AU196"/>
      <c r="AV196"/>
      <c r="AW196"/>
      <c r="AX196" t="inlineStr">
        <is>
          <t>Accumulation</t>
        </is>
      </c>
      <c r="AY196" t="inlineStr">
        <is>
          <t>Residue</t>
        </is>
      </c>
      <c r="AZ196" t="inlineStr">
        <is>
          <t>BCFD</t>
        </is>
      </c>
      <c r="BA196"/>
      <c r="BB196" t="n">
        <v>0.191</v>
      </c>
      <c r="BC196"/>
      <c r="BD196"/>
      <c r="BE196"/>
      <c r="BF196"/>
      <c r="BG196"/>
      <c r="BH196"/>
      <c r="BI196" t="inlineStr">
        <is>
          <t>mg/kg dry soil</t>
        </is>
      </c>
      <c r="BJ196" t="inlineStr">
        <is>
          <t>Root</t>
        </is>
      </c>
      <c r="BK196"/>
      <c r="BL196" t="n">
        <v>45.0</v>
      </c>
      <c r="BM196"/>
      <c r="BN196"/>
      <c r="BO196"/>
      <c r="BP196"/>
      <c r="BQ196" t="inlineStr">
        <is>
          <t>Day(s)</t>
        </is>
      </c>
      <c r="BR196" t="inlineStr">
        <is>
          <t>Yu,P.F., L. Xiang, X.H. Li, Z.R. Ding, C.H. Mo, Y.W. Li, H. Li, Q.Y. Cai, D.M. Zhou, and M.H. Wong</t>
        </is>
      </c>
      <c r="BS196" t="n">
        <v>182588.0</v>
      </c>
      <c r="BT196" t="inlineStr">
        <is>
          <t>Cultivar-Dependent Accumulation and Translocation of Perfluorooctanesulfonate Among Lettuce ( Lactuca sativa L.) Cultivars Grown on Perfluorooctanesulfonate-Contaminated Soil</t>
        </is>
      </c>
      <c r="BU196" t="inlineStr">
        <is>
          <t>J. Agric. Food Chem.66(50): 13096-13106</t>
        </is>
      </c>
      <c r="BV196" t="n">
        <v>2018.0</v>
      </c>
      <c r="BW19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7">
      <c r="A197" t="n">
        <v>1763231.0</v>
      </c>
      <c r="B197" t="inlineStr">
        <is>
          <t>1,1,2,2,3,3,4,4,5,5,6,6,7,7,8,8,8-Heptadecafluoro-1-octanesulfonic acid</t>
        </is>
      </c>
      <c r="C197"/>
      <c r="D197" t="inlineStr">
        <is>
          <t>Measured</t>
        </is>
      </c>
      <c r="E197" t="inlineStr">
        <is>
          <t>&gt;=</t>
        </is>
      </c>
      <c r="F197" t="n">
        <v>98.0</v>
      </c>
      <c r="G197"/>
      <c r="H197"/>
      <c r="I197"/>
      <c r="J197"/>
      <c r="K197" t="inlineStr">
        <is>
          <t>Lactuca sativa var. longifolia</t>
        </is>
      </c>
      <c r="L197" t="inlineStr">
        <is>
          <t>Romaine Lettuce</t>
        </is>
      </c>
      <c r="M197" t="inlineStr">
        <is>
          <t>Flowers, Trees, Shrubs, Ferns</t>
        </is>
      </c>
      <c r="N197" t="inlineStr">
        <is>
          <t>Seedling</t>
        </is>
      </c>
      <c r="O197"/>
      <c r="P197" t="n">
        <v>14.0</v>
      </c>
      <c r="Q197"/>
      <c r="R197"/>
      <c r="S197"/>
      <c r="T197"/>
      <c r="U197" t="inlineStr">
        <is>
          <t>Day(s)</t>
        </is>
      </c>
      <c r="V197" t="inlineStr">
        <is>
          <t>Environmental, unspecified</t>
        </is>
      </c>
      <c r="W197" t="inlineStr">
        <is>
          <t>Natural soil</t>
        </is>
      </c>
      <c r="X197" t="inlineStr">
        <is>
          <t>Lab</t>
        </is>
      </c>
      <c r="Y197" t="n">
        <v>3.0</v>
      </c>
      <c r="Z197" t="inlineStr">
        <is>
          <t>Active ingredient</t>
        </is>
      </c>
      <c r="AA197"/>
      <c r="AB197" t="n">
        <v>0.993</v>
      </c>
      <c r="AC197"/>
      <c r="AD197"/>
      <c r="AE197"/>
      <c r="AF197"/>
      <c r="AG197" t="inlineStr">
        <is>
          <t>mg/kg dry soil</t>
        </is>
      </c>
      <c r="AH197"/>
      <c r="AI197"/>
      <c r="AJ197"/>
      <c r="AK197"/>
      <c r="AL197"/>
      <c r="AM197"/>
      <c r="AN197"/>
      <c r="AO197"/>
      <c r="AP197"/>
      <c r="AQ197"/>
      <c r="AR197"/>
      <c r="AS197"/>
      <c r="AT197"/>
      <c r="AU197"/>
      <c r="AV197"/>
      <c r="AW197"/>
      <c r="AX197" t="inlineStr">
        <is>
          <t>Accumulation</t>
        </is>
      </c>
      <c r="AY197" t="inlineStr">
        <is>
          <t>Residue</t>
        </is>
      </c>
      <c r="AZ197" t="inlineStr">
        <is>
          <t>BCFD</t>
        </is>
      </c>
      <c r="BA197"/>
      <c r="BB197" t="n">
        <v>0.993</v>
      </c>
      <c r="BC197"/>
      <c r="BD197"/>
      <c r="BE197"/>
      <c r="BF197"/>
      <c r="BG197"/>
      <c r="BH197"/>
      <c r="BI197" t="inlineStr">
        <is>
          <t>mg/kg dry soil</t>
        </is>
      </c>
      <c r="BJ197" t="inlineStr">
        <is>
          <t>Root</t>
        </is>
      </c>
      <c r="BK197"/>
      <c r="BL197" t="n">
        <v>45.0</v>
      </c>
      <c r="BM197"/>
      <c r="BN197"/>
      <c r="BO197"/>
      <c r="BP197"/>
      <c r="BQ197" t="inlineStr">
        <is>
          <t>Day(s)</t>
        </is>
      </c>
      <c r="BR197" t="inlineStr">
        <is>
          <t>Yu,P.F., L. Xiang, X.H. Li, Z.R. Ding, C.H. Mo, Y.W. Li, H. Li, Q.Y. Cai, D.M. Zhou, and M.H. Wong</t>
        </is>
      </c>
      <c r="BS197" t="n">
        <v>182588.0</v>
      </c>
      <c r="BT197" t="inlineStr">
        <is>
          <t>Cultivar-Dependent Accumulation and Translocation of Perfluorooctanesulfonate Among Lettuce ( Lactuca sativa L.) Cultivars Grown on Perfluorooctanesulfonate-Contaminated Soil</t>
        </is>
      </c>
      <c r="BU197" t="inlineStr">
        <is>
          <t>J. Agric. Food Chem.66(50): 13096-13106</t>
        </is>
      </c>
      <c r="BV197" t="n">
        <v>2018.0</v>
      </c>
      <c r="BW19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8">
      <c r="A198" t="n">
        <v>1763231.0</v>
      </c>
      <c r="B198" t="inlineStr">
        <is>
          <t>1,1,2,2,3,3,4,4,5,5,6,6,7,7,8,8,8-Heptadecafluoro-1-octanesulfonic acid</t>
        </is>
      </c>
      <c r="C198"/>
      <c r="D198" t="inlineStr">
        <is>
          <t>Measured</t>
        </is>
      </c>
      <c r="E198" t="inlineStr">
        <is>
          <t>&gt;=</t>
        </is>
      </c>
      <c r="F198" t="n">
        <v>98.0</v>
      </c>
      <c r="G198"/>
      <c r="H198"/>
      <c r="I198"/>
      <c r="J198"/>
      <c r="K198" t="inlineStr">
        <is>
          <t>Lactuca sativa var. longifolia</t>
        </is>
      </c>
      <c r="L198" t="inlineStr">
        <is>
          <t>Romaine Lettuce</t>
        </is>
      </c>
      <c r="M198" t="inlineStr">
        <is>
          <t>Flowers, Trees, Shrubs, Ferns</t>
        </is>
      </c>
      <c r="N198" t="inlineStr">
        <is>
          <t>Seedling</t>
        </is>
      </c>
      <c r="O198"/>
      <c r="P198" t="n">
        <v>14.0</v>
      </c>
      <c r="Q198"/>
      <c r="R198"/>
      <c r="S198"/>
      <c r="T198"/>
      <c r="U198" t="inlineStr">
        <is>
          <t>Day(s)</t>
        </is>
      </c>
      <c r="V198" t="inlineStr">
        <is>
          <t>Environmental, unspecified</t>
        </is>
      </c>
      <c r="W198" t="inlineStr">
        <is>
          <t>Natural soil</t>
        </is>
      </c>
      <c r="X198" t="inlineStr">
        <is>
          <t>Lab</t>
        </is>
      </c>
      <c r="Y198" t="n">
        <v>3.0</v>
      </c>
      <c r="Z198" t="inlineStr">
        <is>
          <t>Active ingredient</t>
        </is>
      </c>
      <c r="AA198"/>
      <c r="AB198" t="n">
        <v>0.191</v>
      </c>
      <c r="AC198"/>
      <c r="AD198"/>
      <c r="AE198"/>
      <c r="AF198"/>
      <c r="AG198" t="inlineStr">
        <is>
          <t>mg/kg dry soil</t>
        </is>
      </c>
      <c r="AH198"/>
      <c r="AI198"/>
      <c r="AJ198"/>
      <c r="AK198"/>
      <c r="AL198"/>
      <c r="AM198"/>
      <c r="AN198"/>
      <c r="AO198"/>
      <c r="AP198"/>
      <c r="AQ198"/>
      <c r="AR198"/>
      <c r="AS198"/>
      <c r="AT198"/>
      <c r="AU198"/>
      <c r="AV198"/>
      <c r="AW198"/>
      <c r="AX198" t="inlineStr">
        <is>
          <t>Accumulation</t>
        </is>
      </c>
      <c r="AY198" t="inlineStr">
        <is>
          <t>Residue</t>
        </is>
      </c>
      <c r="AZ198" t="inlineStr">
        <is>
          <t>BCFD</t>
        </is>
      </c>
      <c r="BA198"/>
      <c r="BB198" t="n">
        <v>0.191</v>
      </c>
      <c r="BC198"/>
      <c r="BD198"/>
      <c r="BE198"/>
      <c r="BF198"/>
      <c r="BG198"/>
      <c r="BH198"/>
      <c r="BI198" t="inlineStr">
        <is>
          <t>mg/kg dry soil</t>
        </is>
      </c>
      <c r="BJ198" t="inlineStr">
        <is>
          <t>Root</t>
        </is>
      </c>
      <c r="BK198"/>
      <c r="BL198" t="n">
        <v>45.0</v>
      </c>
      <c r="BM198"/>
      <c r="BN198"/>
      <c r="BO198"/>
      <c r="BP198"/>
      <c r="BQ198" t="inlineStr">
        <is>
          <t>Day(s)</t>
        </is>
      </c>
      <c r="BR198" t="inlineStr">
        <is>
          <t>Yu,P.F., L. Xiang, X.H. Li, Z.R. Ding, C.H. Mo, Y.W. Li, H. Li, Q.Y. Cai, D.M. Zhou, and M.H. Wong</t>
        </is>
      </c>
      <c r="BS198" t="n">
        <v>182588.0</v>
      </c>
      <c r="BT198" t="inlineStr">
        <is>
          <t>Cultivar-Dependent Accumulation and Translocation of Perfluorooctanesulfonate Among Lettuce ( Lactuca sativa L.) Cultivars Grown on Perfluorooctanesulfonate-Contaminated Soil</t>
        </is>
      </c>
      <c r="BU198" t="inlineStr">
        <is>
          <t>J. Agric. Food Chem.66(50): 13096-13106</t>
        </is>
      </c>
      <c r="BV198" t="n">
        <v>2018.0</v>
      </c>
      <c r="BW19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199">
      <c r="A199" t="n">
        <v>1763231.0</v>
      </c>
      <c r="B199" t="inlineStr">
        <is>
          <t>1,1,2,2,3,3,4,4,5,5,6,6,7,7,8,8,8-Heptadecafluoro-1-octanesulfonic acid</t>
        </is>
      </c>
      <c r="C199"/>
      <c r="D199" t="inlineStr">
        <is>
          <t>Measured</t>
        </is>
      </c>
      <c r="E199" t="inlineStr">
        <is>
          <t>&gt;=</t>
        </is>
      </c>
      <c r="F199" t="n">
        <v>98.0</v>
      </c>
      <c r="G199"/>
      <c r="H199"/>
      <c r="I199"/>
      <c r="J199"/>
      <c r="K199" t="inlineStr">
        <is>
          <t>Lactuca sativa var. longifolia</t>
        </is>
      </c>
      <c r="L199" t="inlineStr">
        <is>
          <t>Romaine Lettuce</t>
        </is>
      </c>
      <c r="M199" t="inlineStr">
        <is>
          <t>Flowers, Trees, Shrubs, Ferns</t>
        </is>
      </c>
      <c r="N199" t="inlineStr">
        <is>
          <t>Seedling</t>
        </is>
      </c>
      <c r="O199"/>
      <c r="P199" t="n">
        <v>14.0</v>
      </c>
      <c r="Q199"/>
      <c r="R199"/>
      <c r="S199"/>
      <c r="T199"/>
      <c r="U199" t="inlineStr">
        <is>
          <t>Day(s)</t>
        </is>
      </c>
      <c r="V199" t="inlineStr">
        <is>
          <t>Environmental, unspecified</t>
        </is>
      </c>
      <c r="W199" t="inlineStr">
        <is>
          <t>Natural soil</t>
        </is>
      </c>
      <c r="X199" t="inlineStr">
        <is>
          <t>Lab</t>
        </is>
      </c>
      <c r="Y199" t="n">
        <v>3.0</v>
      </c>
      <c r="Z199" t="inlineStr">
        <is>
          <t>Active ingredient</t>
        </is>
      </c>
      <c r="AA199"/>
      <c r="AB199" t="n">
        <v>0.981</v>
      </c>
      <c r="AC199"/>
      <c r="AD199"/>
      <c r="AE199"/>
      <c r="AF199"/>
      <c r="AG199" t="inlineStr">
        <is>
          <t>mg/kg dry soil</t>
        </is>
      </c>
      <c r="AH199"/>
      <c r="AI199"/>
      <c r="AJ199"/>
      <c r="AK199"/>
      <c r="AL199"/>
      <c r="AM199"/>
      <c r="AN199"/>
      <c r="AO199"/>
      <c r="AP199"/>
      <c r="AQ199"/>
      <c r="AR199"/>
      <c r="AS199"/>
      <c r="AT199"/>
      <c r="AU199"/>
      <c r="AV199"/>
      <c r="AW199"/>
      <c r="AX199" t="inlineStr">
        <is>
          <t>Accumulation</t>
        </is>
      </c>
      <c r="AY199" t="inlineStr">
        <is>
          <t>Residue</t>
        </is>
      </c>
      <c r="AZ199" t="inlineStr">
        <is>
          <t>BCFD</t>
        </is>
      </c>
      <c r="BA199"/>
      <c r="BB199" t="n">
        <v>0.981</v>
      </c>
      <c r="BC199"/>
      <c r="BD199"/>
      <c r="BE199"/>
      <c r="BF199"/>
      <c r="BG199"/>
      <c r="BH199"/>
      <c r="BI199" t="inlineStr">
        <is>
          <t>mg/kg dry soil</t>
        </is>
      </c>
      <c r="BJ199" t="inlineStr">
        <is>
          <t>Shoot</t>
        </is>
      </c>
      <c r="BK199"/>
      <c r="BL199" t="n">
        <v>45.0</v>
      </c>
      <c r="BM199"/>
      <c r="BN199"/>
      <c r="BO199"/>
      <c r="BP199"/>
      <c r="BQ199" t="inlineStr">
        <is>
          <t>Day(s)</t>
        </is>
      </c>
      <c r="BR199" t="inlineStr">
        <is>
          <t>Yu,P.F., L. Xiang, X.H. Li, Z.R. Ding, C.H. Mo, Y.W. Li, H. Li, Q.Y. Cai, D.M. Zhou, and M.H. Wong</t>
        </is>
      </c>
      <c r="BS199" t="n">
        <v>182588.0</v>
      </c>
      <c r="BT199" t="inlineStr">
        <is>
          <t>Cultivar-Dependent Accumulation and Translocation of Perfluorooctanesulfonate Among Lettuce ( Lactuca sativa L.) Cultivars Grown on Perfluorooctanesulfonate-Contaminated Soil</t>
        </is>
      </c>
      <c r="BU199" t="inlineStr">
        <is>
          <t>J. Agric. Food Chem.66(50): 13096-13106</t>
        </is>
      </c>
      <c r="BV199" t="n">
        <v>2018.0</v>
      </c>
      <c r="BW19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0">
      <c r="A200" t="n">
        <v>1763231.0</v>
      </c>
      <c r="B200" t="inlineStr">
        <is>
          <t>1,1,2,2,3,3,4,4,5,5,6,6,7,7,8,8,8-Heptadecafluoro-1-octanesulfonic acid</t>
        </is>
      </c>
      <c r="C200"/>
      <c r="D200" t="inlineStr">
        <is>
          <t>Measured</t>
        </is>
      </c>
      <c r="E200" t="inlineStr">
        <is>
          <t>&gt;=</t>
        </is>
      </c>
      <c r="F200" t="n">
        <v>98.0</v>
      </c>
      <c r="G200"/>
      <c r="H200"/>
      <c r="I200"/>
      <c r="J200"/>
      <c r="K200" t="inlineStr">
        <is>
          <t>Lactuca sativa var. longifolia</t>
        </is>
      </c>
      <c r="L200" t="inlineStr">
        <is>
          <t>Romaine Lettuce</t>
        </is>
      </c>
      <c r="M200" t="inlineStr">
        <is>
          <t>Flowers, Trees, Shrubs, Ferns</t>
        </is>
      </c>
      <c r="N200" t="inlineStr">
        <is>
          <t>Seedling</t>
        </is>
      </c>
      <c r="O200"/>
      <c r="P200" t="n">
        <v>14.0</v>
      </c>
      <c r="Q200"/>
      <c r="R200"/>
      <c r="S200"/>
      <c r="T200"/>
      <c r="U200" t="inlineStr">
        <is>
          <t>Day(s)</t>
        </is>
      </c>
      <c r="V200" t="inlineStr">
        <is>
          <t>Environmental, unspecified</t>
        </is>
      </c>
      <c r="W200" t="inlineStr">
        <is>
          <t>Natural soil</t>
        </is>
      </c>
      <c r="X200" t="inlineStr">
        <is>
          <t>Lab</t>
        </is>
      </c>
      <c r="Y200" t="n">
        <v>3.0</v>
      </c>
      <c r="Z200" t="inlineStr">
        <is>
          <t>Active ingredient</t>
        </is>
      </c>
      <c r="AA200"/>
      <c r="AB200" t="n">
        <v>0.981</v>
      </c>
      <c r="AC200"/>
      <c r="AD200"/>
      <c r="AE200"/>
      <c r="AF200"/>
      <c r="AG200" t="inlineStr">
        <is>
          <t>mg/kg dry soil</t>
        </is>
      </c>
      <c r="AH200"/>
      <c r="AI200"/>
      <c r="AJ200"/>
      <c r="AK200"/>
      <c r="AL200"/>
      <c r="AM200"/>
      <c r="AN200"/>
      <c r="AO200"/>
      <c r="AP200"/>
      <c r="AQ200"/>
      <c r="AR200"/>
      <c r="AS200"/>
      <c r="AT200"/>
      <c r="AU200"/>
      <c r="AV200"/>
      <c r="AW200"/>
      <c r="AX200" t="inlineStr">
        <is>
          <t>Accumulation</t>
        </is>
      </c>
      <c r="AY200" t="inlineStr">
        <is>
          <t>Residue</t>
        </is>
      </c>
      <c r="AZ200" t="inlineStr">
        <is>
          <t>BCFD</t>
        </is>
      </c>
      <c r="BA200"/>
      <c r="BB200" t="n">
        <v>0.981</v>
      </c>
      <c r="BC200"/>
      <c r="BD200"/>
      <c r="BE200"/>
      <c r="BF200"/>
      <c r="BG200"/>
      <c r="BH200"/>
      <c r="BI200" t="inlineStr">
        <is>
          <t>mg/kg dry soil</t>
        </is>
      </c>
      <c r="BJ200" t="inlineStr">
        <is>
          <t>Shoot</t>
        </is>
      </c>
      <c r="BK200"/>
      <c r="BL200" t="n">
        <v>45.0</v>
      </c>
      <c r="BM200"/>
      <c r="BN200"/>
      <c r="BO200"/>
      <c r="BP200"/>
      <c r="BQ200" t="inlineStr">
        <is>
          <t>Day(s)</t>
        </is>
      </c>
      <c r="BR200" t="inlineStr">
        <is>
          <t>Yu,P.F., L. Xiang, X.H. Li, Z.R. Ding, C.H. Mo, Y.W. Li, H. Li, Q.Y. Cai, D.M. Zhou, and M.H. Wong</t>
        </is>
      </c>
      <c r="BS200" t="n">
        <v>182588.0</v>
      </c>
      <c r="BT200" t="inlineStr">
        <is>
          <t>Cultivar-Dependent Accumulation and Translocation of Perfluorooctanesulfonate Among Lettuce ( Lactuca sativa L.) Cultivars Grown on Perfluorooctanesulfonate-Contaminated Soil</t>
        </is>
      </c>
      <c r="BU200" t="inlineStr">
        <is>
          <t>J. Agric. Food Chem.66(50): 13096-13106</t>
        </is>
      </c>
      <c r="BV200" t="n">
        <v>2018.0</v>
      </c>
      <c r="BW20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1">
      <c r="A201" t="n">
        <v>1763231.0</v>
      </c>
      <c r="B201" t="inlineStr">
        <is>
          <t>1,1,2,2,3,3,4,4,5,5,6,6,7,7,8,8,8-Heptadecafluoro-1-octanesulfonic acid</t>
        </is>
      </c>
      <c r="C201"/>
      <c r="D201" t="inlineStr">
        <is>
          <t>Measured</t>
        </is>
      </c>
      <c r="E201" t="inlineStr">
        <is>
          <t>&gt;=</t>
        </is>
      </c>
      <c r="F201" t="n">
        <v>98.0</v>
      </c>
      <c r="G201"/>
      <c r="H201"/>
      <c r="I201"/>
      <c r="J201"/>
      <c r="K201" t="inlineStr">
        <is>
          <t>Lactuca sativa var. longifolia</t>
        </is>
      </c>
      <c r="L201" t="inlineStr">
        <is>
          <t>Romaine Lettuce</t>
        </is>
      </c>
      <c r="M201" t="inlineStr">
        <is>
          <t>Flowers, Trees, Shrubs, Ferns</t>
        </is>
      </c>
      <c r="N201" t="inlineStr">
        <is>
          <t>Seedling</t>
        </is>
      </c>
      <c r="O201"/>
      <c r="P201" t="n">
        <v>14.0</v>
      </c>
      <c r="Q201"/>
      <c r="R201"/>
      <c r="S201"/>
      <c r="T201"/>
      <c r="U201" t="inlineStr">
        <is>
          <t>Day(s)</t>
        </is>
      </c>
      <c r="V201" t="inlineStr">
        <is>
          <t>Environmental, unspecified</t>
        </is>
      </c>
      <c r="W201" t="inlineStr">
        <is>
          <t>Natural soil</t>
        </is>
      </c>
      <c r="X201" t="inlineStr">
        <is>
          <t>Lab</t>
        </is>
      </c>
      <c r="Y201" t="n">
        <v>3.0</v>
      </c>
      <c r="Z201" t="inlineStr">
        <is>
          <t>Active ingredient</t>
        </is>
      </c>
      <c r="AA201"/>
      <c r="AB201" t="n">
        <v>0.188</v>
      </c>
      <c r="AC201"/>
      <c r="AD201"/>
      <c r="AE201"/>
      <c r="AF201"/>
      <c r="AG201" t="inlineStr">
        <is>
          <t>mg/kg dry soil</t>
        </is>
      </c>
      <c r="AH201"/>
      <c r="AI201"/>
      <c r="AJ201"/>
      <c r="AK201"/>
      <c r="AL201"/>
      <c r="AM201"/>
      <c r="AN201"/>
      <c r="AO201"/>
      <c r="AP201"/>
      <c r="AQ201"/>
      <c r="AR201"/>
      <c r="AS201"/>
      <c r="AT201"/>
      <c r="AU201"/>
      <c r="AV201"/>
      <c r="AW201"/>
      <c r="AX201" t="inlineStr">
        <is>
          <t>Accumulation</t>
        </is>
      </c>
      <c r="AY201" t="inlineStr">
        <is>
          <t>Residue</t>
        </is>
      </c>
      <c r="AZ201" t="inlineStr">
        <is>
          <t>BCFD</t>
        </is>
      </c>
      <c r="BA201"/>
      <c r="BB201" t="n">
        <v>0.188</v>
      </c>
      <c r="BC201"/>
      <c r="BD201"/>
      <c r="BE201"/>
      <c r="BF201"/>
      <c r="BG201"/>
      <c r="BH201"/>
      <c r="BI201" t="inlineStr">
        <is>
          <t>mg/kg dry soil</t>
        </is>
      </c>
      <c r="BJ201" t="inlineStr">
        <is>
          <t>Shoot</t>
        </is>
      </c>
      <c r="BK201"/>
      <c r="BL201" t="n">
        <v>45.0</v>
      </c>
      <c r="BM201"/>
      <c r="BN201"/>
      <c r="BO201"/>
      <c r="BP201"/>
      <c r="BQ201" t="inlineStr">
        <is>
          <t>Day(s)</t>
        </is>
      </c>
      <c r="BR201" t="inlineStr">
        <is>
          <t>Yu,P.F., L. Xiang, X.H. Li, Z.R. Ding, C.H. Mo, Y.W. Li, H. Li, Q.Y. Cai, D.M. Zhou, and M.H. Wong</t>
        </is>
      </c>
      <c r="BS201" t="n">
        <v>182588.0</v>
      </c>
      <c r="BT201" t="inlineStr">
        <is>
          <t>Cultivar-Dependent Accumulation and Translocation of Perfluorooctanesulfonate Among Lettuce ( Lactuca sativa L.) Cultivars Grown on Perfluorooctanesulfonate-Contaminated Soil</t>
        </is>
      </c>
      <c r="BU201" t="inlineStr">
        <is>
          <t>J. Agric. Food Chem.66(50): 13096-13106</t>
        </is>
      </c>
      <c r="BV201" t="n">
        <v>2018.0</v>
      </c>
      <c r="BW2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2">
      <c r="A202" t="n">
        <v>1763231.0</v>
      </c>
      <c r="B202" t="inlineStr">
        <is>
          <t>1,1,2,2,3,3,4,4,5,5,6,6,7,7,8,8,8-Heptadecafluoro-1-octanesulfonic acid</t>
        </is>
      </c>
      <c r="C202"/>
      <c r="D202" t="inlineStr">
        <is>
          <t>Measured</t>
        </is>
      </c>
      <c r="E202" t="inlineStr">
        <is>
          <t>&gt;=</t>
        </is>
      </c>
      <c r="F202" t="n">
        <v>98.0</v>
      </c>
      <c r="G202"/>
      <c r="H202"/>
      <c r="I202"/>
      <c r="J202"/>
      <c r="K202" t="inlineStr">
        <is>
          <t>Lactuca sativa var. longifolia</t>
        </is>
      </c>
      <c r="L202" t="inlineStr">
        <is>
          <t>Romaine Lettuce</t>
        </is>
      </c>
      <c r="M202" t="inlineStr">
        <is>
          <t>Flowers, Trees, Shrubs, Ferns</t>
        </is>
      </c>
      <c r="N202" t="inlineStr">
        <is>
          <t>Seedling</t>
        </is>
      </c>
      <c r="O202"/>
      <c r="P202" t="n">
        <v>14.0</v>
      </c>
      <c r="Q202"/>
      <c r="R202"/>
      <c r="S202"/>
      <c r="T202"/>
      <c r="U202" t="inlineStr">
        <is>
          <t>Day(s)</t>
        </is>
      </c>
      <c r="V202" t="inlineStr">
        <is>
          <t>Environmental, unspecified</t>
        </is>
      </c>
      <c r="W202" t="inlineStr">
        <is>
          <t>Natural soil</t>
        </is>
      </c>
      <c r="X202" t="inlineStr">
        <is>
          <t>Lab</t>
        </is>
      </c>
      <c r="Y202" t="n">
        <v>3.0</v>
      </c>
      <c r="Z202" t="inlineStr">
        <is>
          <t>Active ingredient</t>
        </is>
      </c>
      <c r="AA202"/>
      <c r="AB202" t="n">
        <v>0.981</v>
      </c>
      <c r="AC202"/>
      <c r="AD202"/>
      <c r="AE202"/>
      <c r="AF202"/>
      <c r="AG202" t="inlineStr">
        <is>
          <t>mg/kg dry soil</t>
        </is>
      </c>
      <c r="AH202"/>
      <c r="AI202"/>
      <c r="AJ202"/>
      <c r="AK202"/>
      <c r="AL202"/>
      <c r="AM202"/>
      <c r="AN202"/>
      <c r="AO202"/>
      <c r="AP202"/>
      <c r="AQ202"/>
      <c r="AR202"/>
      <c r="AS202"/>
      <c r="AT202"/>
      <c r="AU202"/>
      <c r="AV202"/>
      <c r="AW202"/>
      <c r="AX202" t="inlineStr">
        <is>
          <t>Accumulation</t>
        </is>
      </c>
      <c r="AY202" t="inlineStr">
        <is>
          <t>Residue</t>
        </is>
      </c>
      <c r="AZ202" t="inlineStr">
        <is>
          <t>BCFD</t>
        </is>
      </c>
      <c r="BA202"/>
      <c r="BB202" t="n">
        <v>0.981</v>
      </c>
      <c r="BC202"/>
      <c r="BD202"/>
      <c r="BE202"/>
      <c r="BF202"/>
      <c r="BG202"/>
      <c r="BH202"/>
      <c r="BI202" t="inlineStr">
        <is>
          <t>mg/kg dry soil</t>
        </is>
      </c>
      <c r="BJ202" t="inlineStr">
        <is>
          <t>Root</t>
        </is>
      </c>
      <c r="BK202"/>
      <c r="BL202" t="n">
        <v>45.0</v>
      </c>
      <c r="BM202"/>
      <c r="BN202"/>
      <c r="BO202"/>
      <c r="BP202"/>
      <c r="BQ202" t="inlineStr">
        <is>
          <t>Day(s)</t>
        </is>
      </c>
      <c r="BR202" t="inlineStr">
        <is>
          <t>Yu,P.F., L. Xiang, X.H. Li, Z.R. Ding, C.H. Mo, Y.W. Li, H. Li, Q.Y. Cai, D.M. Zhou, and M.H. Wong</t>
        </is>
      </c>
      <c r="BS202" t="n">
        <v>182588.0</v>
      </c>
      <c r="BT202" t="inlineStr">
        <is>
          <t>Cultivar-Dependent Accumulation and Translocation of Perfluorooctanesulfonate Among Lettuce ( Lactuca sativa L.) Cultivars Grown on Perfluorooctanesulfonate-Contaminated Soil</t>
        </is>
      </c>
      <c r="BU202" t="inlineStr">
        <is>
          <t>J. Agric. Food Chem.66(50): 13096-13106</t>
        </is>
      </c>
      <c r="BV202" t="n">
        <v>2018.0</v>
      </c>
      <c r="BW2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3">
      <c r="A203" t="n">
        <v>1763231.0</v>
      </c>
      <c r="B203" t="inlineStr">
        <is>
          <t>1,1,2,2,3,3,4,4,5,5,6,6,7,7,8,8,8-Heptadecafluoro-1-octanesulfonic acid</t>
        </is>
      </c>
      <c r="C203"/>
      <c r="D203" t="inlineStr">
        <is>
          <t>Measured</t>
        </is>
      </c>
      <c r="E203" t="inlineStr">
        <is>
          <t>&gt;=</t>
        </is>
      </c>
      <c r="F203" t="n">
        <v>98.0</v>
      </c>
      <c r="G203"/>
      <c r="H203"/>
      <c r="I203"/>
      <c r="J203"/>
      <c r="K203" t="inlineStr">
        <is>
          <t>Lactuca sativa var. longifolia</t>
        </is>
      </c>
      <c r="L203" t="inlineStr">
        <is>
          <t>Romaine Lettuce</t>
        </is>
      </c>
      <c r="M203" t="inlineStr">
        <is>
          <t>Flowers, Trees, Shrubs, Ferns</t>
        </is>
      </c>
      <c r="N203" t="inlineStr">
        <is>
          <t>Seedling</t>
        </is>
      </c>
      <c r="O203"/>
      <c r="P203" t="n">
        <v>14.0</v>
      </c>
      <c r="Q203"/>
      <c r="R203"/>
      <c r="S203"/>
      <c r="T203"/>
      <c r="U203" t="inlineStr">
        <is>
          <t>Day(s)</t>
        </is>
      </c>
      <c r="V203" t="inlineStr">
        <is>
          <t>Environmental, unspecified</t>
        </is>
      </c>
      <c r="W203" t="inlineStr">
        <is>
          <t>Natural soil</t>
        </is>
      </c>
      <c r="X203" t="inlineStr">
        <is>
          <t>Lab</t>
        </is>
      </c>
      <c r="Y203" t="n">
        <v>3.0</v>
      </c>
      <c r="Z203" t="inlineStr">
        <is>
          <t>Active ingredient</t>
        </is>
      </c>
      <c r="AA203"/>
      <c r="AB203" t="n">
        <v>0.188</v>
      </c>
      <c r="AC203"/>
      <c r="AD203"/>
      <c r="AE203"/>
      <c r="AF203"/>
      <c r="AG203" t="inlineStr">
        <is>
          <t>mg/kg dry soil</t>
        </is>
      </c>
      <c r="AH203"/>
      <c r="AI203"/>
      <c r="AJ203"/>
      <c r="AK203"/>
      <c r="AL203"/>
      <c r="AM203"/>
      <c r="AN203"/>
      <c r="AO203"/>
      <c r="AP203"/>
      <c r="AQ203"/>
      <c r="AR203"/>
      <c r="AS203"/>
      <c r="AT203"/>
      <c r="AU203"/>
      <c r="AV203"/>
      <c r="AW203"/>
      <c r="AX203" t="inlineStr">
        <is>
          <t>Accumulation</t>
        </is>
      </c>
      <c r="AY203" t="inlineStr">
        <is>
          <t>Residue</t>
        </is>
      </c>
      <c r="AZ203" t="inlineStr">
        <is>
          <t>BCFD</t>
        </is>
      </c>
      <c r="BA203"/>
      <c r="BB203" t="n">
        <v>0.188</v>
      </c>
      <c r="BC203"/>
      <c r="BD203"/>
      <c r="BE203"/>
      <c r="BF203"/>
      <c r="BG203"/>
      <c r="BH203"/>
      <c r="BI203" t="inlineStr">
        <is>
          <t>mg/kg dry soil</t>
        </is>
      </c>
      <c r="BJ203" t="inlineStr">
        <is>
          <t>Root</t>
        </is>
      </c>
      <c r="BK203"/>
      <c r="BL203" t="n">
        <v>45.0</v>
      </c>
      <c r="BM203"/>
      <c r="BN203"/>
      <c r="BO203"/>
      <c r="BP203"/>
      <c r="BQ203" t="inlineStr">
        <is>
          <t>Day(s)</t>
        </is>
      </c>
      <c r="BR203" t="inlineStr">
        <is>
          <t>Yu,P.F., L. Xiang, X.H. Li, Z.R. Ding, C.H. Mo, Y.W. Li, H. Li, Q.Y. Cai, D.M. Zhou, and M.H. Wong</t>
        </is>
      </c>
      <c r="BS203" t="n">
        <v>182588.0</v>
      </c>
      <c r="BT203" t="inlineStr">
        <is>
          <t>Cultivar-Dependent Accumulation and Translocation of Perfluorooctanesulfonate Among Lettuce ( Lactuca sativa L.) Cultivars Grown on Perfluorooctanesulfonate-Contaminated Soil</t>
        </is>
      </c>
      <c r="BU203" t="inlineStr">
        <is>
          <t>J. Agric. Food Chem.66(50): 13096-13106</t>
        </is>
      </c>
      <c r="BV203" t="n">
        <v>2018.0</v>
      </c>
      <c r="BW20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4">
      <c r="A204" t="n">
        <v>1763231.0</v>
      </c>
      <c r="B204" t="inlineStr">
        <is>
          <t>1,1,2,2,3,3,4,4,5,5,6,6,7,7,8,8,8-Heptadecafluoro-1-octanesulfonic acid</t>
        </is>
      </c>
      <c r="C204"/>
      <c r="D204" t="inlineStr">
        <is>
          <t>Measured</t>
        </is>
      </c>
      <c r="E204" t="inlineStr">
        <is>
          <t>&gt;=</t>
        </is>
      </c>
      <c r="F204" t="n">
        <v>98.0</v>
      </c>
      <c r="G204"/>
      <c r="H204"/>
      <c r="I204"/>
      <c r="J204"/>
      <c r="K204" t="inlineStr">
        <is>
          <t>Lactuca sativa var. longifolia</t>
        </is>
      </c>
      <c r="L204" t="inlineStr">
        <is>
          <t>Romaine Lettuce</t>
        </is>
      </c>
      <c r="M204" t="inlineStr">
        <is>
          <t>Flowers, Trees, Shrubs, Ferns</t>
        </is>
      </c>
      <c r="N204" t="inlineStr">
        <is>
          <t>Seedling</t>
        </is>
      </c>
      <c r="O204"/>
      <c r="P204" t="n">
        <v>14.0</v>
      </c>
      <c r="Q204"/>
      <c r="R204"/>
      <c r="S204"/>
      <c r="T204"/>
      <c r="U204" t="inlineStr">
        <is>
          <t>Day(s)</t>
        </is>
      </c>
      <c r="V204" t="inlineStr">
        <is>
          <t>Environmental, unspecified</t>
        </is>
      </c>
      <c r="W204" t="inlineStr">
        <is>
          <t>Natural soil</t>
        </is>
      </c>
      <c r="X204" t="inlineStr">
        <is>
          <t>Lab</t>
        </is>
      </c>
      <c r="Y204" t="n">
        <v>3.0</v>
      </c>
      <c r="Z204" t="inlineStr">
        <is>
          <t>Active ingredient</t>
        </is>
      </c>
      <c r="AA204"/>
      <c r="AB204" t="n">
        <v>0.988</v>
      </c>
      <c r="AC204"/>
      <c r="AD204"/>
      <c r="AE204"/>
      <c r="AF204"/>
      <c r="AG204" t="inlineStr">
        <is>
          <t>mg/kg dry soil</t>
        </is>
      </c>
      <c r="AH204"/>
      <c r="AI204"/>
      <c r="AJ204"/>
      <c r="AK204"/>
      <c r="AL204"/>
      <c r="AM204"/>
      <c r="AN204"/>
      <c r="AO204"/>
      <c r="AP204"/>
      <c r="AQ204"/>
      <c r="AR204"/>
      <c r="AS204"/>
      <c r="AT204"/>
      <c r="AU204"/>
      <c r="AV204"/>
      <c r="AW204"/>
      <c r="AX204" t="inlineStr">
        <is>
          <t>Accumulation</t>
        </is>
      </c>
      <c r="AY204" t="inlineStr">
        <is>
          <t>Residue</t>
        </is>
      </c>
      <c r="AZ204" t="inlineStr">
        <is>
          <t>BCFD</t>
        </is>
      </c>
      <c r="BA204"/>
      <c r="BB204" t="n">
        <v>0.988</v>
      </c>
      <c r="BC204"/>
      <c r="BD204"/>
      <c r="BE204"/>
      <c r="BF204"/>
      <c r="BG204"/>
      <c r="BH204"/>
      <c r="BI204" t="inlineStr">
        <is>
          <t>mg/kg dry soil</t>
        </is>
      </c>
      <c r="BJ204" t="inlineStr">
        <is>
          <t>Shoot</t>
        </is>
      </c>
      <c r="BK204"/>
      <c r="BL204" t="n">
        <v>45.0</v>
      </c>
      <c r="BM204"/>
      <c r="BN204"/>
      <c r="BO204"/>
      <c r="BP204"/>
      <c r="BQ204" t="inlineStr">
        <is>
          <t>Day(s)</t>
        </is>
      </c>
      <c r="BR204" t="inlineStr">
        <is>
          <t>Yu,P.F., L. Xiang, X.H. Li, Z.R. Ding, C.H. Mo, Y.W. Li, H. Li, Q.Y. Cai, D.M. Zhou, and M.H. Wong</t>
        </is>
      </c>
      <c r="BS204" t="n">
        <v>182588.0</v>
      </c>
      <c r="BT204" t="inlineStr">
        <is>
          <t>Cultivar-Dependent Accumulation and Translocation of Perfluorooctanesulfonate Among Lettuce ( Lactuca sativa L.) Cultivars Grown on Perfluorooctanesulfonate-Contaminated Soil</t>
        </is>
      </c>
      <c r="BU204" t="inlineStr">
        <is>
          <t>J. Agric. Food Chem.66(50): 13096-13106</t>
        </is>
      </c>
      <c r="BV204" t="n">
        <v>2018.0</v>
      </c>
      <c r="BW20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5">
      <c r="A205" t="n">
        <v>1763231.0</v>
      </c>
      <c r="B205" t="inlineStr">
        <is>
          <t>1,1,2,2,3,3,4,4,5,5,6,6,7,7,8,8,8-Heptadecafluoro-1-octanesulfonic acid</t>
        </is>
      </c>
      <c r="C205"/>
      <c r="D205" t="inlineStr">
        <is>
          <t>Measured</t>
        </is>
      </c>
      <c r="E205" t="inlineStr">
        <is>
          <t>&gt;=</t>
        </is>
      </c>
      <c r="F205" t="n">
        <v>98.0</v>
      </c>
      <c r="G205"/>
      <c r="H205"/>
      <c r="I205"/>
      <c r="J205"/>
      <c r="K205" t="inlineStr">
        <is>
          <t>Lactuca sativa var. longifolia</t>
        </is>
      </c>
      <c r="L205" t="inlineStr">
        <is>
          <t>Romaine Lettuce</t>
        </is>
      </c>
      <c r="M205" t="inlineStr">
        <is>
          <t>Flowers, Trees, Shrubs, Ferns</t>
        </is>
      </c>
      <c r="N205" t="inlineStr">
        <is>
          <t>Seedling</t>
        </is>
      </c>
      <c r="O205"/>
      <c r="P205" t="n">
        <v>14.0</v>
      </c>
      <c r="Q205"/>
      <c r="R205"/>
      <c r="S205"/>
      <c r="T205"/>
      <c r="U205" t="inlineStr">
        <is>
          <t>Day(s)</t>
        </is>
      </c>
      <c r="V205" t="inlineStr">
        <is>
          <t>Environmental, unspecified</t>
        </is>
      </c>
      <c r="W205" t="inlineStr">
        <is>
          <t>Natural soil</t>
        </is>
      </c>
      <c r="X205" t="inlineStr">
        <is>
          <t>Lab</t>
        </is>
      </c>
      <c r="Y205" t="n">
        <v>3.0</v>
      </c>
      <c r="Z205" t="inlineStr">
        <is>
          <t>Active ingredient</t>
        </is>
      </c>
      <c r="AA205"/>
      <c r="AB205" t="n">
        <v>0.988</v>
      </c>
      <c r="AC205"/>
      <c r="AD205"/>
      <c r="AE205"/>
      <c r="AF205"/>
      <c r="AG205" t="inlineStr">
        <is>
          <t>mg/kg dry soil</t>
        </is>
      </c>
      <c r="AH205"/>
      <c r="AI205"/>
      <c r="AJ205"/>
      <c r="AK205"/>
      <c r="AL205"/>
      <c r="AM205"/>
      <c r="AN205"/>
      <c r="AO205"/>
      <c r="AP205"/>
      <c r="AQ205"/>
      <c r="AR205"/>
      <c r="AS205"/>
      <c r="AT205"/>
      <c r="AU205"/>
      <c r="AV205"/>
      <c r="AW205"/>
      <c r="AX205" t="inlineStr">
        <is>
          <t>Accumulation</t>
        </is>
      </c>
      <c r="AY205" t="inlineStr">
        <is>
          <t>Residue</t>
        </is>
      </c>
      <c r="AZ205" t="inlineStr">
        <is>
          <t>BCFD</t>
        </is>
      </c>
      <c r="BA205"/>
      <c r="BB205" t="n">
        <v>0.988</v>
      </c>
      <c r="BC205"/>
      <c r="BD205"/>
      <c r="BE205"/>
      <c r="BF205"/>
      <c r="BG205"/>
      <c r="BH205"/>
      <c r="BI205" t="inlineStr">
        <is>
          <t>mg/kg dry soil</t>
        </is>
      </c>
      <c r="BJ205" t="inlineStr">
        <is>
          <t>Root</t>
        </is>
      </c>
      <c r="BK205"/>
      <c r="BL205" t="n">
        <v>45.0</v>
      </c>
      <c r="BM205"/>
      <c r="BN205"/>
      <c r="BO205"/>
      <c r="BP205"/>
      <c r="BQ205" t="inlineStr">
        <is>
          <t>Day(s)</t>
        </is>
      </c>
      <c r="BR205" t="inlineStr">
        <is>
          <t>Yu,P.F., L. Xiang, X.H. Li, Z.R. Ding, C.H. Mo, Y.W. Li, H. Li, Q.Y. Cai, D.M. Zhou, and M.H. Wong</t>
        </is>
      </c>
      <c r="BS205" t="n">
        <v>182588.0</v>
      </c>
      <c r="BT205" t="inlineStr">
        <is>
          <t>Cultivar-Dependent Accumulation and Translocation of Perfluorooctanesulfonate Among Lettuce ( Lactuca sativa L.) Cultivars Grown on Perfluorooctanesulfonate-Contaminated Soil</t>
        </is>
      </c>
      <c r="BU205" t="inlineStr">
        <is>
          <t>J. Agric. Food Chem.66(50): 13096-13106</t>
        </is>
      </c>
      <c r="BV205" t="n">
        <v>2018.0</v>
      </c>
      <c r="BW20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6">
      <c r="A206" t="n">
        <v>1763231.0</v>
      </c>
      <c r="B206" t="inlineStr">
        <is>
          <t>1,1,2,2,3,3,4,4,5,5,6,6,7,7,8,8,8-Heptadecafluoro-1-octanesulfonic acid</t>
        </is>
      </c>
      <c r="C206"/>
      <c r="D206" t="inlineStr">
        <is>
          <t>Measured</t>
        </is>
      </c>
      <c r="E206" t="inlineStr">
        <is>
          <t>&gt;=</t>
        </is>
      </c>
      <c r="F206" t="n">
        <v>98.0</v>
      </c>
      <c r="G206"/>
      <c r="H206"/>
      <c r="I206"/>
      <c r="J206"/>
      <c r="K206" t="inlineStr">
        <is>
          <t>Lactuca sativa var. longifolia</t>
        </is>
      </c>
      <c r="L206" t="inlineStr">
        <is>
          <t>Romaine Lettuce</t>
        </is>
      </c>
      <c r="M206" t="inlineStr">
        <is>
          <t>Flowers, Trees, Shrubs, Ferns</t>
        </is>
      </c>
      <c r="N206" t="inlineStr">
        <is>
          <t>Seedling</t>
        </is>
      </c>
      <c r="O206"/>
      <c r="P206" t="n">
        <v>14.0</v>
      </c>
      <c r="Q206"/>
      <c r="R206"/>
      <c r="S206"/>
      <c r="T206"/>
      <c r="U206" t="inlineStr">
        <is>
          <t>Day(s)</t>
        </is>
      </c>
      <c r="V206" t="inlineStr">
        <is>
          <t>Environmental, unspecified</t>
        </is>
      </c>
      <c r="W206" t="inlineStr">
        <is>
          <t>Natural soil</t>
        </is>
      </c>
      <c r="X206" t="inlineStr">
        <is>
          <t>Lab</t>
        </is>
      </c>
      <c r="Y206" t="n">
        <v>3.0</v>
      </c>
      <c r="Z206" t="inlineStr">
        <is>
          <t>Active ingredient</t>
        </is>
      </c>
      <c r="AA206"/>
      <c r="AB206" t="n">
        <v>0.189</v>
      </c>
      <c r="AC206"/>
      <c r="AD206"/>
      <c r="AE206"/>
      <c r="AF206"/>
      <c r="AG206" t="inlineStr">
        <is>
          <t>mg/kg dry soil</t>
        </is>
      </c>
      <c r="AH206"/>
      <c r="AI206"/>
      <c r="AJ206"/>
      <c r="AK206"/>
      <c r="AL206"/>
      <c r="AM206"/>
      <c r="AN206"/>
      <c r="AO206"/>
      <c r="AP206"/>
      <c r="AQ206"/>
      <c r="AR206"/>
      <c r="AS206"/>
      <c r="AT206"/>
      <c r="AU206"/>
      <c r="AV206"/>
      <c r="AW206"/>
      <c r="AX206" t="inlineStr">
        <is>
          <t>Accumulation</t>
        </is>
      </c>
      <c r="AY206" t="inlineStr">
        <is>
          <t>Residue</t>
        </is>
      </c>
      <c r="AZ206" t="inlineStr">
        <is>
          <t>BCFD</t>
        </is>
      </c>
      <c r="BA206"/>
      <c r="BB206" t="n">
        <v>0.189</v>
      </c>
      <c r="BC206"/>
      <c r="BD206"/>
      <c r="BE206"/>
      <c r="BF206"/>
      <c r="BG206"/>
      <c r="BH206"/>
      <c r="BI206" t="inlineStr">
        <is>
          <t>mg/kg dry soil</t>
        </is>
      </c>
      <c r="BJ206" t="inlineStr">
        <is>
          <t>Shoot</t>
        </is>
      </c>
      <c r="BK206"/>
      <c r="BL206" t="n">
        <v>45.0</v>
      </c>
      <c r="BM206"/>
      <c r="BN206"/>
      <c r="BO206"/>
      <c r="BP206"/>
      <c r="BQ206" t="inlineStr">
        <is>
          <t>Day(s)</t>
        </is>
      </c>
      <c r="BR206" t="inlineStr">
        <is>
          <t>Yu,P.F., L. Xiang, X.H. Li, Z.R. Ding, C.H. Mo, Y.W. Li, H. Li, Q.Y. Cai, D.M. Zhou, and M.H. Wong</t>
        </is>
      </c>
      <c r="BS206" t="n">
        <v>182588.0</v>
      </c>
      <c r="BT206" t="inlineStr">
        <is>
          <t>Cultivar-Dependent Accumulation and Translocation of Perfluorooctanesulfonate Among Lettuce ( Lactuca sativa L.) Cultivars Grown on Perfluorooctanesulfonate-Contaminated Soil</t>
        </is>
      </c>
      <c r="BU206" t="inlineStr">
        <is>
          <t>J. Agric. Food Chem.66(50): 13096-13106</t>
        </is>
      </c>
      <c r="BV206" t="n">
        <v>2018.0</v>
      </c>
      <c r="BW20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7">
      <c r="A207" t="n">
        <v>1763231.0</v>
      </c>
      <c r="B207" t="inlineStr">
        <is>
          <t>1,1,2,2,3,3,4,4,5,5,6,6,7,7,8,8,8-Heptadecafluoro-1-octanesulfonic acid</t>
        </is>
      </c>
      <c r="C207"/>
      <c r="D207" t="inlineStr">
        <is>
          <t>Measured</t>
        </is>
      </c>
      <c r="E207" t="inlineStr">
        <is>
          <t>&gt;=</t>
        </is>
      </c>
      <c r="F207" t="n">
        <v>98.0</v>
      </c>
      <c r="G207"/>
      <c r="H207"/>
      <c r="I207"/>
      <c r="J207"/>
      <c r="K207" t="inlineStr">
        <is>
          <t>Lactuca sativa var. longifolia</t>
        </is>
      </c>
      <c r="L207" t="inlineStr">
        <is>
          <t>Romaine Lettuce</t>
        </is>
      </c>
      <c r="M207" t="inlineStr">
        <is>
          <t>Flowers, Trees, Shrubs, Ferns</t>
        </is>
      </c>
      <c r="N207" t="inlineStr">
        <is>
          <t>Seedling</t>
        </is>
      </c>
      <c r="O207"/>
      <c r="P207" t="n">
        <v>14.0</v>
      </c>
      <c r="Q207"/>
      <c r="R207"/>
      <c r="S207"/>
      <c r="T207"/>
      <c r="U207" t="inlineStr">
        <is>
          <t>Day(s)</t>
        </is>
      </c>
      <c r="V207" t="inlineStr">
        <is>
          <t>Environmental, unspecified</t>
        </is>
      </c>
      <c r="W207" t="inlineStr">
        <is>
          <t>Natural soil</t>
        </is>
      </c>
      <c r="X207" t="inlineStr">
        <is>
          <t>Lab</t>
        </is>
      </c>
      <c r="Y207" t="n">
        <v>3.0</v>
      </c>
      <c r="Z207" t="inlineStr">
        <is>
          <t>Active ingredient</t>
        </is>
      </c>
      <c r="AA207"/>
      <c r="AB207" t="n">
        <v>0.189</v>
      </c>
      <c r="AC207"/>
      <c r="AD207"/>
      <c r="AE207"/>
      <c r="AF207"/>
      <c r="AG207" t="inlineStr">
        <is>
          <t>mg/kg dry soil</t>
        </is>
      </c>
      <c r="AH207"/>
      <c r="AI207"/>
      <c r="AJ207"/>
      <c r="AK207"/>
      <c r="AL207"/>
      <c r="AM207"/>
      <c r="AN207"/>
      <c r="AO207"/>
      <c r="AP207"/>
      <c r="AQ207"/>
      <c r="AR207"/>
      <c r="AS207"/>
      <c r="AT207"/>
      <c r="AU207"/>
      <c r="AV207"/>
      <c r="AW207"/>
      <c r="AX207" t="inlineStr">
        <is>
          <t>Accumulation</t>
        </is>
      </c>
      <c r="AY207" t="inlineStr">
        <is>
          <t>Residue</t>
        </is>
      </c>
      <c r="AZ207" t="inlineStr">
        <is>
          <t>BCFD</t>
        </is>
      </c>
      <c r="BA207"/>
      <c r="BB207" t="n">
        <v>0.189</v>
      </c>
      <c r="BC207"/>
      <c r="BD207"/>
      <c r="BE207"/>
      <c r="BF207"/>
      <c r="BG207"/>
      <c r="BH207"/>
      <c r="BI207" t="inlineStr">
        <is>
          <t>mg/kg dry soil</t>
        </is>
      </c>
      <c r="BJ207" t="inlineStr">
        <is>
          <t>Root</t>
        </is>
      </c>
      <c r="BK207"/>
      <c r="BL207" t="n">
        <v>45.0</v>
      </c>
      <c r="BM207"/>
      <c r="BN207"/>
      <c r="BO207"/>
      <c r="BP207"/>
      <c r="BQ207" t="inlineStr">
        <is>
          <t>Day(s)</t>
        </is>
      </c>
      <c r="BR207" t="inlineStr">
        <is>
          <t>Yu,P.F., L. Xiang, X.H. Li, Z.R. Ding, C.H. Mo, Y.W. Li, H. Li, Q.Y. Cai, D.M. Zhou, and M.H. Wong</t>
        </is>
      </c>
      <c r="BS207" t="n">
        <v>182588.0</v>
      </c>
      <c r="BT207" t="inlineStr">
        <is>
          <t>Cultivar-Dependent Accumulation and Translocation of Perfluorooctanesulfonate Among Lettuce ( Lactuca sativa L.) Cultivars Grown on Perfluorooctanesulfonate-Contaminated Soil</t>
        </is>
      </c>
      <c r="BU207" t="inlineStr">
        <is>
          <t>J. Agric. Food Chem.66(50): 13096-13106</t>
        </is>
      </c>
      <c r="BV207" t="n">
        <v>2018.0</v>
      </c>
      <c r="BW20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8">
      <c r="A208" t="n">
        <v>1763231.0</v>
      </c>
      <c r="B208" t="inlineStr">
        <is>
          <t>1,1,2,2,3,3,4,4,5,5,6,6,7,7,8,8,8-Heptadecafluoro-1-octanesulfonic acid</t>
        </is>
      </c>
      <c r="C208"/>
      <c r="D208" t="inlineStr">
        <is>
          <t>Measured</t>
        </is>
      </c>
      <c r="E208" t="inlineStr">
        <is>
          <t>&gt;=</t>
        </is>
      </c>
      <c r="F208" t="n">
        <v>98.0</v>
      </c>
      <c r="G208"/>
      <c r="H208"/>
      <c r="I208"/>
      <c r="J208"/>
      <c r="K208" t="inlineStr">
        <is>
          <t>Lactuca sativa var. longifolia</t>
        </is>
      </c>
      <c r="L208" t="inlineStr">
        <is>
          <t>Romaine Lettuce</t>
        </is>
      </c>
      <c r="M208" t="inlineStr">
        <is>
          <t>Flowers, Trees, Shrubs, Ferns</t>
        </is>
      </c>
      <c r="N208" t="inlineStr">
        <is>
          <t>Seedling</t>
        </is>
      </c>
      <c r="O208"/>
      <c r="P208" t="n">
        <v>14.0</v>
      </c>
      <c r="Q208"/>
      <c r="R208"/>
      <c r="S208"/>
      <c r="T208"/>
      <c r="U208" t="inlineStr">
        <is>
          <t>Day(s)</t>
        </is>
      </c>
      <c r="V208" t="inlineStr">
        <is>
          <t>Environmental, unspecified</t>
        </is>
      </c>
      <c r="W208" t="inlineStr">
        <is>
          <t>Natural soil</t>
        </is>
      </c>
      <c r="X208" t="inlineStr">
        <is>
          <t>Lab</t>
        </is>
      </c>
      <c r="Y208" t="n">
        <v>3.0</v>
      </c>
      <c r="Z208" t="inlineStr">
        <is>
          <t>Active ingredient</t>
        </is>
      </c>
      <c r="AA208"/>
      <c r="AB208" t="n">
        <v>0.972</v>
      </c>
      <c r="AC208"/>
      <c r="AD208"/>
      <c r="AE208"/>
      <c r="AF208"/>
      <c r="AG208" t="inlineStr">
        <is>
          <t>mg/kg dry soil</t>
        </is>
      </c>
      <c r="AH208"/>
      <c r="AI208"/>
      <c r="AJ208"/>
      <c r="AK208"/>
      <c r="AL208"/>
      <c r="AM208"/>
      <c r="AN208"/>
      <c r="AO208"/>
      <c r="AP208"/>
      <c r="AQ208"/>
      <c r="AR208"/>
      <c r="AS208"/>
      <c r="AT208"/>
      <c r="AU208"/>
      <c r="AV208"/>
      <c r="AW208"/>
      <c r="AX208" t="inlineStr">
        <is>
          <t>Accumulation</t>
        </is>
      </c>
      <c r="AY208" t="inlineStr">
        <is>
          <t>Residue</t>
        </is>
      </c>
      <c r="AZ208" t="inlineStr">
        <is>
          <t>BCFD</t>
        </is>
      </c>
      <c r="BA208"/>
      <c r="BB208" t="n">
        <v>0.972</v>
      </c>
      <c r="BC208"/>
      <c r="BD208"/>
      <c r="BE208"/>
      <c r="BF208"/>
      <c r="BG208"/>
      <c r="BH208"/>
      <c r="BI208" t="inlineStr">
        <is>
          <t>mg/kg dry soil</t>
        </is>
      </c>
      <c r="BJ208" t="inlineStr">
        <is>
          <t>Shoot</t>
        </is>
      </c>
      <c r="BK208"/>
      <c r="BL208" t="n">
        <v>45.0</v>
      </c>
      <c r="BM208"/>
      <c r="BN208"/>
      <c r="BO208"/>
      <c r="BP208"/>
      <c r="BQ208" t="inlineStr">
        <is>
          <t>Day(s)</t>
        </is>
      </c>
      <c r="BR208" t="inlineStr">
        <is>
          <t>Yu,P.F., L. Xiang, X.H. Li, Z.R. Ding, C.H. Mo, Y.W. Li, H. Li, Q.Y. Cai, D.M. Zhou, and M.H. Wong</t>
        </is>
      </c>
      <c r="BS208" t="n">
        <v>182588.0</v>
      </c>
      <c r="BT208" t="inlineStr">
        <is>
          <t>Cultivar-Dependent Accumulation and Translocation of Perfluorooctanesulfonate Among Lettuce ( Lactuca sativa L.) Cultivars Grown on Perfluorooctanesulfonate-Contaminated Soil</t>
        </is>
      </c>
      <c r="BU208" t="inlineStr">
        <is>
          <t>J. Agric. Food Chem.66(50): 13096-13106</t>
        </is>
      </c>
      <c r="BV208" t="n">
        <v>2018.0</v>
      </c>
      <c r="BW20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09">
      <c r="A209" t="n">
        <v>1763231.0</v>
      </c>
      <c r="B209" t="inlineStr">
        <is>
          <t>1,1,2,2,3,3,4,4,5,5,6,6,7,7,8,8,8-Heptadecafluoro-1-octanesulfonic acid</t>
        </is>
      </c>
      <c r="C209"/>
      <c r="D209" t="inlineStr">
        <is>
          <t>Measured</t>
        </is>
      </c>
      <c r="E209" t="inlineStr">
        <is>
          <t>&gt;=</t>
        </is>
      </c>
      <c r="F209" t="n">
        <v>98.0</v>
      </c>
      <c r="G209"/>
      <c r="H209"/>
      <c r="I209"/>
      <c r="J209"/>
      <c r="K209" t="inlineStr">
        <is>
          <t>Lactuca sativa var. longifolia</t>
        </is>
      </c>
      <c r="L209" t="inlineStr">
        <is>
          <t>Romaine Lettuce</t>
        </is>
      </c>
      <c r="M209" t="inlineStr">
        <is>
          <t>Flowers, Trees, Shrubs, Ferns</t>
        </is>
      </c>
      <c r="N209" t="inlineStr">
        <is>
          <t>Seedling</t>
        </is>
      </c>
      <c r="O209"/>
      <c r="P209" t="n">
        <v>14.0</v>
      </c>
      <c r="Q209"/>
      <c r="R209"/>
      <c r="S209"/>
      <c r="T209"/>
      <c r="U209" t="inlineStr">
        <is>
          <t>Day(s)</t>
        </is>
      </c>
      <c r="V209" t="inlineStr">
        <is>
          <t>Environmental, unspecified</t>
        </is>
      </c>
      <c r="W209" t="inlineStr">
        <is>
          <t>Natural soil</t>
        </is>
      </c>
      <c r="X209" t="inlineStr">
        <is>
          <t>Lab</t>
        </is>
      </c>
      <c r="Y209" t="n">
        <v>3.0</v>
      </c>
      <c r="Z209" t="inlineStr">
        <is>
          <t>Active ingredient</t>
        </is>
      </c>
      <c r="AA209"/>
      <c r="AB209" t="n">
        <v>0.972</v>
      </c>
      <c r="AC209"/>
      <c r="AD209"/>
      <c r="AE209"/>
      <c r="AF209"/>
      <c r="AG209" t="inlineStr">
        <is>
          <t>mg/kg dry soil</t>
        </is>
      </c>
      <c r="AH209"/>
      <c r="AI209"/>
      <c r="AJ209"/>
      <c r="AK209"/>
      <c r="AL209"/>
      <c r="AM209"/>
      <c r="AN209"/>
      <c r="AO209"/>
      <c r="AP209"/>
      <c r="AQ209"/>
      <c r="AR209"/>
      <c r="AS209"/>
      <c r="AT209"/>
      <c r="AU209"/>
      <c r="AV209"/>
      <c r="AW209"/>
      <c r="AX209" t="inlineStr">
        <is>
          <t>Accumulation</t>
        </is>
      </c>
      <c r="AY209" t="inlineStr">
        <is>
          <t>Residue</t>
        </is>
      </c>
      <c r="AZ209" t="inlineStr">
        <is>
          <t>BCFD</t>
        </is>
      </c>
      <c r="BA209"/>
      <c r="BB209" t="n">
        <v>0.972</v>
      </c>
      <c r="BC209"/>
      <c r="BD209"/>
      <c r="BE209"/>
      <c r="BF209"/>
      <c r="BG209"/>
      <c r="BH209"/>
      <c r="BI209" t="inlineStr">
        <is>
          <t>mg/kg dry soil</t>
        </is>
      </c>
      <c r="BJ209" t="inlineStr">
        <is>
          <t>Root</t>
        </is>
      </c>
      <c r="BK209"/>
      <c r="BL209" t="n">
        <v>45.0</v>
      </c>
      <c r="BM209"/>
      <c r="BN209"/>
      <c r="BO209"/>
      <c r="BP209"/>
      <c r="BQ209" t="inlineStr">
        <is>
          <t>Day(s)</t>
        </is>
      </c>
      <c r="BR209" t="inlineStr">
        <is>
          <t>Yu,P.F., L. Xiang, X.H. Li, Z.R. Ding, C.H. Mo, Y.W. Li, H. Li, Q.Y. Cai, D.M. Zhou, and M.H. Wong</t>
        </is>
      </c>
      <c r="BS209" t="n">
        <v>182588.0</v>
      </c>
      <c r="BT209" t="inlineStr">
        <is>
          <t>Cultivar-Dependent Accumulation and Translocation of Perfluorooctanesulfonate Among Lettuce ( Lactuca sativa L.) Cultivars Grown on Perfluorooctanesulfonate-Contaminated Soil</t>
        </is>
      </c>
      <c r="BU209" t="inlineStr">
        <is>
          <t>J. Agric. Food Chem.66(50): 13096-13106</t>
        </is>
      </c>
      <c r="BV209" t="n">
        <v>2018.0</v>
      </c>
      <c r="BW20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10">
      <c r="A210" t="n">
        <v>1763231.0</v>
      </c>
      <c r="B210" t="inlineStr">
        <is>
          <t>1,1,2,2,3,3,4,4,5,5,6,6,7,7,8,8,8-Heptadecafluoro-1-octanesulfonic acid</t>
        </is>
      </c>
      <c r="C210"/>
      <c r="D210" t="inlineStr">
        <is>
          <t>Measured</t>
        </is>
      </c>
      <c r="E210" t="inlineStr">
        <is>
          <t>&gt;=</t>
        </is>
      </c>
      <c r="F210" t="n">
        <v>98.0</v>
      </c>
      <c r="G210"/>
      <c r="H210"/>
      <c r="I210"/>
      <c r="J210"/>
      <c r="K210" t="inlineStr">
        <is>
          <t>Lactuca sativa var. longifolia</t>
        </is>
      </c>
      <c r="L210" t="inlineStr">
        <is>
          <t>Romaine Lettuce</t>
        </is>
      </c>
      <c r="M210" t="inlineStr">
        <is>
          <t>Flowers, Trees, Shrubs, Ferns</t>
        </is>
      </c>
      <c r="N210" t="inlineStr">
        <is>
          <t>Seedling</t>
        </is>
      </c>
      <c r="O210"/>
      <c r="P210" t="n">
        <v>14.0</v>
      </c>
      <c r="Q210"/>
      <c r="R210"/>
      <c r="S210"/>
      <c r="T210"/>
      <c r="U210" t="inlineStr">
        <is>
          <t>Day(s)</t>
        </is>
      </c>
      <c r="V210" t="inlineStr">
        <is>
          <t>Environmental, unspecified</t>
        </is>
      </c>
      <c r="W210" t="inlineStr">
        <is>
          <t>Natural soil</t>
        </is>
      </c>
      <c r="X210" t="inlineStr">
        <is>
          <t>Lab</t>
        </is>
      </c>
      <c r="Y210" t="n">
        <v>3.0</v>
      </c>
      <c r="Z210" t="inlineStr">
        <is>
          <t>Active ingredient</t>
        </is>
      </c>
      <c r="AA210"/>
      <c r="AB210" t="n">
        <v>0.192</v>
      </c>
      <c r="AC210"/>
      <c r="AD210"/>
      <c r="AE210"/>
      <c r="AF210"/>
      <c r="AG210" t="inlineStr">
        <is>
          <t>mg/kg dry soil</t>
        </is>
      </c>
      <c r="AH210"/>
      <c r="AI210"/>
      <c r="AJ210"/>
      <c r="AK210"/>
      <c r="AL210"/>
      <c r="AM210"/>
      <c r="AN210"/>
      <c r="AO210"/>
      <c r="AP210"/>
      <c r="AQ210"/>
      <c r="AR210"/>
      <c r="AS210"/>
      <c r="AT210"/>
      <c r="AU210"/>
      <c r="AV210"/>
      <c r="AW210"/>
      <c r="AX210" t="inlineStr">
        <is>
          <t>Accumulation</t>
        </is>
      </c>
      <c r="AY210" t="inlineStr">
        <is>
          <t>Residue</t>
        </is>
      </c>
      <c r="AZ210" t="inlineStr">
        <is>
          <t>BCFD</t>
        </is>
      </c>
      <c r="BA210"/>
      <c r="BB210" t="n">
        <v>0.192</v>
      </c>
      <c r="BC210"/>
      <c r="BD210"/>
      <c r="BE210"/>
      <c r="BF210"/>
      <c r="BG210"/>
      <c r="BH210"/>
      <c r="BI210" t="inlineStr">
        <is>
          <t>mg/kg dry soil</t>
        </is>
      </c>
      <c r="BJ210" t="inlineStr">
        <is>
          <t>Root</t>
        </is>
      </c>
      <c r="BK210"/>
      <c r="BL210" t="n">
        <v>45.0</v>
      </c>
      <c r="BM210"/>
      <c r="BN210"/>
      <c r="BO210"/>
      <c r="BP210"/>
      <c r="BQ210" t="inlineStr">
        <is>
          <t>Day(s)</t>
        </is>
      </c>
      <c r="BR210" t="inlineStr">
        <is>
          <t>Yu,P.F., L. Xiang, X.H. Li, Z.R. Ding, C.H. Mo, Y.W. Li, H. Li, Q.Y. Cai, D.M. Zhou, and M.H. Wong</t>
        </is>
      </c>
      <c r="BS210" t="n">
        <v>182588.0</v>
      </c>
      <c r="BT210" t="inlineStr">
        <is>
          <t>Cultivar-Dependent Accumulation and Translocation of Perfluorooctanesulfonate Among Lettuce ( Lactuca sativa L.) Cultivars Grown on Perfluorooctanesulfonate-Contaminated Soil</t>
        </is>
      </c>
      <c r="BU210" t="inlineStr">
        <is>
          <t>J. Agric. Food Chem.66(50): 13096-13106</t>
        </is>
      </c>
      <c r="BV210" t="n">
        <v>2018.0</v>
      </c>
      <c r="BW2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11">
      <c r="A211" t="n">
        <v>1763231.0</v>
      </c>
      <c r="B211" t="inlineStr">
        <is>
          <t>1,1,2,2,3,3,4,4,5,5,6,6,7,7,8,8,8-Heptadecafluoro-1-octanesulfonic acid</t>
        </is>
      </c>
      <c r="C211"/>
      <c r="D211" t="inlineStr">
        <is>
          <t>Measured</t>
        </is>
      </c>
      <c r="E211" t="inlineStr">
        <is>
          <t>&gt;=</t>
        </is>
      </c>
      <c r="F211" t="n">
        <v>98.0</v>
      </c>
      <c r="G211"/>
      <c r="H211"/>
      <c r="I211"/>
      <c r="J211"/>
      <c r="K211" t="inlineStr">
        <is>
          <t>Lactuca sativa var. longifolia</t>
        </is>
      </c>
      <c r="L211" t="inlineStr">
        <is>
          <t>Romaine Lettuce</t>
        </is>
      </c>
      <c r="M211" t="inlineStr">
        <is>
          <t>Flowers, Trees, Shrubs, Ferns</t>
        </is>
      </c>
      <c r="N211" t="inlineStr">
        <is>
          <t>Seedling</t>
        </is>
      </c>
      <c r="O211"/>
      <c r="P211" t="n">
        <v>14.0</v>
      </c>
      <c r="Q211"/>
      <c r="R211"/>
      <c r="S211"/>
      <c r="T211"/>
      <c r="U211" t="inlineStr">
        <is>
          <t>Day(s)</t>
        </is>
      </c>
      <c r="V211" t="inlineStr">
        <is>
          <t>Environmental, unspecified</t>
        </is>
      </c>
      <c r="W211" t="inlineStr">
        <is>
          <t>Natural soil</t>
        </is>
      </c>
      <c r="X211" t="inlineStr">
        <is>
          <t>Lab</t>
        </is>
      </c>
      <c r="Y211" t="n">
        <v>3.0</v>
      </c>
      <c r="Z211" t="inlineStr">
        <is>
          <t>Active ingredient</t>
        </is>
      </c>
      <c r="AA211"/>
      <c r="AB211" t="n">
        <v>0.192</v>
      </c>
      <c r="AC211"/>
      <c r="AD211"/>
      <c r="AE211"/>
      <c r="AF211"/>
      <c r="AG211" t="inlineStr">
        <is>
          <t>mg/kg dry soil</t>
        </is>
      </c>
      <c r="AH211"/>
      <c r="AI211"/>
      <c r="AJ211"/>
      <c r="AK211"/>
      <c r="AL211"/>
      <c r="AM211"/>
      <c r="AN211"/>
      <c r="AO211"/>
      <c r="AP211"/>
      <c r="AQ211"/>
      <c r="AR211"/>
      <c r="AS211"/>
      <c r="AT211"/>
      <c r="AU211"/>
      <c r="AV211"/>
      <c r="AW211"/>
      <c r="AX211" t="inlineStr">
        <is>
          <t>Accumulation</t>
        </is>
      </c>
      <c r="AY211" t="inlineStr">
        <is>
          <t>Residue</t>
        </is>
      </c>
      <c r="AZ211" t="inlineStr">
        <is>
          <t>BCFD</t>
        </is>
      </c>
      <c r="BA211"/>
      <c r="BB211" t="n">
        <v>0.192</v>
      </c>
      <c r="BC211"/>
      <c r="BD211"/>
      <c r="BE211"/>
      <c r="BF211"/>
      <c r="BG211"/>
      <c r="BH211"/>
      <c r="BI211" t="inlineStr">
        <is>
          <t>mg/kg dry soil</t>
        </is>
      </c>
      <c r="BJ211" t="inlineStr">
        <is>
          <t>Shoot</t>
        </is>
      </c>
      <c r="BK211"/>
      <c r="BL211" t="n">
        <v>45.0</v>
      </c>
      <c r="BM211"/>
      <c r="BN211"/>
      <c r="BO211"/>
      <c r="BP211"/>
      <c r="BQ211" t="inlineStr">
        <is>
          <t>Day(s)</t>
        </is>
      </c>
      <c r="BR211" t="inlineStr">
        <is>
          <t>Yu,P.F., L. Xiang, X.H. Li, Z.R. Ding, C.H. Mo, Y.W. Li, H. Li, Q.Y. Cai, D.M. Zhou, and M.H. Wong</t>
        </is>
      </c>
      <c r="BS211" t="n">
        <v>182588.0</v>
      </c>
      <c r="BT211" t="inlineStr">
        <is>
          <t>Cultivar-Dependent Accumulation and Translocation of Perfluorooctanesulfonate Among Lettuce ( Lactuca sativa L.) Cultivars Grown on Perfluorooctanesulfonate-Contaminated Soil</t>
        </is>
      </c>
      <c r="BU211" t="inlineStr">
        <is>
          <t>J. Agric. Food Chem.66(50): 13096-13106</t>
        </is>
      </c>
      <c r="BV211" t="n">
        <v>2018.0</v>
      </c>
      <c r="BW21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row>
    <row r="212">
      <c r="A212" t="n">
        <v>1763231.0</v>
      </c>
      <c r="B212" t="inlineStr">
        <is>
          <t>1,1,2,2,3,3,4,4,5,5,6,6,7,7,8,8,8-Heptadecafluoro-1-octanesulfonic acid</t>
        </is>
      </c>
      <c r="C212"/>
      <c r="D212" t="inlineStr">
        <is>
          <t>Chemical analysis reported</t>
        </is>
      </c>
      <c r="E212" t="inlineStr">
        <is>
          <t>&gt;=</t>
        </is>
      </c>
      <c r="F212" t="n">
        <v>98.0</v>
      </c>
      <c r="G212"/>
      <c r="H212"/>
      <c r="I212"/>
      <c r="J212"/>
      <c r="K212" t="inlineStr">
        <is>
          <t>Lithobates pipiens</t>
        </is>
      </c>
      <c r="L212" t="inlineStr">
        <is>
          <t>Leopard Frog</t>
        </is>
      </c>
      <c r="M212" t="inlineStr">
        <is>
          <t>Amphibians; Standard Test Species</t>
        </is>
      </c>
      <c r="N212" t="inlineStr">
        <is>
          <t>Juvenile</t>
        </is>
      </c>
      <c r="O212" t="inlineStr">
        <is>
          <t>&gt;</t>
        </is>
      </c>
      <c r="P212" t="n">
        <v>55.0</v>
      </c>
      <c r="Q212"/>
      <c r="R212"/>
      <c r="S212"/>
      <c r="T212"/>
      <c r="U212" t="inlineStr">
        <is>
          <t>Day(s)</t>
        </is>
      </c>
      <c r="V212" t="inlineStr">
        <is>
          <t>Environmental, unspecified</t>
        </is>
      </c>
      <c r="W212" t="inlineStr">
        <is>
          <t>Natural soil</t>
        </is>
      </c>
      <c r="X212" t="inlineStr">
        <is>
          <t>Lab</t>
        </is>
      </c>
      <c r="Y212" t="n">
        <v>4.0</v>
      </c>
      <c r="Z212" t="inlineStr">
        <is>
          <t>Active ingredient</t>
        </is>
      </c>
      <c r="AA212"/>
      <c r="AB212"/>
      <c r="AC212"/>
      <c r="AD212" t="n">
        <v>80.0</v>
      </c>
      <c r="AE212"/>
      <c r="AF212" t="n">
        <v>8000.0</v>
      </c>
      <c r="AG212" t="inlineStr">
        <is>
          <t xml:space="preserve">ppb dry wt </t>
        </is>
      </c>
      <c r="AH212"/>
      <c r="AI212"/>
      <c r="AJ212"/>
      <c r="AK212"/>
      <c r="AL212"/>
      <c r="AM212"/>
      <c r="AN212"/>
      <c r="AO212"/>
      <c r="AP212"/>
      <c r="AQ212"/>
      <c r="AR212"/>
      <c r="AS212"/>
      <c r="AT212"/>
      <c r="AU212"/>
      <c r="AV212"/>
      <c r="AW212"/>
      <c r="AX212" t="inlineStr">
        <is>
          <t>Accumulation</t>
        </is>
      </c>
      <c r="AY212" t="inlineStr">
        <is>
          <t>Residue</t>
        </is>
      </c>
      <c r="AZ212"/>
      <c r="BA212"/>
      <c r="BB212"/>
      <c r="BC212"/>
      <c r="BD212" t="n">
        <v>80.0</v>
      </c>
      <c r="BE212"/>
      <c r="BF212" t="n">
        <v>8000.0</v>
      </c>
      <c r="BG212"/>
      <c r="BH212"/>
      <c r="BI212" t="inlineStr">
        <is>
          <t xml:space="preserve">ppb dry wt </t>
        </is>
      </c>
      <c r="BJ212" t="inlineStr">
        <is>
          <t>Whole organism</t>
        </is>
      </c>
      <c r="BK212"/>
      <c r="BL212" t="n">
        <v>30.0</v>
      </c>
      <c r="BM212"/>
      <c r="BN212"/>
      <c r="BO212"/>
      <c r="BP212"/>
      <c r="BQ212" t="inlineStr">
        <is>
          <t>Day(s)</t>
        </is>
      </c>
      <c r="BR212" t="inlineStr">
        <is>
          <t>Abercrombie,S.A., C. De Perre, M. Iacchetta, R.W. Flynn, M.S. Sepulveda, L.S. Lee, and J.T. Hoverman</t>
        </is>
      </c>
      <c r="BS212" t="n">
        <v>182571.0</v>
      </c>
      <c r="BT212" t="inlineStr">
        <is>
          <t>Sublethal Effects of Dermal Exposure to Poly- and Perfluoroalkyl Substances on Postmetamorphic Amphibians</t>
        </is>
      </c>
      <c r="BU212" t="inlineStr">
        <is>
          <t>Environ. Toxicol. Chem.40(3): 717-726</t>
        </is>
      </c>
      <c r="BV212" t="n">
        <v>2021.0</v>
      </c>
      <c r="BW212"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213">
      <c r="A213" t="n">
        <v>1763231.0</v>
      </c>
      <c r="B213" t="inlineStr">
        <is>
          <t>1,1,2,2,3,3,4,4,5,5,6,6,7,7,8,8,8-Heptadecafluoro-1-octanesulfonic acid</t>
        </is>
      </c>
      <c r="C213"/>
      <c r="D213" t="inlineStr">
        <is>
          <t>Unmeasured</t>
        </is>
      </c>
      <c r="E213"/>
      <c r="F213"/>
      <c r="G213"/>
      <c r="H213"/>
      <c r="I213"/>
      <c r="J213"/>
      <c r="K213" t="inlineStr">
        <is>
          <t>Mus musculus</t>
        </is>
      </c>
      <c r="L213" t="inlineStr">
        <is>
          <t>House Mouse</t>
        </is>
      </c>
      <c r="M213" t="inlineStr">
        <is>
          <t>Mammals; Standard Test Species</t>
        </is>
      </c>
      <c r="N213"/>
      <c r="O213"/>
      <c r="P213"/>
      <c r="Q213"/>
      <c r="R213" t="n">
        <v>6.0</v>
      </c>
      <c r="S213"/>
      <c r="T213" t="n">
        <v>8.0</v>
      </c>
      <c r="U213" t="inlineStr">
        <is>
          <t>Week(s)</t>
        </is>
      </c>
      <c r="V213" t="inlineStr">
        <is>
          <t>Gavage</t>
        </is>
      </c>
      <c r="W213" t="inlineStr">
        <is>
          <t>Not reported</t>
        </is>
      </c>
      <c r="X213" t="inlineStr">
        <is>
          <t>Lab</t>
        </is>
      </c>
      <c r="Y213" t="n">
        <v>2.0</v>
      </c>
      <c r="Z213" t="inlineStr">
        <is>
          <t>Formulation</t>
        </is>
      </c>
      <c r="AA213"/>
      <c r="AB213" t="n">
        <v>2.5</v>
      </c>
      <c r="AC213"/>
      <c r="AD213"/>
      <c r="AE213"/>
      <c r="AF213"/>
      <c r="AG213" t="inlineStr">
        <is>
          <t>mg/kg bdwt</t>
        </is>
      </c>
      <c r="AH213"/>
      <c r="AI213"/>
      <c r="AJ213"/>
      <c r="AK213"/>
      <c r="AL213"/>
      <c r="AM213"/>
      <c r="AN213"/>
      <c r="AO213"/>
      <c r="AP213"/>
      <c r="AQ213"/>
      <c r="AR213"/>
      <c r="AS213"/>
      <c r="AT213"/>
      <c r="AU213"/>
      <c r="AV213"/>
      <c r="AW213"/>
      <c r="AX213" t="inlineStr">
        <is>
          <t>Accumulation</t>
        </is>
      </c>
      <c r="AY213" t="inlineStr">
        <is>
          <t>Residue</t>
        </is>
      </c>
      <c r="AZ213" t="inlineStr">
        <is>
          <t>NOEL</t>
        </is>
      </c>
      <c r="BA213"/>
      <c r="BB213" t="n">
        <v>2.5</v>
      </c>
      <c r="BC213"/>
      <c r="BD213"/>
      <c r="BE213"/>
      <c r="BF213"/>
      <c r="BG213"/>
      <c r="BH213"/>
      <c r="BI213" t="inlineStr">
        <is>
          <t>mg/kg bdwt</t>
        </is>
      </c>
      <c r="BJ213" t="inlineStr">
        <is>
          <t>Serum</t>
        </is>
      </c>
      <c r="BK213"/>
      <c r="BL213" t="n">
        <v>5.0</v>
      </c>
      <c r="BM213"/>
      <c r="BN213"/>
      <c r="BO213"/>
      <c r="BP213"/>
      <c r="BQ213" t="inlineStr">
        <is>
          <t>Day(s)</t>
        </is>
      </c>
      <c r="BR213" t="inlineStr">
        <is>
          <t>Diaz,O.E., C. Sorini, R.A. Morales, X. Luo, A. Frede, A.M. Krais, M.N. Chavez, E. Wincent, S.U. Das, and E.J. Villablan</t>
        </is>
      </c>
      <c r="BS213" t="n">
        <v>191177.0</v>
      </c>
      <c r="BT213" t="inlineStr">
        <is>
          <t>Perfluorooctanesulfonic Acid Modulates Barrier Function and Systemic T-Cell Homeostasis During Intestinal Inflammation</t>
        </is>
      </c>
      <c r="BU213" t="inlineStr">
        <is>
          <t>Dis. Model. Mech.14(12): 1-11</t>
        </is>
      </c>
      <c r="BV213" t="n">
        <v>2021.0</v>
      </c>
      <c r="BW213" t="inlineStr">
        <is>
          <t>Diaz,O.E., C. Sorini, R.A. Morales, X. Luo, A. Frede, A.M. Krais, M.N. Chavez, E. Wincent, S.U. Das, and E.J. Villablan (2021). Perfluorooctanesulfonic Acid Modulates Barrier Function and Systemic T-Cell Homeostasis During Intestinal Inflammation. Dis. Model. Mech., 14, (12), 1-11. doi:10.1242/dmm.049104. ECOREF#:191177</t>
        </is>
      </c>
    </row>
    <row r="214">
      <c r="A214" t="n">
        <v>1763231.0</v>
      </c>
      <c r="B214" t="inlineStr">
        <is>
          <t>1,1,2,2,3,3,4,4,5,5,6,6,7,7,8,8,8-Heptadecafluoro-1-octanesulfonic acid</t>
        </is>
      </c>
      <c r="C214"/>
      <c r="D214" t="inlineStr">
        <is>
          <t>Unmeasured</t>
        </is>
      </c>
      <c r="E214"/>
      <c r="F214"/>
      <c r="G214"/>
      <c r="H214"/>
      <c r="I214"/>
      <c r="J214"/>
      <c r="K214" t="inlineStr">
        <is>
          <t>Mus musculus</t>
        </is>
      </c>
      <c r="L214" t="inlineStr">
        <is>
          <t>House Mouse</t>
        </is>
      </c>
      <c r="M214" t="inlineStr">
        <is>
          <t>Mammals; Standard Test Species</t>
        </is>
      </c>
      <c r="N214"/>
      <c r="O214"/>
      <c r="P214"/>
      <c r="Q214"/>
      <c r="R214" t="n">
        <v>6.0</v>
      </c>
      <c r="S214"/>
      <c r="T214" t="n">
        <v>8.0</v>
      </c>
      <c r="U214" t="inlineStr">
        <is>
          <t>Week(s)</t>
        </is>
      </c>
      <c r="V214" t="inlineStr">
        <is>
          <t>Gavage</t>
        </is>
      </c>
      <c r="W214" t="inlineStr">
        <is>
          <t>Not reported</t>
        </is>
      </c>
      <c r="X214" t="inlineStr">
        <is>
          <t>Lab</t>
        </is>
      </c>
      <c r="Y214" t="n">
        <v>2.0</v>
      </c>
      <c r="Z214" t="inlineStr">
        <is>
          <t>Formulation</t>
        </is>
      </c>
      <c r="AA214"/>
      <c r="AB214" t="n">
        <v>2.5</v>
      </c>
      <c r="AC214"/>
      <c r="AD214"/>
      <c r="AE214"/>
      <c r="AF214"/>
      <c r="AG214" t="inlineStr">
        <is>
          <t>mg/kg bdwt</t>
        </is>
      </c>
      <c r="AH214"/>
      <c r="AI214"/>
      <c r="AJ214"/>
      <c r="AK214"/>
      <c r="AL214"/>
      <c r="AM214"/>
      <c r="AN214"/>
      <c r="AO214"/>
      <c r="AP214"/>
      <c r="AQ214"/>
      <c r="AR214"/>
      <c r="AS214"/>
      <c r="AT214"/>
      <c r="AU214"/>
      <c r="AV214"/>
      <c r="AW214"/>
      <c r="AX214" t="inlineStr">
        <is>
          <t>Accumulation</t>
        </is>
      </c>
      <c r="AY214" t="inlineStr">
        <is>
          <t>Residue</t>
        </is>
      </c>
      <c r="AZ214" t="inlineStr">
        <is>
          <t>NOEL</t>
        </is>
      </c>
      <c r="BA214"/>
      <c r="BB214" t="n">
        <v>2.5</v>
      </c>
      <c r="BC214"/>
      <c r="BD214"/>
      <c r="BE214"/>
      <c r="BF214"/>
      <c r="BG214"/>
      <c r="BH214"/>
      <c r="BI214" t="inlineStr">
        <is>
          <t>mg/kg bdwt</t>
        </is>
      </c>
      <c r="BJ214" t="inlineStr">
        <is>
          <t>Liver</t>
        </is>
      </c>
      <c r="BK214"/>
      <c r="BL214" t="n">
        <v>5.0</v>
      </c>
      <c r="BM214"/>
      <c r="BN214"/>
      <c r="BO214"/>
      <c r="BP214"/>
      <c r="BQ214" t="inlineStr">
        <is>
          <t>Day(s)</t>
        </is>
      </c>
      <c r="BR214" t="inlineStr">
        <is>
          <t>Diaz,O.E., C. Sorini, R.A. Morales, X. Luo, A. Frede, A.M. Krais, M.N. Chavez, E. Wincent, S.U. Das, and E.J. Villablan</t>
        </is>
      </c>
      <c r="BS214" t="n">
        <v>191177.0</v>
      </c>
      <c r="BT214" t="inlineStr">
        <is>
          <t>Perfluorooctanesulfonic Acid Modulates Barrier Function and Systemic T-Cell Homeostasis During Intestinal Inflammation</t>
        </is>
      </c>
      <c r="BU214" t="inlineStr">
        <is>
          <t>Dis. Model. Mech.14(12): 1-11</t>
        </is>
      </c>
      <c r="BV214" t="n">
        <v>2021.0</v>
      </c>
      <c r="BW214" t="inlineStr">
        <is>
          <t>Diaz,O.E., C. Sorini, R.A. Morales, X. Luo, A. Frede, A.M. Krais, M.N. Chavez, E. Wincent, S.U. Das, and E.J. Villablan (2021). Perfluorooctanesulfonic Acid Modulates Barrier Function and Systemic T-Cell Homeostasis During Intestinal Inflammation. Dis. Model. Mech., 14, (12), 1-11. doi:10.1242/dmm.049104. ECOREF#:191177</t>
        </is>
      </c>
    </row>
    <row r="215">
      <c r="A215" t="n">
        <v>1763231.0</v>
      </c>
      <c r="B215" t="inlineStr">
        <is>
          <t>1,1,2,2,3,3,4,4,5,5,6,6,7,7,8,8,8-Heptadecafluoro-1-octanesulfonic acid</t>
        </is>
      </c>
      <c r="C215"/>
      <c r="D215" t="inlineStr">
        <is>
          <t>Unmeasured</t>
        </is>
      </c>
      <c r="E215"/>
      <c r="F215"/>
      <c r="G215"/>
      <c r="H215"/>
      <c r="I215"/>
      <c r="J215"/>
      <c r="K215" t="inlineStr">
        <is>
          <t>Plantae</t>
        </is>
      </c>
      <c r="L215" t="inlineStr">
        <is>
          <t>Plant Kingdom</t>
        </is>
      </c>
      <c r="M215" t="inlineStr">
        <is>
          <t>Flowers, Trees, Shrubs, Ferns</t>
        </is>
      </c>
      <c r="N215" t="inlineStr">
        <is>
          <t>Seedling</t>
        </is>
      </c>
      <c r="O215"/>
      <c r="P215"/>
      <c r="Q215"/>
      <c r="R215"/>
      <c r="S215"/>
      <c r="T215"/>
      <c r="U215"/>
      <c r="V215" t="inlineStr">
        <is>
          <t>Culture medium</t>
        </is>
      </c>
      <c r="W215" t="inlineStr">
        <is>
          <t>Culture</t>
        </is>
      </c>
      <c r="X215" t="inlineStr">
        <is>
          <t>Lab</t>
        </is>
      </c>
      <c r="Y215" t="n">
        <v>5.0</v>
      </c>
      <c r="Z215" t="inlineStr">
        <is>
          <t>Formulation</t>
        </is>
      </c>
      <c r="AA215"/>
      <c r="AB215"/>
      <c r="AC215"/>
      <c r="AD215" t="n">
        <v>1.0</v>
      </c>
      <c r="AE215"/>
      <c r="AF215" t="n">
        <v>100.0</v>
      </c>
      <c r="AG215" t="inlineStr">
        <is>
          <t>mg/L</t>
        </is>
      </c>
      <c r="AH215"/>
      <c r="AI215"/>
      <c r="AJ215"/>
      <c r="AK215"/>
      <c r="AL215"/>
      <c r="AM215"/>
      <c r="AN215"/>
      <c r="AO215"/>
      <c r="AP215"/>
      <c r="AQ215"/>
      <c r="AR215"/>
      <c r="AS215"/>
      <c r="AT215"/>
      <c r="AU215"/>
      <c r="AV215"/>
      <c r="AW215"/>
      <c r="AX215" t="inlineStr">
        <is>
          <t>Accumulation</t>
        </is>
      </c>
      <c r="AY215" t="inlineStr">
        <is>
          <t>Residue</t>
        </is>
      </c>
      <c r="AZ215"/>
      <c r="BA215"/>
      <c r="BB215"/>
      <c r="BC215"/>
      <c r="BD215" t="n">
        <v>1.0</v>
      </c>
      <c r="BE215"/>
      <c r="BF215" t="n">
        <v>100.0</v>
      </c>
      <c r="BG215"/>
      <c r="BH215"/>
      <c r="BI215" t="inlineStr">
        <is>
          <t>mg/L</t>
        </is>
      </c>
      <c r="BJ215" t="inlineStr">
        <is>
          <t>Whole organism</t>
        </is>
      </c>
      <c r="BK215"/>
      <c r="BL215"/>
      <c r="BM215"/>
      <c r="BN215" t="n">
        <v>1.0</v>
      </c>
      <c r="BO215"/>
      <c r="BP215" t="n">
        <v>5.0</v>
      </c>
      <c r="BQ215" t="inlineStr">
        <is>
          <t>Day(s)</t>
        </is>
      </c>
      <c r="BR215" t="inlineStr">
        <is>
          <t>Zhou,Y., T. Wang, T. Jiang, X. Kong, Q. Li, Y. Sun, P. Wang, and Z. Liu</t>
        </is>
      </c>
      <c r="BS215" t="n">
        <v>184740.0</v>
      </c>
      <c r="BT215" t="inlineStr">
        <is>
          <t>Ecological Effect and Risk Towards Aquatic Plants Induced by Perfluoroalkyl Substances: Bridging Natural to Culturing Flora</t>
        </is>
      </c>
      <c r="BU215" t="inlineStr">
        <is>
          <t>Chemosphere167:98-106</t>
        </is>
      </c>
      <c r="BV215" t="n">
        <v>2017.0</v>
      </c>
      <c r="BW215" t="inlineStr">
        <is>
          <t>Zhou,Y., T. Wang, T. Jiang, X. Kong, Q. Li, Y. Sun, P. Wang, and Z. Liu (2017). Ecological Effect and Risk Towards Aquatic Plants Induced by Perfluoroalkyl Substances: Bridging Natural to Culturing Flora. Chemosphere, 167, 98-106. doi:10.1016/j.chemosphere.2016.09.146. ECOREF#:184740</t>
        </is>
      </c>
    </row>
    <row r="216">
      <c r="A216" t="n">
        <v>1763231.0</v>
      </c>
      <c r="B216" t="inlineStr">
        <is>
          <t>1,1,2,2,3,3,4,4,5,5,6,6,7,7,8,8,8-Heptadecafluoro-1-octanesulfonic acid</t>
        </is>
      </c>
      <c r="C216"/>
      <c r="D216" t="inlineStr">
        <is>
          <t>Measured</t>
        </is>
      </c>
      <c r="E216"/>
      <c r="F216"/>
      <c r="G216"/>
      <c r="H216"/>
      <c r="I216"/>
      <c r="J216"/>
      <c r="K216" t="inlineStr">
        <is>
          <t>Solanum lycopersicum</t>
        </is>
      </c>
      <c r="L216" t="inlineStr">
        <is>
          <t xml:space="preserve">Garden Tomato </t>
        </is>
      </c>
      <c r="M216" t="inlineStr">
        <is>
          <t>Flowers, Trees, Shrubs, Ferns; Standard Test Species</t>
        </is>
      </c>
      <c r="N216" t="inlineStr">
        <is>
          <t>Seed</t>
        </is>
      </c>
      <c r="O216"/>
      <c r="P216"/>
      <c r="Q216"/>
      <c r="R216"/>
      <c r="S216"/>
      <c r="T216"/>
      <c r="U216"/>
      <c r="V216" t="inlineStr">
        <is>
          <t>Environmental, unspecified</t>
        </is>
      </c>
      <c r="W216" t="inlineStr">
        <is>
          <t>Artificial soil</t>
        </is>
      </c>
      <c r="X216" t="inlineStr">
        <is>
          <t>Lab</t>
        </is>
      </c>
      <c r="Y216" t="n">
        <v>3.0</v>
      </c>
      <c r="Z216" t="inlineStr">
        <is>
          <t>Active ingredient</t>
        </is>
      </c>
      <c r="AA216"/>
      <c r="AB216" t="n">
        <v>232.0</v>
      </c>
      <c r="AC216"/>
      <c r="AD216"/>
      <c r="AE216"/>
      <c r="AF216"/>
      <c r="AG216" t="inlineStr">
        <is>
          <t>ng/g soil</t>
        </is>
      </c>
      <c r="AH216"/>
      <c r="AI216"/>
      <c r="AJ216"/>
      <c r="AK216"/>
      <c r="AL216"/>
      <c r="AM216"/>
      <c r="AN216"/>
      <c r="AO216"/>
      <c r="AP216"/>
      <c r="AQ216"/>
      <c r="AR216"/>
      <c r="AS216"/>
      <c r="AT216"/>
      <c r="AU216"/>
      <c r="AV216"/>
      <c r="AW216"/>
      <c r="AX216" t="inlineStr">
        <is>
          <t>Accumulation</t>
        </is>
      </c>
      <c r="AY216" t="inlineStr">
        <is>
          <t>Residue</t>
        </is>
      </c>
      <c r="AZ216" t="inlineStr">
        <is>
          <t>BAF</t>
        </is>
      </c>
      <c r="BA216"/>
      <c r="BB216" t="n">
        <v>1.7</v>
      </c>
      <c r="BC216"/>
      <c r="BD216"/>
      <c r="BE216"/>
      <c r="BF216"/>
      <c r="BG216"/>
      <c r="BH216"/>
      <c r="BI216" t="inlineStr">
        <is>
          <t>RA</t>
        </is>
      </c>
      <c r="BJ216" t="inlineStr">
        <is>
          <t>Root</t>
        </is>
      </c>
      <c r="BK216"/>
      <c r="BL216" t="n">
        <v>119.0</v>
      </c>
      <c r="BM216"/>
      <c r="BN216"/>
      <c r="BO216"/>
      <c r="BP216"/>
      <c r="BQ216" t="inlineStr">
        <is>
          <t>Day(s)</t>
        </is>
      </c>
      <c r="BR216" t="inlineStr">
        <is>
          <t>Lal,M.S., M. Megharaj, R. Naidu, and M.M. Bahar</t>
        </is>
      </c>
      <c r="BS216" t="n">
        <v>184552.0</v>
      </c>
      <c r="BT216" t="inlineStr">
        <is>
          <t>Uptake of Perfluorooctane Sulfonate (PFOS) by Common Home-Grown Vegetable Plants and Potential Risks to Human Health</t>
        </is>
      </c>
      <c r="BU216" t="inlineStr">
        <is>
          <t>Environ. Technol. Innov.19:7 p.</t>
        </is>
      </c>
      <c r="BV216" t="n">
        <v>2020.0</v>
      </c>
      <c r="BW216" t="inlineStr">
        <is>
          <t>Lal,M.S., M. Megharaj, R. Naidu, and M.M. Bahar (2020). Uptake of Perfluorooctane Sulfonate (PFOS) by Common Home-Grown Vegetable Plants and Potential Risks to Human Health. Environ. Technol. Innov., 19, 7 p. doi:10.1016/j.eti.2020.100863. ECOREF#:184552</t>
        </is>
      </c>
    </row>
    <row r="217">
      <c r="A217" t="n">
        <v>1763231.0</v>
      </c>
      <c r="B217" t="inlineStr">
        <is>
          <t>1,1,2,2,3,3,4,4,5,5,6,6,7,7,8,8,8-Heptadecafluoro-1-octanesulfonic acid</t>
        </is>
      </c>
      <c r="C217"/>
      <c r="D217" t="inlineStr">
        <is>
          <t>Measured</t>
        </is>
      </c>
      <c r="E217"/>
      <c r="F217"/>
      <c r="G217"/>
      <c r="H217"/>
      <c r="I217"/>
      <c r="J217"/>
      <c r="K217" t="inlineStr">
        <is>
          <t>Solanum lycopersicum</t>
        </is>
      </c>
      <c r="L217" t="inlineStr">
        <is>
          <t xml:space="preserve">Garden Tomato </t>
        </is>
      </c>
      <c r="M217" t="inlineStr">
        <is>
          <t>Flowers, Trees, Shrubs, Ferns; Standard Test Species</t>
        </is>
      </c>
      <c r="N217" t="inlineStr">
        <is>
          <t>Seed</t>
        </is>
      </c>
      <c r="O217"/>
      <c r="P217"/>
      <c r="Q217"/>
      <c r="R217"/>
      <c r="S217"/>
      <c r="T217"/>
      <c r="U217"/>
      <c r="V217" t="inlineStr">
        <is>
          <t>Environmental, unspecified</t>
        </is>
      </c>
      <c r="W217" t="inlineStr">
        <is>
          <t>Artificial soil</t>
        </is>
      </c>
      <c r="X217" t="inlineStr">
        <is>
          <t>Lab</t>
        </is>
      </c>
      <c r="Y217" t="n">
        <v>3.0</v>
      </c>
      <c r="Z217" t="inlineStr">
        <is>
          <t>Active ingredient</t>
        </is>
      </c>
      <c r="AA217"/>
      <c r="AB217" t="n">
        <v>3817.0</v>
      </c>
      <c r="AC217"/>
      <c r="AD217"/>
      <c r="AE217"/>
      <c r="AF217"/>
      <c r="AG217" t="inlineStr">
        <is>
          <t>ng/g soil</t>
        </is>
      </c>
      <c r="AH217"/>
      <c r="AI217"/>
      <c r="AJ217"/>
      <c r="AK217"/>
      <c r="AL217"/>
      <c r="AM217"/>
      <c r="AN217"/>
      <c r="AO217"/>
      <c r="AP217"/>
      <c r="AQ217"/>
      <c r="AR217"/>
      <c r="AS217"/>
      <c r="AT217"/>
      <c r="AU217"/>
      <c r="AV217"/>
      <c r="AW217"/>
      <c r="AX217" t="inlineStr">
        <is>
          <t>Accumulation</t>
        </is>
      </c>
      <c r="AY217" t="inlineStr">
        <is>
          <t>Residue</t>
        </is>
      </c>
      <c r="AZ217" t="inlineStr">
        <is>
          <t>BAF</t>
        </is>
      </c>
      <c r="BA217"/>
      <c r="BB217" t="n">
        <v>0.28</v>
      </c>
      <c r="BC217"/>
      <c r="BD217"/>
      <c r="BE217"/>
      <c r="BF217"/>
      <c r="BG217"/>
      <c r="BH217"/>
      <c r="BI217" t="inlineStr">
        <is>
          <t>RA</t>
        </is>
      </c>
      <c r="BJ217" t="inlineStr">
        <is>
          <t>Shoot</t>
        </is>
      </c>
      <c r="BK217"/>
      <c r="BL217" t="n">
        <v>119.0</v>
      </c>
      <c r="BM217"/>
      <c r="BN217"/>
      <c r="BO217"/>
      <c r="BP217"/>
      <c r="BQ217" t="inlineStr">
        <is>
          <t>Day(s)</t>
        </is>
      </c>
      <c r="BR217" t="inlineStr">
        <is>
          <t>Lal,M.S., M. Megharaj, R. Naidu, and M.M. Bahar</t>
        </is>
      </c>
      <c r="BS217" t="n">
        <v>184552.0</v>
      </c>
      <c r="BT217" t="inlineStr">
        <is>
          <t>Uptake of Perfluorooctane Sulfonate (PFOS) by Common Home-Grown Vegetable Plants and Potential Risks to Human Health</t>
        </is>
      </c>
      <c r="BU217" t="inlineStr">
        <is>
          <t>Environ. Technol. Innov.19:7 p.</t>
        </is>
      </c>
      <c r="BV217" t="n">
        <v>2020.0</v>
      </c>
      <c r="BW217" t="inlineStr">
        <is>
          <t>Lal,M.S., M. Megharaj, R. Naidu, and M.M. Bahar (2020). Uptake of Perfluorooctane Sulfonate (PFOS) by Common Home-Grown Vegetable Plants and Potential Risks to Human Health. Environ. Technol. Innov., 19, 7 p. doi:10.1016/j.eti.2020.100863. ECOREF#:184552</t>
        </is>
      </c>
    </row>
    <row r="218">
      <c r="A218" t="n">
        <v>1763231.0</v>
      </c>
      <c r="B218" t="inlineStr">
        <is>
          <t>1,1,2,2,3,3,4,4,5,5,6,6,7,7,8,8,8-Heptadecafluoro-1-octanesulfonic acid</t>
        </is>
      </c>
      <c r="C218"/>
      <c r="D218" t="inlineStr">
        <is>
          <t>Measured</t>
        </is>
      </c>
      <c r="E218"/>
      <c r="F218"/>
      <c r="G218"/>
      <c r="H218"/>
      <c r="I218"/>
      <c r="J218"/>
      <c r="K218" t="inlineStr">
        <is>
          <t>Solanum lycopersicum</t>
        </is>
      </c>
      <c r="L218" t="inlineStr">
        <is>
          <t xml:space="preserve">Garden Tomato </t>
        </is>
      </c>
      <c r="M218" t="inlineStr">
        <is>
          <t>Flowers, Trees, Shrubs, Ferns; Standard Test Species</t>
        </is>
      </c>
      <c r="N218" t="inlineStr">
        <is>
          <t>Seed</t>
        </is>
      </c>
      <c r="O218"/>
      <c r="P218"/>
      <c r="Q218"/>
      <c r="R218"/>
      <c r="S218"/>
      <c r="T218"/>
      <c r="U218"/>
      <c r="V218" t="inlineStr">
        <is>
          <t>Environmental, unspecified</t>
        </is>
      </c>
      <c r="W218" t="inlineStr">
        <is>
          <t>Artificial soil</t>
        </is>
      </c>
      <c r="X218" t="inlineStr">
        <is>
          <t>Lab</t>
        </is>
      </c>
      <c r="Y218" t="n">
        <v>3.0</v>
      </c>
      <c r="Z218" t="inlineStr">
        <is>
          <t>Active ingredient</t>
        </is>
      </c>
      <c r="AA218"/>
      <c r="AB218" t="n">
        <v>3817.0</v>
      </c>
      <c r="AC218"/>
      <c r="AD218"/>
      <c r="AE218"/>
      <c r="AF218"/>
      <c r="AG218" t="inlineStr">
        <is>
          <t>ng/g soil</t>
        </is>
      </c>
      <c r="AH218"/>
      <c r="AI218"/>
      <c r="AJ218"/>
      <c r="AK218"/>
      <c r="AL218"/>
      <c r="AM218"/>
      <c r="AN218"/>
      <c r="AO218"/>
      <c r="AP218"/>
      <c r="AQ218"/>
      <c r="AR218"/>
      <c r="AS218"/>
      <c r="AT218"/>
      <c r="AU218"/>
      <c r="AV218"/>
      <c r="AW218"/>
      <c r="AX218" t="inlineStr">
        <is>
          <t>Accumulation</t>
        </is>
      </c>
      <c r="AY218" t="inlineStr">
        <is>
          <t>Residue</t>
        </is>
      </c>
      <c r="AZ218" t="inlineStr">
        <is>
          <t>BAF</t>
        </is>
      </c>
      <c r="BA218"/>
      <c r="BB218" t="n">
        <v>0.52</v>
      </c>
      <c r="BC218"/>
      <c r="BD218"/>
      <c r="BE218"/>
      <c r="BF218"/>
      <c r="BG218"/>
      <c r="BH218"/>
      <c r="BI218" t="inlineStr">
        <is>
          <t>RA</t>
        </is>
      </c>
      <c r="BJ218" t="inlineStr">
        <is>
          <t>Root</t>
        </is>
      </c>
      <c r="BK218"/>
      <c r="BL218" t="n">
        <v>119.0</v>
      </c>
      <c r="BM218"/>
      <c r="BN218"/>
      <c r="BO218"/>
      <c r="BP218"/>
      <c r="BQ218" t="inlineStr">
        <is>
          <t>Day(s)</t>
        </is>
      </c>
      <c r="BR218" t="inlineStr">
        <is>
          <t>Lal,M.S., M. Megharaj, R. Naidu, and M.M. Bahar</t>
        </is>
      </c>
      <c r="BS218" t="n">
        <v>184552.0</v>
      </c>
      <c r="BT218" t="inlineStr">
        <is>
          <t>Uptake of Perfluorooctane Sulfonate (PFOS) by Common Home-Grown Vegetable Plants and Potential Risks to Human Health</t>
        </is>
      </c>
      <c r="BU218" t="inlineStr">
        <is>
          <t>Environ. Technol. Innov.19:7 p.</t>
        </is>
      </c>
      <c r="BV218" t="n">
        <v>2020.0</v>
      </c>
      <c r="BW218" t="inlineStr">
        <is>
          <t>Lal,M.S., M. Megharaj, R. Naidu, and M.M. Bahar (2020). Uptake of Perfluorooctane Sulfonate (PFOS) by Common Home-Grown Vegetable Plants and Potential Risks to Human Health. Environ. Technol. Innov., 19, 7 p. doi:10.1016/j.eti.2020.100863. ECOREF#:184552</t>
        </is>
      </c>
    </row>
    <row r="219">
      <c r="A219" t="n">
        <v>1763231.0</v>
      </c>
      <c r="B219" t="inlineStr">
        <is>
          <t>1,1,2,2,3,3,4,4,5,5,6,6,7,7,8,8,8-Heptadecafluoro-1-octanesulfonic acid</t>
        </is>
      </c>
      <c r="C219"/>
      <c r="D219" t="inlineStr">
        <is>
          <t>Measured</t>
        </is>
      </c>
      <c r="E219"/>
      <c r="F219"/>
      <c r="G219"/>
      <c r="H219"/>
      <c r="I219"/>
      <c r="J219"/>
      <c r="K219" t="inlineStr">
        <is>
          <t>Solanum lycopersicum</t>
        </is>
      </c>
      <c r="L219" t="inlineStr">
        <is>
          <t xml:space="preserve">Garden Tomato </t>
        </is>
      </c>
      <c r="M219" t="inlineStr">
        <is>
          <t>Flowers, Trees, Shrubs, Ferns; Standard Test Species</t>
        </is>
      </c>
      <c r="N219" t="inlineStr">
        <is>
          <t>Seed</t>
        </is>
      </c>
      <c r="O219"/>
      <c r="P219"/>
      <c r="Q219"/>
      <c r="R219"/>
      <c r="S219"/>
      <c r="T219"/>
      <c r="U219"/>
      <c r="V219" t="inlineStr">
        <is>
          <t>Environmental, unspecified</t>
        </is>
      </c>
      <c r="W219" t="inlineStr">
        <is>
          <t>Artificial soil</t>
        </is>
      </c>
      <c r="X219" t="inlineStr">
        <is>
          <t>Lab</t>
        </is>
      </c>
      <c r="Y219" t="n">
        <v>3.0</v>
      </c>
      <c r="Z219" t="inlineStr">
        <is>
          <t>Active ingredient</t>
        </is>
      </c>
      <c r="AA219"/>
      <c r="AB219" t="n">
        <v>41947.0</v>
      </c>
      <c r="AC219"/>
      <c r="AD219"/>
      <c r="AE219"/>
      <c r="AF219"/>
      <c r="AG219" t="inlineStr">
        <is>
          <t>ng/g soil</t>
        </is>
      </c>
      <c r="AH219"/>
      <c r="AI219"/>
      <c r="AJ219"/>
      <c r="AK219"/>
      <c r="AL219"/>
      <c r="AM219"/>
      <c r="AN219"/>
      <c r="AO219"/>
      <c r="AP219"/>
      <c r="AQ219"/>
      <c r="AR219"/>
      <c r="AS219"/>
      <c r="AT219"/>
      <c r="AU219"/>
      <c r="AV219"/>
      <c r="AW219"/>
      <c r="AX219" t="inlineStr">
        <is>
          <t>Accumulation</t>
        </is>
      </c>
      <c r="AY219" t="inlineStr">
        <is>
          <t>Residue</t>
        </is>
      </c>
      <c r="AZ219" t="inlineStr">
        <is>
          <t>BAF</t>
        </is>
      </c>
      <c r="BA219"/>
      <c r="BB219" t="n">
        <v>0.22</v>
      </c>
      <c r="BC219"/>
      <c r="BD219"/>
      <c r="BE219"/>
      <c r="BF219"/>
      <c r="BG219"/>
      <c r="BH219"/>
      <c r="BI219" t="inlineStr">
        <is>
          <t>RA</t>
        </is>
      </c>
      <c r="BJ219" t="inlineStr">
        <is>
          <t>Shoot</t>
        </is>
      </c>
      <c r="BK219"/>
      <c r="BL219" t="n">
        <v>119.0</v>
      </c>
      <c r="BM219"/>
      <c r="BN219"/>
      <c r="BO219"/>
      <c r="BP219"/>
      <c r="BQ219" t="inlineStr">
        <is>
          <t>Day(s)</t>
        </is>
      </c>
      <c r="BR219" t="inlineStr">
        <is>
          <t>Lal,M.S., M. Megharaj, R. Naidu, and M.M. Bahar</t>
        </is>
      </c>
      <c r="BS219" t="n">
        <v>184552.0</v>
      </c>
      <c r="BT219" t="inlineStr">
        <is>
          <t>Uptake of Perfluorooctane Sulfonate (PFOS) by Common Home-Grown Vegetable Plants and Potential Risks to Human Health</t>
        </is>
      </c>
      <c r="BU219" t="inlineStr">
        <is>
          <t>Environ. Technol. Innov.19:7 p.</t>
        </is>
      </c>
      <c r="BV219" t="n">
        <v>2020.0</v>
      </c>
      <c r="BW219" t="inlineStr">
        <is>
          <t>Lal,M.S., M. Megharaj, R. Naidu, and M.M. Bahar (2020). Uptake of Perfluorooctane Sulfonate (PFOS) by Common Home-Grown Vegetable Plants and Potential Risks to Human Health. Environ. Technol. Innov., 19, 7 p. doi:10.1016/j.eti.2020.100863. ECOREF#:184552</t>
        </is>
      </c>
    </row>
    <row r="220">
      <c r="A220" t="n">
        <v>1763231.0</v>
      </c>
      <c r="B220" t="inlineStr">
        <is>
          <t>1,1,2,2,3,3,4,4,5,5,6,6,7,7,8,8,8-Heptadecafluoro-1-octanesulfonic acid</t>
        </is>
      </c>
      <c r="C220"/>
      <c r="D220" t="inlineStr">
        <is>
          <t>Measured</t>
        </is>
      </c>
      <c r="E220"/>
      <c r="F220"/>
      <c r="G220"/>
      <c r="H220"/>
      <c r="I220"/>
      <c r="J220"/>
      <c r="K220" t="inlineStr">
        <is>
          <t>Solanum lycopersicum</t>
        </is>
      </c>
      <c r="L220" t="inlineStr">
        <is>
          <t xml:space="preserve">Garden Tomato </t>
        </is>
      </c>
      <c r="M220" t="inlineStr">
        <is>
          <t>Flowers, Trees, Shrubs, Ferns; Standard Test Species</t>
        </is>
      </c>
      <c r="N220" t="inlineStr">
        <is>
          <t>Seed</t>
        </is>
      </c>
      <c r="O220"/>
      <c r="P220"/>
      <c r="Q220"/>
      <c r="R220"/>
      <c r="S220"/>
      <c r="T220"/>
      <c r="U220"/>
      <c r="V220" t="inlineStr">
        <is>
          <t>Environmental, unspecified</t>
        </is>
      </c>
      <c r="W220" t="inlineStr">
        <is>
          <t>Artificial soil</t>
        </is>
      </c>
      <c r="X220" t="inlineStr">
        <is>
          <t>Lab</t>
        </is>
      </c>
      <c r="Y220" t="n">
        <v>3.0</v>
      </c>
      <c r="Z220" t="inlineStr">
        <is>
          <t>Active ingredient</t>
        </is>
      </c>
      <c r="AA220"/>
      <c r="AB220" t="n">
        <v>232.0</v>
      </c>
      <c r="AC220"/>
      <c r="AD220"/>
      <c r="AE220"/>
      <c r="AF220"/>
      <c r="AG220" t="inlineStr">
        <is>
          <t>ng/g soil</t>
        </is>
      </c>
      <c r="AH220"/>
      <c r="AI220"/>
      <c r="AJ220"/>
      <c r="AK220"/>
      <c r="AL220"/>
      <c r="AM220"/>
      <c r="AN220"/>
      <c r="AO220"/>
      <c r="AP220"/>
      <c r="AQ220"/>
      <c r="AR220"/>
      <c r="AS220"/>
      <c r="AT220"/>
      <c r="AU220"/>
      <c r="AV220"/>
      <c r="AW220"/>
      <c r="AX220" t="inlineStr">
        <is>
          <t>Accumulation</t>
        </is>
      </c>
      <c r="AY220" t="inlineStr">
        <is>
          <t>Residue</t>
        </is>
      </c>
      <c r="AZ220" t="inlineStr">
        <is>
          <t>BAF</t>
        </is>
      </c>
      <c r="BA220"/>
      <c r="BB220" t="n">
        <v>0.9</v>
      </c>
      <c r="BC220"/>
      <c r="BD220"/>
      <c r="BE220"/>
      <c r="BF220"/>
      <c r="BG220"/>
      <c r="BH220"/>
      <c r="BI220" t="inlineStr">
        <is>
          <t>RA</t>
        </is>
      </c>
      <c r="BJ220" t="inlineStr">
        <is>
          <t>Shoot</t>
        </is>
      </c>
      <c r="BK220"/>
      <c r="BL220" t="n">
        <v>119.0</v>
      </c>
      <c r="BM220"/>
      <c r="BN220"/>
      <c r="BO220"/>
      <c r="BP220"/>
      <c r="BQ220" t="inlineStr">
        <is>
          <t>Day(s)</t>
        </is>
      </c>
      <c r="BR220" t="inlineStr">
        <is>
          <t>Lal,M.S., M. Megharaj, R. Naidu, and M.M. Bahar</t>
        </is>
      </c>
      <c r="BS220" t="n">
        <v>184552.0</v>
      </c>
      <c r="BT220" t="inlineStr">
        <is>
          <t>Uptake of Perfluorooctane Sulfonate (PFOS) by Common Home-Grown Vegetable Plants and Potential Risks to Human Health</t>
        </is>
      </c>
      <c r="BU220" t="inlineStr">
        <is>
          <t>Environ. Technol. Innov.19:7 p.</t>
        </is>
      </c>
      <c r="BV220" t="n">
        <v>2020.0</v>
      </c>
      <c r="BW220" t="inlineStr">
        <is>
          <t>Lal,M.S., M. Megharaj, R. Naidu, and M.M. Bahar (2020). Uptake of Perfluorooctane Sulfonate (PFOS) by Common Home-Grown Vegetable Plants and Potential Risks to Human Health. Environ. Technol. Innov., 19, 7 p. doi:10.1016/j.eti.2020.100863. ECOREF#:184552</t>
        </is>
      </c>
    </row>
    <row r="221">
      <c r="A221" t="n">
        <v>1763231.0</v>
      </c>
      <c r="B221" t="inlineStr">
        <is>
          <t>1,1,2,2,3,3,4,4,5,5,6,6,7,7,8,8,8-Heptadecafluoro-1-octanesulfonic acid</t>
        </is>
      </c>
      <c r="C221"/>
      <c r="D221" t="inlineStr">
        <is>
          <t>Measured</t>
        </is>
      </c>
      <c r="E221"/>
      <c r="F221"/>
      <c r="G221"/>
      <c r="H221"/>
      <c r="I221"/>
      <c r="J221"/>
      <c r="K221" t="inlineStr">
        <is>
          <t>Solanum lycopersicum</t>
        </is>
      </c>
      <c r="L221" t="inlineStr">
        <is>
          <t xml:space="preserve">Garden Tomato </t>
        </is>
      </c>
      <c r="M221" t="inlineStr">
        <is>
          <t>Flowers, Trees, Shrubs, Ferns; Standard Test Species</t>
        </is>
      </c>
      <c r="N221" t="inlineStr">
        <is>
          <t>Seed</t>
        </is>
      </c>
      <c r="O221"/>
      <c r="P221"/>
      <c r="Q221"/>
      <c r="R221"/>
      <c r="S221"/>
      <c r="T221"/>
      <c r="U221"/>
      <c r="V221" t="inlineStr">
        <is>
          <t>Environmental, unspecified</t>
        </is>
      </c>
      <c r="W221" t="inlineStr">
        <is>
          <t>Artificial soil</t>
        </is>
      </c>
      <c r="X221" t="inlineStr">
        <is>
          <t>Lab</t>
        </is>
      </c>
      <c r="Y221" t="n">
        <v>3.0</v>
      </c>
      <c r="Z221" t="inlineStr">
        <is>
          <t>Active ingredient</t>
        </is>
      </c>
      <c r="AA221"/>
      <c r="AB221" t="n">
        <v>41947.0</v>
      </c>
      <c r="AC221"/>
      <c r="AD221"/>
      <c r="AE221"/>
      <c r="AF221"/>
      <c r="AG221" t="inlineStr">
        <is>
          <t>ng/g soil</t>
        </is>
      </c>
      <c r="AH221"/>
      <c r="AI221"/>
      <c r="AJ221"/>
      <c r="AK221"/>
      <c r="AL221"/>
      <c r="AM221"/>
      <c r="AN221"/>
      <c r="AO221"/>
      <c r="AP221"/>
      <c r="AQ221"/>
      <c r="AR221"/>
      <c r="AS221"/>
      <c r="AT221"/>
      <c r="AU221"/>
      <c r="AV221"/>
      <c r="AW221"/>
      <c r="AX221" t="inlineStr">
        <is>
          <t>Accumulation</t>
        </is>
      </c>
      <c r="AY221" t="inlineStr">
        <is>
          <t>Residue</t>
        </is>
      </c>
      <c r="AZ221" t="inlineStr">
        <is>
          <t>BAF</t>
        </is>
      </c>
      <c r="BA221"/>
      <c r="BB221" t="n">
        <v>0.22</v>
      </c>
      <c r="BC221"/>
      <c r="BD221"/>
      <c r="BE221"/>
      <c r="BF221"/>
      <c r="BG221"/>
      <c r="BH221"/>
      <c r="BI221" t="inlineStr">
        <is>
          <t>RA</t>
        </is>
      </c>
      <c r="BJ221" t="inlineStr">
        <is>
          <t>Root</t>
        </is>
      </c>
      <c r="BK221"/>
      <c r="BL221" t="n">
        <v>119.0</v>
      </c>
      <c r="BM221"/>
      <c r="BN221"/>
      <c r="BO221"/>
      <c r="BP221"/>
      <c r="BQ221" t="inlineStr">
        <is>
          <t>Day(s)</t>
        </is>
      </c>
      <c r="BR221" t="inlineStr">
        <is>
          <t>Lal,M.S., M. Megharaj, R. Naidu, and M.M. Bahar</t>
        </is>
      </c>
      <c r="BS221" t="n">
        <v>184552.0</v>
      </c>
      <c r="BT221" t="inlineStr">
        <is>
          <t>Uptake of Perfluorooctane Sulfonate (PFOS) by Common Home-Grown Vegetable Plants and Potential Risks to Human Health</t>
        </is>
      </c>
      <c r="BU221" t="inlineStr">
        <is>
          <t>Environ. Technol. Innov.19:7 p.</t>
        </is>
      </c>
      <c r="BV221" t="n">
        <v>2020.0</v>
      </c>
      <c r="BW221" t="inlineStr">
        <is>
          <t>Lal,M.S., M. Megharaj, R. Naidu, and M.M. Bahar (2020). Uptake of Perfluorooctane Sulfonate (PFOS) by Common Home-Grown Vegetable Plants and Potential Risks to Human Health. Environ. Technol. Innov., 19, 7 p. doi:10.1016/j.eti.2020.100863. ECOREF#:184552</t>
        </is>
      </c>
    </row>
    <row r="222">
      <c r="A222" t="n">
        <v>1763231.0</v>
      </c>
      <c r="B222" t="inlineStr">
        <is>
          <t>1,1,2,2,3,3,4,4,5,5,6,6,7,7,8,8,8-Heptadecafluoro-1-octanesulfonic acid</t>
        </is>
      </c>
      <c r="C222"/>
      <c r="D222" t="inlineStr">
        <is>
          <t>Unmeasured</t>
        </is>
      </c>
      <c r="E222" t="inlineStr">
        <is>
          <t>&gt;</t>
        </is>
      </c>
      <c r="F222" t="n">
        <v>97.0</v>
      </c>
      <c r="G222"/>
      <c r="H222"/>
      <c r="I222"/>
      <c r="J222"/>
      <c r="K222" t="inlineStr">
        <is>
          <t>Triticum aestivum</t>
        </is>
      </c>
      <c r="L222" t="inlineStr">
        <is>
          <t>Bread Wheat</t>
        </is>
      </c>
      <c r="M222" t="inlineStr">
        <is>
          <t>Flowers, Trees, Shrubs, Ferns</t>
        </is>
      </c>
      <c r="N222" t="inlineStr">
        <is>
          <t>Seedling</t>
        </is>
      </c>
      <c r="O222"/>
      <c r="P222" t="n">
        <v>14.0</v>
      </c>
      <c r="Q222"/>
      <c r="R222"/>
      <c r="S222"/>
      <c r="T222"/>
      <c r="U222" t="inlineStr">
        <is>
          <t>Day(s)</t>
        </is>
      </c>
      <c r="V222" t="inlineStr">
        <is>
          <t>Hydroponic</t>
        </is>
      </c>
      <c r="W222" t="inlineStr">
        <is>
          <t>Hydroponic</t>
        </is>
      </c>
      <c r="X222" t="inlineStr">
        <is>
          <t>Lab</t>
        </is>
      </c>
      <c r="Y222" t="n">
        <v>1.0</v>
      </c>
      <c r="Z222" t="inlineStr">
        <is>
          <t>Active ingredient</t>
        </is>
      </c>
      <c r="AA222"/>
      <c r="AB222" t="n">
        <v>0.1</v>
      </c>
      <c r="AC222"/>
      <c r="AD222"/>
      <c r="AE222"/>
      <c r="AF222"/>
      <c r="AG222" t="inlineStr">
        <is>
          <t>mg/L</t>
        </is>
      </c>
      <c r="AH222"/>
      <c r="AI222"/>
      <c r="AJ222"/>
      <c r="AK222"/>
      <c r="AL222"/>
      <c r="AM222"/>
      <c r="AN222"/>
      <c r="AO222"/>
      <c r="AP222"/>
      <c r="AQ222"/>
      <c r="AR222"/>
      <c r="AS222"/>
      <c r="AT222"/>
      <c r="AU222"/>
      <c r="AV222"/>
      <c r="AW222"/>
      <c r="AX222" t="inlineStr">
        <is>
          <t>Accumulation</t>
        </is>
      </c>
      <c r="AY222" t="inlineStr">
        <is>
          <t>Residue</t>
        </is>
      </c>
      <c r="AZ222"/>
      <c r="BA222"/>
      <c r="BB222" t="n">
        <v>0.1</v>
      </c>
      <c r="BC222"/>
      <c r="BD222"/>
      <c r="BE222"/>
      <c r="BF222"/>
      <c r="BG222"/>
      <c r="BH222"/>
      <c r="BI222" t="inlineStr">
        <is>
          <t>mg/L</t>
        </is>
      </c>
      <c r="BJ222" t="inlineStr">
        <is>
          <t>Multiple entries</t>
        </is>
      </c>
      <c r="BK222"/>
      <c r="BL222" t="n">
        <v>2.0</v>
      </c>
      <c r="BM222"/>
      <c r="BN222"/>
      <c r="BO222"/>
      <c r="BP222"/>
      <c r="BQ222" t="inlineStr">
        <is>
          <t>Day(s)</t>
        </is>
      </c>
      <c r="BR222" t="inlineStr">
        <is>
          <t>Zhang,L., Q. Wang, H. Chen, Y. Yao, and H. Sun</t>
        </is>
      </c>
      <c r="BS222" t="n">
        <v>187871.0</v>
      </c>
      <c r="BT222" t="inlineStr">
        <is>
          <t>Uptake and Translocation of Perfluoroalkyl Acids with Different Carbon Chain Lengths (C2-C8) in Wheat (Triticum aestivum L.) under the Effect of Copper Exposure</t>
        </is>
      </c>
      <c r="BU222" t="inlineStr">
        <is>
          <t>Environ. Pollut.274:18p.</t>
        </is>
      </c>
      <c r="BV222" t="n">
        <v>2021.0</v>
      </c>
      <c r="BW222"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23">
      <c r="A223" t="n">
        <v>1763231.0</v>
      </c>
      <c r="B223" t="inlineStr">
        <is>
          <t>1,1,2,2,3,3,4,4,5,5,6,6,7,7,8,8,8-Heptadecafluoro-1-octanesulfonic acid</t>
        </is>
      </c>
      <c r="C223"/>
      <c r="D223" t="inlineStr">
        <is>
          <t>Unmeasured</t>
        </is>
      </c>
      <c r="E223" t="inlineStr">
        <is>
          <t>&gt;</t>
        </is>
      </c>
      <c r="F223" t="n">
        <v>97.0</v>
      </c>
      <c r="G223"/>
      <c r="H223"/>
      <c r="I223"/>
      <c r="J223"/>
      <c r="K223" t="inlineStr">
        <is>
          <t>Triticum aestivum</t>
        </is>
      </c>
      <c r="L223" t="inlineStr">
        <is>
          <t>Bread Wheat</t>
        </is>
      </c>
      <c r="M223" t="inlineStr">
        <is>
          <t>Flowers, Trees, Shrubs, Ferns</t>
        </is>
      </c>
      <c r="N223" t="inlineStr">
        <is>
          <t>Seedling</t>
        </is>
      </c>
      <c r="O223"/>
      <c r="P223" t="n">
        <v>14.0</v>
      </c>
      <c r="Q223"/>
      <c r="R223"/>
      <c r="S223"/>
      <c r="T223"/>
      <c r="U223" t="inlineStr">
        <is>
          <t>Day(s)</t>
        </is>
      </c>
      <c r="V223" t="inlineStr">
        <is>
          <t>Hydroponic</t>
        </is>
      </c>
      <c r="W223" t="inlineStr">
        <is>
          <t>Hydroponic</t>
        </is>
      </c>
      <c r="X223" t="inlineStr">
        <is>
          <t>Lab</t>
        </is>
      </c>
      <c r="Y223" t="n">
        <v>1.0</v>
      </c>
      <c r="Z223" t="inlineStr">
        <is>
          <t>Active ingredient</t>
        </is>
      </c>
      <c r="AA223"/>
      <c r="AB223" t="n">
        <v>0.1</v>
      </c>
      <c r="AC223"/>
      <c r="AD223"/>
      <c r="AE223"/>
      <c r="AF223"/>
      <c r="AG223" t="inlineStr">
        <is>
          <t>mg/L</t>
        </is>
      </c>
      <c r="AH223"/>
      <c r="AI223"/>
      <c r="AJ223"/>
      <c r="AK223"/>
      <c r="AL223"/>
      <c r="AM223"/>
      <c r="AN223"/>
      <c r="AO223"/>
      <c r="AP223"/>
      <c r="AQ223"/>
      <c r="AR223"/>
      <c r="AS223"/>
      <c r="AT223"/>
      <c r="AU223"/>
      <c r="AV223"/>
      <c r="AW223"/>
      <c r="AX223" t="inlineStr">
        <is>
          <t>Accumulation</t>
        </is>
      </c>
      <c r="AY223" t="inlineStr">
        <is>
          <t>Residue</t>
        </is>
      </c>
      <c r="AZ223"/>
      <c r="BA223"/>
      <c r="BB223" t="n">
        <v>0.1</v>
      </c>
      <c r="BC223"/>
      <c r="BD223"/>
      <c r="BE223"/>
      <c r="BF223"/>
      <c r="BG223"/>
      <c r="BH223"/>
      <c r="BI223" t="inlineStr">
        <is>
          <t>mg/L</t>
        </is>
      </c>
      <c r="BJ223" t="inlineStr">
        <is>
          <t>Multiple entries</t>
        </is>
      </c>
      <c r="BK223"/>
      <c r="BL223" t="n">
        <v>2.0</v>
      </c>
      <c r="BM223"/>
      <c r="BN223"/>
      <c r="BO223"/>
      <c r="BP223"/>
      <c r="BQ223" t="inlineStr">
        <is>
          <t>Day(s)</t>
        </is>
      </c>
      <c r="BR223" t="inlineStr">
        <is>
          <t>Zhang,L., Q. Wang, H. Chen, Y. Yao, and H. Sun</t>
        </is>
      </c>
      <c r="BS223" t="n">
        <v>187871.0</v>
      </c>
      <c r="BT223" t="inlineStr">
        <is>
          <t>Uptake and Translocation of Perfluoroalkyl Acids with Different Carbon Chain Lengths (C2-C8) in Wheat (Triticum aestivum L.) under the Effect of Copper Exposure</t>
        </is>
      </c>
      <c r="BU223" t="inlineStr">
        <is>
          <t>Environ. Pollut.274:18p.</t>
        </is>
      </c>
      <c r="BV223" t="n">
        <v>2021.0</v>
      </c>
      <c r="BW223"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24">
      <c r="A224" t="n">
        <v>1763231.0</v>
      </c>
      <c r="B224" t="inlineStr">
        <is>
          <t>1,1,2,2,3,3,4,4,5,5,6,6,7,7,8,8,8-Heptadecafluoro-1-octanesulfonic acid</t>
        </is>
      </c>
      <c r="C224"/>
      <c r="D224" t="inlineStr">
        <is>
          <t>Unmeasured</t>
        </is>
      </c>
      <c r="E224" t="inlineStr">
        <is>
          <t>&gt;</t>
        </is>
      </c>
      <c r="F224" t="n">
        <v>97.0</v>
      </c>
      <c r="G224"/>
      <c r="H224"/>
      <c r="I224"/>
      <c r="J224"/>
      <c r="K224" t="inlineStr">
        <is>
          <t>Triticum aestivum</t>
        </is>
      </c>
      <c r="L224" t="inlineStr">
        <is>
          <t>Bread Wheat</t>
        </is>
      </c>
      <c r="M224" t="inlineStr">
        <is>
          <t>Flowers, Trees, Shrubs, Ferns</t>
        </is>
      </c>
      <c r="N224" t="inlineStr">
        <is>
          <t>Seedling</t>
        </is>
      </c>
      <c r="O224"/>
      <c r="P224" t="n">
        <v>14.0</v>
      </c>
      <c r="Q224"/>
      <c r="R224"/>
      <c r="S224"/>
      <c r="T224"/>
      <c r="U224" t="inlineStr">
        <is>
          <t>Day(s)</t>
        </is>
      </c>
      <c r="V224" t="inlineStr">
        <is>
          <t>Hydroponic</t>
        </is>
      </c>
      <c r="W224" t="inlineStr">
        <is>
          <t>Hydroponic</t>
        </is>
      </c>
      <c r="X224" t="inlineStr">
        <is>
          <t>Lab</t>
        </is>
      </c>
      <c r="Y224" t="n">
        <v>1.0</v>
      </c>
      <c r="Z224" t="inlineStr">
        <is>
          <t>Active ingredient</t>
        </is>
      </c>
      <c r="AA224"/>
      <c r="AB224" t="n">
        <v>0.1</v>
      </c>
      <c r="AC224"/>
      <c r="AD224"/>
      <c r="AE224"/>
      <c r="AF224"/>
      <c r="AG224" t="inlineStr">
        <is>
          <t>mg/L</t>
        </is>
      </c>
      <c r="AH224"/>
      <c r="AI224"/>
      <c r="AJ224"/>
      <c r="AK224"/>
      <c r="AL224"/>
      <c r="AM224"/>
      <c r="AN224"/>
      <c r="AO224"/>
      <c r="AP224"/>
      <c r="AQ224"/>
      <c r="AR224"/>
      <c r="AS224"/>
      <c r="AT224"/>
      <c r="AU224"/>
      <c r="AV224"/>
      <c r="AW224"/>
      <c r="AX224" t="inlineStr">
        <is>
          <t>Accumulation</t>
        </is>
      </c>
      <c r="AY224" t="inlineStr">
        <is>
          <t>Residue</t>
        </is>
      </c>
      <c r="AZ224"/>
      <c r="BA224"/>
      <c r="BB224" t="n">
        <v>0.1</v>
      </c>
      <c r="BC224"/>
      <c r="BD224"/>
      <c r="BE224"/>
      <c r="BF224"/>
      <c r="BG224"/>
      <c r="BH224"/>
      <c r="BI224" t="inlineStr">
        <is>
          <t>mg/L</t>
        </is>
      </c>
      <c r="BJ224" t="inlineStr">
        <is>
          <t>Multiple entries</t>
        </is>
      </c>
      <c r="BK224"/>
      <c r="BL224" t="n">
        <v>2.0</v>
      </c>
      <c r="BM224"/>
      <c r="BN224"/>
      <c r="BO224"/>
      <c r="BP224"/>
      <c r="BQ224" t="inlineStr">
        <is>
          <t>Day(s)</t>
        </is>
      </c>
      <c r="BR224" t="inlineStr">
        <is>
          <t>Zhang,L., Q. Wang, H. Chen, Y. Yao, and H. Sun</t>
        </is>
      </c>
      <c r="BS224" t="n">
        <v>187871.0</v>
      </c>
      <c r="BT224" t="inlineStr">
        <is>
          <t>Uptake and Translocation of Perfluoroalkyl Acids with Different Carbon Chain Lengths (C2-C8) in Wheat (Triticum aestivum L.) under the Effect of Copper Exposure</t>
        </is>
      </c>
      <c r="BU224" t="inlineStr">
        <is>
          <t>Environ. Pollut.274:18p.</t>
        </is>
      </c>
      <c r="BV224" t="n">
        <v>2021.0</v>
      </c>
      <c r="BW224"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25">
      <c r="A225" t="n">
        <v>1763231.0</v>
      </c>
      <c r="B225" t="inlineStr">
        <is>
          <t>1,1,2,2,3,3,4,4,5,5,6,6,7,7,8,8,8-Heptadecafluoro-1-octanesulfonic acid</t>
        </is>
      </c>
      <c r="C225"/>
      <c r="D225" t="inlineStr">
        <is>
          <t>Unmeasured</t>
        </is>
      </c>
      <c r="E225" t="inlineStr">
        <is>
          <t>&gt;</t>
        </is>
      </c>
      <c r="F225" t="n">
        <v>97.0</v>
      </c>
      <c r="G225"/>
      <c r="H225"/>
      <c r="I225"/>
      <c r="J225"/>
      <c r="K225" t="inlineStr">
        <is>
          <t>Triticum aestivum</t>
        </is>
      </c>
      <c r="L225" t="inlineStr">
        <is>
          <t>Bread Wheat</t>
        </is>
      </c>
      <c r="M225" t="inlineStr">
        <is>
          <t>Flowers, Trees, Shrubs, Ferns</t>
        </is>
      </c>
      <c r="N225" t="inlineStr">
        <is>
          <t>Seedling</t>
        </is>
      </c>
      <c r="O225"/>
      <c r="P225" t="n">
        <v>14.0</v>
      </c>
      <c r="Q225"/>
      <c r="R225"/>
      <c r="S225"/>
      <c r="T225"/>
      <c r="U225" t="inlineStr">
        <is>
          <t>Day(s)</t>
        </is>
      </c>
      <c r="V225" t="inlineStr">
        <is>
          <t>Hydroponic</t>
        </is>
      </c>
      <c r="W225" t="inlineStr">
        <is>
          <t>Hydroponic</t>
        </is>
      </c>
      <c r="X225" t="inlineStr">
        <is>
          <t>Lab</t>
        </is>
      </c>
      <c r="Y225" t="n">
        <v>1.0</v>
      </c>
      <c r="Z225" t="inlineStr">
        <is>
          <t>Active ingredient</t>
        </is>
      </c>
      <c r="AA225"/>
      <c r="AB225" t="n">
        <v>0.1</v>
      </c>
      <c r="AC225"/>
      <c r="AD225"/>
      <c r="AE225"/>
      <c r="AF225"/>
      <c r="AG225" t="inlineStr">
        <is>
          <t>mg/L</t>
        </is>
      </c>
      <c r="AH225"/>
      <c r="AI225"/>
      <c r="AJ225"/>
      <c r="AK225"/>
      <c r="AL225"/>
      <c r="AM225"/>
      <c r="AN225"/>
      <c r="AO225"/>
      <c r="AP225"/>
      <c r="AQ225"/>
      <c r="AR225"/>
      <c r="AS225"/>
      <c r="AT225"/>
      <c r="AU225"/>
      <c r="AV225"/>
      <c r="AW225"/>
      <c r="AX225" t="inlineStr">
        <is>
          <t>Accumulation</t>
        </is>
      </c>
      <c r="AY225" t="inlineStr">
        <is>
          <t>Residue</t>
        </is>
      </c>
      <c r="AZ225"/>
      <c r="BA225"/>
      <c r="BB225" t="n">
        <v>0.1</v>
      </c>
      <c r="BC225"/>
      <c r="BD225"/>
      <c r="BE225"/>
      <c r="BF225"/>
      <c r="BG225"/>
      <c r="BH225"/>
      <c r="BI225" t="inlineStr">
        <is>
          <t>mg/L</t>
        </is>
      </c>
      <c r="BJ225" t="inlineStr">
        <is>
          <t>Multiple entries</t>
        </is>
      </c>
      <c r="BK225"/>
      <c r="BL225" t="n">
        <v>2.0</v>
      </c>
      <c r="BM225"/>
      <c r="BN225"/>
      <c r="BO225"/>
      <c r="BP225"/>
      <c r="BQ225" t="inlineStr">
        <is>
          <t>Day(s)</t>
        </is>
      </c>
      <c r="BR225" t="inlineStr">
        <is>
          <t>Zhang,L., Q. Wang, H. Chen, Y. Yao, and H. Sun</t>
        </is>
      </c>
      <c r="BS225" t="n">
        <v>187871.0</v>
      </c>
      <c r="BT225" t="inlineStr">
        <is>
          <t>Uptake and Translocation of Perfluoroalkyl Acids with Different Carbon Chain Lengths (C2-C8) in Wheat (Triticum aestivum L.) under the Effect of Copper Exposure</t>
        </is>
      </c>
      <c r="BU225" t="inlineStr">
        <is>
          <t>Environ. Pollut.274:18p.</t>
        </is>
      </c>
      <c r="BV225" t="n">
        <v>2021.0</v>
      </c>
      <c r="BW225"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26">
      <c r="A226" t="n">
        <v>1763231.0</v>
      </c>
      <c r="B226" t="inlineStr">
        <is>
          <t>1,1,2,2,3,3,4,4,5,5,6,6,7,7,8,8,8-Heptadecafluoro-1-octanesulfonic acid</t>
        </is>
      </c>
      <c r="C226"/>
      <c r="D226" t="inlineStr">
        <is>
          <t>Unmeasured</t>
        </is>
      </c>
      <c r="E226" t="inlineStr">
        <is>
          <t>&gt;</t>
        </is>
      </c>
      <c r="F226" t="n">
        <v>97.0</v>
      </c>
      <c r="G226"/>
      <c r="H226"/>
      <c r="I226"/>
      <c r="J226"/>
      <c r="K226" t="inlineStr">
        <is>
          <t>Triticum aestivum</t>
        </is>
      </c>
      <c r="L226" t="inlineStr">
        <is>
          <t>Bread Wheat</t>
        </is>
      </c>
      <c r="M226" t="inlineStr">
        <is>
          <t>Flowers, Trees, Shrubs, Ferns</t>
        </is>
      </c>
      <c r="N226" t="inlineStr">
        <is>
          <t>Seedling</t>
        </is>
      </c>
      <c r="O226"/>
      <c r="P226" t="n">
        <v>14.0</v>
      </c>
      <c r="Q226"/>
      <c r="R226"/>
      <c r="S226"/>
      <c r="T226"/>
      <c r="U226" t="inlineStr">
        <is>
          <t>Day(s)</t>
        </is>
      </c>
      <c r="V226" t="inlineStr">
        <is>
          <t>Hydroponic</t>
        </is>
      </c>
      <c r="W226" t="inlineStr">
        <is>
          <t>Hydroponic</t>
        </is>
      </c>
      <c r="X226" t="inlineStr">
        <is>
          <t>Lab</t>
        </is>
      </c>
      <c r="Y226" t="n">
        <v>1.0</v>
      </c>
      <c r="Z226" t="inlineStr">
        <is>
          <t>Active ingredient</t>
        </is>
      </c>
      <c r="AA226"/>
      <c r="AB226" t="n">
        <v>0.1</v>
      </c>
      <c r="AC226"/>
      <c r="AD226"/>
      <c r="AE226"/>
      <c r="AF226"/>
      <c r="AG226" t="inlineStr">
        <is>
          <t>mg/L</t>
        </is>
      </c>
      <c r="AH226"/>
      <c r="AI226"/>
      <c r="AJ226"/>
      <c r="AK226"/>
      <c r="AL226"/>
      <c r="AM226"/>
      <c r="AN226"/>
      <c r="AO226"/>
      <c r="AP226"/>
      <c r="AQ226"/>
      <c r="AR226"/>
      <c r="AS226"/>
      <c r="AT226"/>
      <c r="AU226"/>
      <c r="AV226"/>
      <c r="AW226"/>
      <c r="AX226" t="inlineStr">
        <is>
          <t>Accumulation</t>
        </is>
      </c>
      <c r="AY226" t="inlineStr">
        <is>
          <t>Residue</t>
        </is>
      </c>
      <c r="AZ226"/>
      <c r="BA226"/>
      <c r="BB226" t="n">
        <v>0.1</v>
      </c>
      <c r="BC226"/>
      <c r="BD226"/>
      <c r="BE226"/>
      <c r="BF226"/>
      <c r="BG226"/>
      <c r="BH226"/>
      <c r="BI226" t="inlineStr">
        <is>
          <t>mg/L</t>
        </is>
      </c>
      <c r="BJ226" t="inlineStr">
        <is>
          <t>Multiple entries</t>
        </is>
      </c>
      <c r="BK226"/>
      <c r="BL226" t="n">
        <v>2.0</v>
      </c>
      <c r="BM226"/>
      <c r="BN226"/>
      <c r="BO226"/>
      <c r="BP226"/>
      <c r="BQ226" t="inlineStr">
        <is>
          <t>Day(s)</t>
        </is>
      </c>
      <c r="BR226" t="inlineStr">
        <is>
          <t>Zhang,L., Q. Wang, H. Chen, Y. Yao, and H. Sun</t>
        </is>
      </c>
      <c r="BS226" t="n">
        <v>187871.0</v>
      </c>
      <c r="BT226" t="inlineStr">
        <is>
          <t>Uptake and Translocation of Perfluoroalkyl Acids with Different Carbon Chain Lengths (C2-C8) in Wheat (Triticum aestivum L.) under the Effect of Copper Exposure</t>
        </is>
      </c>
      <c r="BU226" t="inlineStr">
        <is>
          <t>Environ. Pollut.274:18p.</t>
        </is>
      </c>
      <c r="BV226" t="n">
        <v>2021.0</v>
      </c>
      <c r="BW226"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27">
      <c r="A227" t="n">
        <v>1763231.0</v>
      </c>
      <c r="B227" t="inlineStr">
        <is>
          <t>1,1,2,2,3,3,4,4,5,5,6,6,7,7,8,8,8-Heptadecafluoro-1-octanesulfonic acid</t>
        </is>
      </c>
      <c r="C227"/>
      <c r="D227" t="inlineStr">
        <is>
          <t>Unmeasured</t>
        </is>
      </c>
      <c r="E227" t="inlineStr">
        <is>
          <t>&gt;</t>
        </is>
      </c>
      <c r="F227" t="n">
        <v>97.0</v>
      </c>
      <c r="G227"/>
      <c r="H227"/>
      <c r="I227"/>
      <c r="J227"/>
      <c r="K227" t="inlineStr">
        <is>
          <t>Triticum aestivum</t>
        </is>
      </c>
      <c r="L227" t="inlineStr">
        <is>
          <t>Bread Wheat</t>
        </is>
      </c>
      <c r="M227" t="inlineStr">
        <is>
          <t>Flowers, Trees, Shrubs, Ferns</t>
        </is>
      </c>
      <c r="N227" t="inlineStr">
        <is>
          <t>Seedling</t>
        </is>
      </c>
      <c r="O227"/>
      <c r="P227" t="n">
        <v>14.0</v>
      </c>
      <c r="Q227"/>
      <c r="R227"/>
      <c r="S227"/>
      <c r="T227"/>
      <c r="U227" t="inlineStr">
        <is>
          <t>Day(s)</t>
        </is>
      </c>
      <c r="V227" t="inlineStr">
        <is>
          <t>Hydroponic</t>
        </is>
      </c>
      <c r="W227" t="inlineStr">
        <is>
          <t>Hydroponic</t>
        </is>
      </c>
      <c r="X227" t="inlineStr">
        <is>
          <t>Lab</t>
        </is>
      </c>
      <c r="Y227" t="n">
        <v>1.0</v>
      </c>
      <c r="Z227" t="inlineStr">
        <is>
          <t>Active ingredient</t>
        </is>
      </c>
      <c r="AA227"/>
      <c r="AB227" t="n">
        <v>0.1</v>
      </c>
      <c r="AC227"/>
      <c r="AD227"/>
      <c r="AE227"/>
      <c r="AF227"/>
      <c r="AG227" t="inlineStr">
        <is>
          <t>mg/L</t>
        </is>
      </c>
      <c r="AH227"/>
      <c r="AI227"/>
      <c r="AJ227"/>
      <c r="AK227"/>
      <c r="AL227"/>
      <c r="AM227"/>
      <c r="AN227"/>
      <c r="AO227"/>
      <c r="AP227"/>
      <c r="AQ227"/>
      <c r="AR227"/>
      <c r="AS227"/>
      <c r="AT227"/>
      <c r="AU227"/>
      <c r="AV227"/>
      <c r="AW227"/>
      <c r="AX227" t="inlineStr">
        <is>
          <t>Accumulation</t>
        </is>
      </c>
      <c r="AY227" t="inlineStr">
        <is>
          <t>Residue</t>
        </is>
      </c>
      <c r="AZ227"/>
      <c r="BA227"/>
      <c r="BB227" t="n">
        <v>0.1</v>
      </c>
      <c r="BC227"/>
      <c r="BD227"/>
      <c r="BE227"/>
      <c r="BF227"/>
      <c r="BG227"/>
      <c r="BH227"/>
      <c r="BI227" t="inlineStr">
        <is>
          <t>mg/L</t>
        </is>
      </c>
      <c r="BJ227" t="inlineStr">
        <is>
          <t>Multiple entries</t>
        </is>
      </c>
      <c r="BK227"/>
      <c r="BL227" t="n">
        <v>2.0</v>
      </c>
      <c r="BM227"/>
      <c r="BN227"/>
      <c r="BO227"/>
      <c r="BP227"/>
      <c r="BQ227" t="inlineStr">
        <is>
          <t>Day(s)</t>
        </is>
      </c>
      <c r="BR227" t="inlineStr">
        <is>
          <t>Zhang,L., Q. Wang, H. Chen, Y. Yao, and H. Sun</t>
        </is>
      </c>
      <c r="BS227" t="n">
        <v>187871.0</v>
      </c>
      <c r="BT227" t="inlineStr">
        <is>
          <t>Uptake and Translocation of Perfluoroalkyl Acids with Different Carbon Chain Lengths (C2-C8) in Wheat (Triticum aestivum L.) under the Effect of Copper Exposure</t>
        </is>
      </c>
      <c r="BU227" t="inlineStr">
        <is>
          <t>Environ. Pollut.274:18p.</t>
        </is>
      </c>
      <c r="BV227" t="n">
        <v>2021.0</v>
      </c>
      <c r="BW227"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28">
      <c r="A228" t="n">
        <v>1763231.0</v>
      </c>
      <c r="B228" t="inlineStr">
        <is>
          <t>1,1,2,2,3,3,4,4,5,5,6,6,7,7,8,8,8-Heptadecafluoro-1-octanesulfonic acid</t>
        </is>
      </c>
      <c r="C228"/>
      <c r="D228" t="inlineStr">
        <is>
          <t>Unmeasured</t>
        </is>
      </c>
      <c r="E228" t="inlineStr">
        <is>
          <t>&gt;</t>
        </is>
      </c>
      <c r="F228" t="n">
        <v>97.0</v>
      </c>
      <c r="G228"/>
      <c r="H228"/>
      <c r="I228"/>
      <c r="J228"/>
      <c r="K228" t="inlineStr">
        <is>
          <t>Triticum aestivum</t>
        </is>
      </c>
      <c r="L228" t="inlineStr">
        <is>
          <t>Bread Wheat</t>
        </is>
      </c>
      <c r="M228" t="inlineStr">
        <is>
          <t>Flowers, Trees, Shrubs, Ferns</t>
        </is>
      </c>
      <c r="N228" t="inlineStr">
        <is>
          <t>Seedling</t>
        </is>
      </c>
      <c r="O228"/>
      <c r="P228" t="n">
        <v>14.0</v>
      </c>
      <c r="Q228"/>
      <c r="R228"/>
      <c r="S228"/>
      <c r="T228"/>
      <c r="U228" t="inlineStr">
        <is>
          <t>Day(s)</t>
        </is>
      </c>
      <c r="V228" t="inlineStr">
        <is>
          <t>Hydroponic</t>
        </is>
      </c>
      <c r="W228" t="inlineStr">
        <is>
          <t>Hydroponic</t>
        </is>
      </c>
      <c r="X228" t="inlineStr">
        <is>
          <t>Lab</t>
        </is>
      </c>
      <c r="Y228" t="n">
        <v>1.0</v>
      </c>
      <c r="Z228" t="inlineStr">
        <is>
          <t>Active ingredient</t>
        </is>
      </c>
      <c r="AA228"/>
      <c r="AB228" t="n">
        <v>0.1</v>
      </c>
      <c r="AC228"/>
      <c r="AD228"/>
      <c r="AE228"/>
      <c r="AF228"/>
      <c r="AG228" t="inlineStr">
        <is>
          <t>mg/L</t>
        </is>
      </c>
      <c r="AH228"/>
      <c r="AI228"/>
      <c r="AJ228"/>
      <c r="AK228"/>
      <c r="AL228"/>
      <c r="AM228"/>
      <c r="AN228"/>
      <c r="AO228"/>
      <c r="AP228"/>
      <c r="AQ228"/>
      <c r="AR228"/>
      <c r="AS228"/>
      <c r="AT228"/>
      <c r="AU228"/>
      <c r="AV228"/>
      <c r="AW228"/>
      <c r="AX228" t="inlineStr">
        <is>
          <t>Accumulation</t>
        </is>
      </c>
      <c r="AY228" t="inlineStr">
        <is>
          <t>Residue</t>
        </is>
      </c>
      <c r="AZ228"/>
      <c r="BA228"/>
      <c r="BB228" t="n">
        <v>0.1</v>
      </c>
      <c r="BC228"/>
      <c r="BD228"/>
      <c r="BE228"/>
      <c r="BF228"/>
      <c r="BG228"/>
      <c r="BH228"/>
      <c r="BI228" t="inlineStr">
        <is>
          <t>mg/L</t>
        </is>
      </c>
      <c r="BJ228" t="inlineStr">
        <is>
          <t>Multiple entries</t>
        </is>
      </c>
      <c r="BK228"/>
      <c r="BL228" t="n">
        <v>2.0</v>
      </c>
      <c r="BM228"/>
      <c r="BN228"/>
      <c r="BO228"/>
      <c r="BP228"/>
      <c r="BQ228" t="inlineStr">
        <is>
          <t>Day(s)</t>
        </is>
      </c>
      <c r="BR228" t="inlineStr">
        <is>
          <t>Zhang,L., Q. Wang, H. Chen, Y. Yao, and H. Sun</t>
        </is>
      </c>
      <c r="BS228" t="n">
        <v>187871.0</v>
      </c>
      <c r="BT228" t="inlineStr">
        <is>
          <t>Uptake and Translocation of Perfluoroalkyl Acids with Different Carbon Chain Lengths (C2-C8) in Wheat (Triticum aestivum L.) under the Effect of Copper Exposure</t>
        </is>
      </c>
      <c r="BU228" t="inlineStr">
        <is>
          <t>Environ. Pollut.274:18p.</t>
        </is>
      </c>
      <c r="BV228" t="n">
        <v>2021.0</v>
      </c>
      <c r="BW228"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29">
      <c r="A229" t="n">
        <v>1763231.0</v>
      </c>
      <c r="B229" t="inlineStr">
        <is>
          <t>1,1,2,2,3,3,4,4,5,5,6,6,7,7,8,8,8-Heptadecafluoro-1-octanesulfonic acid</t>
        </is>
      </c>
      <c r="C229"/>
      <c r="D229" t="inlineStr">
        <is>
          <t>Unmeasured</t>
        </is>
      </c>
      <c r="E229" t="inlineStr">
        <is>
          <t>&gt;</t>
        </is>
      </c>
      <c r="F229" t="n">
        <v>97.0</v>
      </c>
      <c r="G229"/>
      <c r="H229"/>
      <c r="I229"/>
      <c r="J229"/>
      <c r="K229" t="inlineStr">
        <is>
          <t>Triticum aestivum</t>
        </is>
      </c>
      <c r="L229" t="inlineStr">
        <is>
          <t>Bread Wheat</t>
        </is>
      </c>
      <c r="M229" t="inlineStr">
        <is>
          <t>Flowers, Trees, Shrubs, Ferns</t>
        </is>
      </c>
      <c r="N229" t="inlineStr">
        <is>
          <t>Seedling</t>
        </is>
      </c>
      <c r="O229"/>
      <c r="P229" t="n">
        <v>14.0</v>
      </c>
      <c r="Q229"/>
      <c r="R229"/>
      <c r="S229"/>
      <c r="T229"/>
      <c r="U229" t="inlineStr">
        <is>
          <t>Day(s)</t>
        </is>
      </c>
      <c r="V229" t="inlineStr">
        <is>
          <t>Hydroponic</t>
        </is>
      </c>
      <c r="W229" t="inlineStr">
        <is>
          <t>Hydroponic</t>
        </is>
      </c>
      <c r="X229" t="inlineStr">
        <is>
          <t>Lab</t>
        </is>
      </c>
      <c r="Y229" t="n">
        <v>1.0</v>
      </c>
      <c r="Z229" t="inlineStr">
        <is>
          <t>Active ingredient</t>
        </is>
      </c>
      <c r="AA229"/>
      <c r="AB229" t="n">
        <v>0.1</v>
      </c>
      <c r="AC229"/>
      <c r="AD229"/>
      <c r="AE229"/>
      <c r="AF229"/>
      <c r="AG229" t="inlineStr">
        <is>
          <t>mg/L</t>
        </is>
      </c>
      <c r="AH229"/>
      <c r="AI229"/>
      <c r="AJ229"/>
      <c r="AK229"/>
      <c r="AL229"/>
      <c r="AM229"/>
      <c r="AN229"/>
      <c r="AO229"/>
      <c r="AP229"/>
      <c r="AQ229"/>
      <c r="AR229"/>
      <c r="AS229"/>
      <c r="AT229"/>
      <c r="AU229"/>
      <c r="AV229"/>
      <c r="AW229"/>
      <c r="AX229" t="inlineStr">
        <is>
          <t>Accumulation</t>
        </is>
      </c>
      <c r="AY229" t="inlineStr">
        <is>
          <t>Residue</t>
        </is>
      </c>
      <c r="AZ229"/>
      <c r="BA229"/>
      <c r="BB229" t="n">
        <v>0.1</v>
      </c>
      <c r="BC229"/>
      <c r="BD229"/>
      <c r="BE229"/>
      <c r="BF229"/>
      <c r="BG229"/>
      <c r="BH229"/>
      <c r="BI229" t="inlineStr">
        <is>
          <t>mg/L</t>
        </is>
      </c>
      <c r="BJ229" t="inlineStr">
        <is>
          <t>Multiple entries</t>
        </is>
      </c>
      <c r="BK229"/>
      <c r="BL229" t="n">
        <v>2.0</v>
      </c>
      <c r="BM229"/>
      <c r="BN229"/>
      <c r="BO229"/>
      <c r="BP229"/>
      <c r="BQ229" t="inlineStr">
        <is>
          <t>Day(s)</t>
        </is>
      </c>
      <c r="BR229" t="inlineStr">
        <is>
          <t>Zhang,L., Q. Wang, H. Chen, Y. Yao, and H. Sun</t>
        </is>
      </c>
      <c r="BS229" t="n">
        <v>187871.0</v>
      </c>
      <c r="BT229" t="inlineStr">
        <is>
          <t>Uptake and Translocation of Perfluoroalkyl Acids with Different Carbon Chain Lengths (C2-C8) in Wheat (Triticum aestivum L.) under the Effect of Copper Exposure</t>
        </is>
      </c>
      <c r="BU229" t="inlineStr">
        <is>
          <t>Environ. Pollut.274:18p.</t>
        </is>
      </c>
      <c r="BV229" t="n">
        <v>2021.0</v>
      </c>
      <c r="BW229"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230">
      <c r="A230" t="n">
        <v>1763231.0</v>
      </c>
      <c r="B230" t="inlineStr">
        <is>
          <t>1,1,2,2,3,3,4,4,5,5,6,6,7,7,8,8,8-Heptadecafluoro-1-octanesulfonic acid</t>
        </is>
      </c>
      <c r="C230"/>
      <c r="D230" t="inlineStr">
        <is>
          <t>Chemical analysis reported</t>
        </is>
      </c>
      <c r="E230" t="inlineStr">
        <is>
          <t>&gt;=</t>
        </is>
      </c>
      <c r="F230" t="n">
        <v>98.0</v>
      </c>
      <c r="G230"/>
      <c r="H230"/>
      <c r="I230"/>
      <c r="J230"/>
      <c r="K230" t="inlineStr">
        <is>
          <t>Vigna radiata</t>
        </is>
      </c>
      <c r="L230" t="inlineStr">
        <is>
          <t>Mungbean</t>
        </is>
      </c>
      <c r="M230" t="inlineStr">
        <is>
          <t>Flowers, Trees, Shrubs, Ferns</t>
        </is>
      </c>
      <c r="N230" t="inlineStr">
        <is>
          <t>Seedling</t>
        </is>
      </c>
      <c r="O230"/>
      <c r="P230" t="n">
        <v>10.0</v>
      </c>
      <c r="Q230"/>
      <c r="R230"/>
      <c r="S230"/>
      <c r="T230"/>
      <c r="U230" t="inlineStr">
        <is>
          <t>Day(s)</t>
        </is>
      </c>
      <c r="V230" t="inlineStr">
        <is>
          <t>Culture medium</t>
        </is>
      </c>
      <c r="W230" t="inlineStr">
        <is>
          <t>Culture</t>
        </is>
      </c>
      <c r="X230" t="inlineStr">
        <is>
          <t>Lab</t>
        </is>
      </c>
      <c r="Y230" t="n">
        <v>6.0</v>
      </c>
      <c r="Z230" t="inlineStr">
        <is>
          <t>Active ingredient</t>
        </is>
      </c>
      <c r="AA230"/>
      <c r="AB230" t="n">
        <v>50.0</v>
      </c>
      <c r="AC230"/>
      <c r="AD230"/>
      <c r="AE230"/>
      <c r="AF230"/>
      <c r="AG230" t="inlineStr">
        <is>
          <t>mg/L</t>
        </is>
      </c>
      <c r="AH230"/>
      <c r="AI230"/>
      <c r="AJ230"/>
      <c r="AK230"/>
      <c r="AL230"/>
      <c r="AM230"/>
      <c r="AN230"/>
      <c r="AO230"/>
      <c r="AP230"/>
      <c r="AQ230"/>
      <c r="AR230"/>
      <c r="AS230"/>
      <c r="AT230"/>
      <c r="AU230"/>
      <c r="AV230"/>
      <c r="AW230"/>
      <c r="AX230" t="inlineStr">
        <is>
          <t>Accumulation</t>
        </is>
      </c>
      <c r="AY230" t="inlineStr">
        <is>
          <t>Residue</t>
        </is>
      </c>
      <c r="AZ230" t="inlineStr">
        <is>
          <t>BCFD</t>
        </is>
      </c>
      <c r="BA230"/>
      <c r="BB230" t="n">
        <v>50.0</v>
      </c>
      <c r="BC230"/>
      <c r="BD230"/>
      <c r="BE230"/>
      <c r="BF230"/>
      <c r="BG230"/>
      <c r="BH230"/>
      <c r="BI230" t="inlineStr">
        <is>
          <t>mg/L</t>
        </is>
      </c>
      <c r="BJ230" t="inlineStr">
        <is>
          <t>Root</t>
        </is>
      </c>
      <c r="BK230"/>
      <c r="BL230" t="n">
        <v>5.0</v>
      </c>
      <c r="BM230"/>
      <c r="BN230"/>
      <c r="BO230"/>
      <c r="BP230"/>
      <c r="BQ230" t="inlineStr">
        <is>
          <t>Day(s)</t>
        </is>
      </c>
      <c r="BR230" t="inlineStr">
        <is>
          <t>Pan,Y., B. Wen, H. Zhang, and S. Zhang</t>
        </is>
      </c>
      <c r="BS230" t="n">
        <v>187864.0</v>
      </c>
      <c r="BT230" t="inlineStr">
        <is>
          <t>Comparison of 6:2 Chlorinated Polyfluorinated Ether Sulfonate (6:2 Cl-PFESA) and Perfluorooctane Sulfonate (PFOS) Accumulation and Toxicity in Mung Bean</t>
        </is>
      </c>
      <c r="BU230" t="inlineStr">
        <is>
          <t>Environ. Pollut.287:10p.</t>
        </is>
      </c>
      <c r="BV230" t="n">
        <v>2021.0</v>
      </c>
      <c r="BW230" t="inlineStr">
        <is>
          <t>Pan,Y., B. Wen, H. Zhang, and S. Zhang (2021). Comparison of 6:2 Chlorinated Polyfluorinated Ether Sulfonate (6:2 Cl-PFESA) and Perfluorooctane Sulfonate (PFOS) Accumulation and Toxicity in Mung Bean. Environ. Pollut., 287, 10p. doi:10.1016/j.envpol.2021.117332. ECOREF#:187864</t>
        </is>
      </c>
    </row>
    <row r="231">
      <c r="A231" t="n">
        <v>1763231.0</v>
      </c>
      <c r="B231" t="inlineStr">
        <is>
          <t>1,1,2,2,3,3,4,4,5,5,6,6,7,7,8,8,8-Heptadecafluoro-1-octanesulfonic acid</t>
        </is>
      </c>
      <c r="C231"/>
      <c r="D231" t="inlineStr">
        <is>
          <t>Chemical analysis reported</t>
        </is>
      </c>
      <c r="E231" t="inlineStr">
        <is>
          <t>&gt;=</t>
        </is>
      </c>
      <c r="F231" t="n">
        <v>98.0</v>
      </c>
      <c r="G231"/>
      <c r="H231"/>
      <c r="I231"/>
      <c r="J231"/>
      <c r="K231" t="inlineStr">
        <is>
          <t>Vigna radiata</t>
        </is>
      </c>
      <c r="L231" t="inlineStr">
        <is>
          <t>Mungbean</t>
        </is>
      </c>
      <c r="M231" t="inlineStr">
        <is>
          <t>Flowers, Trees, Shrubs, Ferns</t>
        </is>
      </c>
      <c r="N231" t="inlineStr">
        <is>
          <t>Seedling</t>
        </is>
      </c>
      <c r="O231"/>
      <c r="P231" t="n">
        <v>10.0</v>
      </c>
      <c r="Q231"/>
      <c r="R231"/>
      <c r="S231"/>
      <c r="T231"/>
      <c r="U231" t="inlineStr">
        <is>
          <t>Day(s)</t>
        </is>
      </c>
      <c r="V231" t="inlineStr">
        <is>
          <t>Culture medium</t>
        </is>
      </c>
      <c r="W231" t="inlineStr">
        <is>
          <t>Culture</t>
        </is>
      </c>
      <c r="X231" t="inlineStr">
        <is>
          <t>Lab</t>
        </is>
      </c>
      <c r="Y231" t="n">
        <v>2.0</v>
      </c>
      <c r="Z231" t="inlineStr">
        <is>
          <t>Active ingredient</t>
        </is>
      </c>
      <c r="AA231"/>
      <c r="AB231" t="n">
        <v>1.0</v>
      </c>
      <c r="AC231"/>
      <c r="AD231"/>
      <c r="AE231"/>
      <c r="AF231"/>
      <c r="AG231" t="inlineStr">
        <is>
          <t>mg/L</t>
        </is>
      </c>
      <c r="AH231"/>
      <c r="AI231"/>
      <c r="AJ231"/>
      <c r="AK231"/>
      <c r="AL231"/>
      <c r="AM231"/>
      <c r="AN231"/>
      <c r="AO231"/>
      <c r="AP231"/>
      <c r="AQ231"/>
      <c r="AR231"/>
      <c r="AS231"/>
      <c r="AT231"/>
      <c r="AU231"/>
      <c r="AV231"/>
      <c r="AW231"/>
      <c r="AX231" t="inlineStr">
        <is>
          <t>Accumulation</t>
        </is>
      </c>
      <c r="AY231" t="inlineStr">
        <is>
          <t>Residue</t>
        </is>
      </c>
      <c r="AZ231"/>
      <c r="BA231"/>
      <c r="BB231" t="n">
        <v>1.0</v>
      </c>
      <c r="BC231"/>
      <c r="BD231"/>
      <c r="BE231"/>
      <c r="BF231"/>
      <c r="BG231"/>
      <c r="BH231"/>
      <c r="BI231" t="inlineStr">
        <is>
          <t>mg/L</t>
        </is>
      </c>
      <c r="BJ231" t="inlineStr">
        <is>
          <t>Multiple entries</t>
        </is>
      </c>
      <c r="BK231"/>
      <c r="BL231"/>
      <c r="BM231"/>
      <c r="BN231" t="n">
        <v>0.0833</v>
      </c>
      <c r="BO231"/>
      <c r="BP231" t="n">
        <v>2.0833</v>
      </c>
      <c r="BQ231" t="inlineStr">
        <is>
          <t>Day(s)</t>
        </is>
      </c>
      <c r="BR231" t="inlineStr">
        <is>
          <t>Pan,Y., B. Wen, H. Zhang, and S. Zhang</t>
        </is>
      </c>
      <c r="BS231" t="n">
        <v>187864.0</v>
      </c>
      <c r="BT231" t="inlineStr">
        <is>
          <t>Comparison of 6:2 Chlorinated Polyfluorinated Ether Sulfonate (6:2 Cl-PFESA) and Perfluorooctane Sulfonate (PFOS) Accumulation and Toxicity in Mung Bean</t>
        </is>
      </c>
      <c r="BU231" t="inlineStr">
        <is>
          <t>Environ. Pollut.287:10p.</t>
        </is>
      </c>
      <c r="BV231" t="n">
        <v>2021.0</v>
      </c>
      <c r="BW231" t="inlineStr">
        <is>
          <t>Pan,Y., B. Wen, H. Zhang, and S. Zhang (2021). Comparison of 6:2 Chlorinated Polyfluorinated Ether Sulfonate (6:2 Cl-PFESA) and Perfluorooctane Sulfonate (PFOS) Accumulation and Toxicity in Mung Bean. Environ. Pollut., 287, 10p. doi:10.1016/j.envpol.2021.117332. ECOREF#:187864</t>
        </is>
      </c>
    </row>
    <row r="232">
      <c r="A232" t="n">
        <v>1763231.0</v>
      </c>
      <c r="B232" t="inlineStr">
        <is>
          <t>1,1,2,2,3,3,4,4,5,5,6,6,7,7,8,8,8-Heptadecafluoro-1-octanesulfonic acid</t>
        </is>
      </c>
      <c r="C232"/>
      <c r="D232" t="inlineStr">
        <is>
          <t>Chemical analysis reported</t>
        </is>
      </c>
      <c r="E232" t="inlineStr">
        <is>
          <t>&gt;=</t>
        </is>
      </c>
      <c r="F232" t="n">
        <v>98.0</v>
      </c>
      <c r="G232"/>
      <c r="H232"/>
      <c r="I232"/>
      <c r="J232"/>
      <c r="K232" t="inlineStr">
        <is>
          <t>Vigna radiata</t>
        </is>
      </c>
      <c r="L232" t="inlineStr">
        <is>
          <t>Mungbean</t>
        </is>
      </c>
      <c r="M232" t="inlineStr">
        <is>
          <t>Flowers, Trees, Shrubs, Ferns</t>
        </is>
      </c>
      <c r="N232" t="inlineStr">
        <is>
          <t>Seedling</t>
        </is>
      </c>
      <c r="O232"/>
      <c r="P232" t="n">
        <v>10.0</v>
      </c>
      <c r="Q232"/>
      <c r="R232"/>
      <c r="S232"/>
      <c r="T232"/>
      <c r="U232" t="inlineStr">
        <is>
          <t>Day(s)</t>
        </is>
      </c>
      <c r="V232" t="inlineStr">
        <is>
          <t>Culture medium</t>
        </is>
      </c>
      <c r="W232" t="inlineStr">
        <is>
          <t>Culture</t>
        </is>
      </c>
      <c r="X232" t="inlineStr">
        <is>
          <t>Lab</t>
        </is>
      </c>
      <c r="Y232" t="n">
        <v>6.0</v>
      </c>
      <c r="Z232" t="inlineStr">
        <is>
          <t>Active ingredient</t>
        </is>
      </c>
      <c r="AA232"/>
      <c r="AB232"/>
      <c r="AC232"/>
      <c r="AD232" t="n">
        <v>0.01</v>
      </c>
      <c r="AE232"/>
      <c r="AF232" t="n">
        <v>1.0</v>
      </c>
      <c r="AG232" t="inlineStr">
        <is>
          <t>mg/L</t>
        </is>
      </c>
      <c r="AH232"/>
      <c r="AI232"/>
      <c r="AJ232"/>
      <c r="AK232"/>
      <c r="AL232"/>
      <c r="AM232"/>
      <c r="AN232"/>
      <c r="AO232"/>
      <c r="AP232"/>
      <c r="AQ232"/>
      <c r="AR232"/>
      <c r="AS232"/>
      <c r="AT232"/>
      <c r="AU232"/>
      <c r="AV232"/>
      <c r="AW232"/>
      <c r="AX232" t="inlineStr">
        <is>
          <t>Accumulation</t>
        </is>
      </c>
      <c r="AY232" t="inlineStr">
        <is>
          <t>Residue</t>
        </is>
      </c>
      <c r="AZ232"/>
      <c r="BA232"/>
      <c r="BB232"/>
      <c r="BC232"/>
      <c r="BD232" t="n">
        <v>0.01</v>
      </c>
      <c r="BE232"/>
      <c r="BF232" t="n">
        <v>1.0</v>
      </c>
      <c r="BG232"/>
      <c r="BH232"/>
      <c r="BI232" t="inlineStr">
        <is>
          <t>mg/L</t>
        </is>
      </c>
      <c r="BJ232" t="inlineStr">
        <is>
          <t>Root</t>
        </is>
      </c>
      <c r="BK232"/>
      <c r="BL232" t="n">
        <v>0.0417</v>
      </c>
      <c r="BM232"/>
      <c r="BN232"/>
      <c r="BO232"/>
      <c r="BP232"/>
      <c r="BQ232" t="inlineStr">
        <is>
          <t>Day(s)</t>
        </is>
      </c>
      <c r="BR232" t="inlineStr">
        <is>
          <t>Pan,Y., B. Wen, H. Zhang, and S. Zhang</t>
        </is>
      </c>
      <c r="BS232" t="n">
        <v>187864.0</v>
      </c>
      <c r="BT232" t="inlineStr">
        <is>
          <t>Comparison of 6:2 Chlorinated Polyfluorinated Ether Sulfonate (6:2 Cl-PFESA) and Perfluorooctane Sulfonate (PFOS) Accumulation and Toxicity in Mung Bean</t>
        </is>
      </c>
      <c r="BU232" t="inlineStr">
        <is>
          <t>Environ. Pollut.287:10p.</t>
        </is>
      </c>
      <c r="BV232" t="n">
        <v>2021.0</v>
      </c>
      <c r="BW232" t="inlineStr">
        <is>
          <t>Pan,Y., B. Wen, H. Zhang, and S. Zhang (2021). Comparison of 6:2 Chlorinated Polyfluorinated Ether Sulfonate (6:2 Cl-PFESA) and Perfluorooctane Sulfonate (PFOS) Accumulation and Toxicity in Mung Bean. Environ. Pollut., 287, 10p. doi:10.1016/j.envpol.2021.117332. ECOREF#:187864</t>
        </is>
      </c>
    </row>
    <row r="233">
      <c r="A233" t="n">
        <v>1763231.0</v>
      </c>
      <c r="B233" t="inlineStr">
        <is>
          <t>1,1,2,2,3,3,4,4,5,5,6,6,7,7,8,8,8-Heptadecafluoro-1-octanesulfonic acid</t>
        </is>
      </c>
      <c r="C233"/>
      <c r="D233" t="inlineStr">
        <is>
          <t>Measured</t>
        </is>
      </c>
      <c r="E233"/>
      <c r="F233"/>
      <c r="G233"/>
      <c r="H233"/>
      <c r="I233"/>
      <c r="J233"/>
      <c r="K233" t="inlineStr">
        <is>
          <t>Zea mays</t>
        </is>
      </c>
      <c r="L233" t="inlineStr">
        <is>
          <t>Corn</t>
        </is>
      </c>
      <c r="M233" t="inlineStr">
        <is>
          <t>Flowers, Trees, Shrubs, Ferns; Standard Test Species</t>
        </is>
      </c>
      <c r="N233"/>
      <c r="O233"/>
      <c r="P233"/>
      <c r="Q233"/>
      <c r="R233"/>
      <c r="S233"/>
      <c r="T233"/>
      <c r="U233"/>
      <c r="V233" t="inlineStr">
        <is>
          <t>Direct application</t>
        </is>
      </c>
      <c r="W233" t="inlineStr">
        <is>
          <t>Unknown soil</t>
        </is>
      </c>
      <c r="X233" t="inlineStr">
        <is>
          <t>Lab</t>
        </is>
      </c>
      <c r="Y233" t="n">
        <v>3.0</v>
      </c>
      <c r="Z233" t="inlineStr">
        <is>
          <t>Active ingredient</t>
        </is>
      </c>
      <c r="AA233"/>
      <c r="AB233"/>
      <c r="AC233"/>
      <c r="AD233" t="n">
        <v>19.1</v>
      </c>
      <c r="AE233"/>
      <c r="AF233" t="n">
        <v>38.5</v>
      </c>
      <c r="AG233" t="inlineStr">
        <is>
          <t>ug/g dry wt</t>
        </is>
      </c>
      <c r="AH233"/>
      <c r="AI233"/>
      <c r="AJ233"/>
      <c r="AK233"/>
      <c r="AL233"/>
      <c r="AM233"/>
      <c r="AN233"/>
      <c r="AO233"/>
      <c r="AP233"/>
      <c r="AQ233"/>
      <c r="AR233"/>
      <c r="AS233"/>
      <c r="AT233"/>
      <c r="AU233"/>
      <c r="AV233"/>
      <c r="AW233"/>
      <c r="AX233" t="inlineStr">
        <is>
          <t>Accumulation</t>
        </is>
      </c>
      <c r="AY233" t="inlineStr">
        <is>
          <t>Residue</t>
        </is>
      </c>
      <c r="AZ233"/>
      <c r="BA233"/>
      <c r="BB233"/>
      <c r="BC233"/>
      <c r="BD233" t="n">
        <v>19.1</v>
      </c>
      <c r="BE233"/>
      <c r="BF233" t="n">
        <v>38.5</v>
      </c>
      <c r="BG233"/>
      <c r="BH233"/>
      <c r="BI233" t="inlineStr">
        <is>
          <t>ug/g dry wt</t>
        </is>
      </c>
      <c r="BJ233" t="inlineStr">
        <is>
          <t>Multiple entries</t>
        </is>
      </c>
      <c r="BK233"/>
      <c r="BL233" t="n">
        <v>28.0</v>
      </c>
      <c r="BM233"/>
      <c r="BN233"/>
      <c r="BO233"/>
      <c r="BP233"/>
      <c r="BQ233" t="inlineStr">
        <is>
          <t>Day(s)</t>
        </is>
      </c>
      <c r="BR233" t="inlineStr">
        <is>
          <t>Navarro,I., A. De La Torre, P. Sanz, M.A. Porcel, J. Pro, G. Carbonell, and M.A. Martinez</t>
        </is>
      </c>
      <c r="BS233" t="n">
        <v>177188.0</v>
      </c>
      <c r="BT233" t="inlineStr">
        <is>
          <t>Uptake of Perfluoroalkyl Substances and Halogenated Flame Retardants by Crop Plants Grown in Biosolids-Amended Soils</t>
        </is>
      </c>
      <c r="BU233" t="inlineStr">
        <is>
          <t>Environ. Res.152:199-206</t>
        </is>
      </c>
      <c r="BV233" t="n">
        <v>2017.0</v>
      </c>
      <c r="BW233" t="inlineStr">
        <is>
          <t>Navarro,I., A. De La Torre, P. Sanz, M.A. Porcel, J. Pro, G. Carbonell, and M.A. Martinez (2017). Uptake of Perfluoroalkyl Substances and Halogenated Flame Retardants by Crop Plants Grown in Biosolids-Amended Soils. Environ. Res., 152, 199-206. doi:10.1016/j.envres.2016.10.018. ECOREF#:177188</t>
        </is>
      </c>
    </row>
    <row r="234">
      <c r="A234" t="n">
        <v>2795393.0</v>
      </c>
      <c r="B234" t="inlineStr">
        <is>
          <t>1,1,2,2,3,3,4,4,5,5,6,6,7,7,8,8,8-Heptadecafluoro-1-octanesulfonic acid potassium salt</t>
        </is>
      </c>
      <c r="C234"/>
      <c r="D234" t="inlineStr">
        <is>
          <t>Chemical analysis reported</t>
        </is>
      </c>
      <c r="E234"/>
      <c r="F234" t="n">
        <v>86.9</v>
      </c>
      <c r="G234"/>
      <c r="H234"/>
      <c r="I234"/>
      <c r="J234"/>
      <c r="K234" t="inlineStr">
        <is>
          <t>Allium cepa</t>
        </is>
      </c>
      <c r="L234" t="inlineStr">
        <is>
          <t>Common Onion</t>
        </is>
      </c>
      <c r="M234" t="inlineStr">
        <is>
          <t>Flowers, Trees, Shrubs, Ferns; Standard Test Species</t>
        </is>
      </c>
      <c r="N234" t="inlineStr">
        <is>
          <t>Seed</t>
        </is>
      </c>
      <c r="O234"/>
      <c r="P234"/>
      <c r="Q234"/>
      <c r="R234"/>
      <c r="S234"/>
      <c r="T234"/>
      <c r="U234"/>
      <c r="V234" t="inlineStr">
        <is>
          <t>Direct application</t>
        </is>
      </c>
      <c r="W234" t="inlineStr">
        <is>
          <t>Artificial soil</t>
        </is>
      </c>
      <c r="X234" t="inlineStr">
        <is>
          <t>Lab</t>
        </is>
      </c>
      <c r="Y234" t="n">
        <v>6.0</v>
      </c>
      <c r="Z234" t="inlineStr">
        <is>
          <t>Active ingredient</t>
        </is>
      </c>
      <c r="AA234"/>
      <c r="AB234"/>
      <c r="AC234"/>
      <c r="AD234" t="n">
        <v>3.91</v>
      </c>
      <c r="AE234"/>
      <c r="AF234" t="n">
        <v>1000.0</v>
      </c>
      <c r="AG234" t="inlineStr">
        <is>
          <t>AI mg/kg dry soil</t>
        </is>
      </c>
      <c r="AH234"/>
      <c r="AI234"/>
      <c r="AJ234"/>
      <c r="AK234"/>
      <c r="AL234"/>
      <c r="AM234"/>
      <c r="AN234"/>
      <c r="AO234"/>
      <c r="AP234"/>
      <c r="AQ234"/>
      <c r="AR234"/>
      <c r="AS234"/>
      <c r="AT234"/>
      <c r="AU234"/>
      <c r="AV234"/>
      <c r="AW234"/>
      <c r="AX234" t="inlineStr">
        <is>
          <t>Accumulation</t>
        </is>
      </c>
      <c r="AY234" t="inlineStr">
        <is>
          <t>Residue</t>
        </is>
      </c>
      <c r="AZ234"/>
      <c r="BA234"/>
      <c r="BB234"/>
      <c r="BC234"/>
      <c r="BD234" t="n">
        <v>3.91</v>
      </c>
      <c r="BE234"/>
      <c r="BF234" t="n">
        <v>1000.0</v>
      </c>
      <c r="BG234"/>
      <c r="BH234"/>
      <c r="BI234" t="inlineStr">
        <is>
          <t>AI mg/kg dry soil</t>
        </is>
      </c>
      <c r="BJ234" t="inlineStr">
        <is>
          <t>Multiple entries</t>
        </is>
      </c>
      <c r="BK234"/>
      <c r="BL234" t="n">
        <v>67.0</v>
      </c>
      <c r="BM234"/>
      <c r="BN234"/>
      <c r="BO234"/>
      <c r="BP234"/>
      <c r="BQ234" t="inlineStr">
        <is>
          <t>Day(s)</t>
        </is>
      </c>
      <c r="BR234" t="inlineStr">
        <is>
          <t>Brignole,A.J., J.R. Porch, H.O. Krueger, and R.L. Van Hoven</t>
        </is>
      </c>
      <c r="BS234" t="n">
        <v>175361.0</v>
      </c>
      <c r="BT234" t="inlineStr">
        <is>
          <t>PFOS: A Toxicity Test to Determine the Effects of the Test Substance on Seedling Emergence of Seven Species of Plants</t>
        </is>
      </c>
      <c r="BU234" t="inlineStr">
        <is>
          <t>EPA Docket AR226-1369, Wildlife International Ltd., Easton, MD:136 p.</t>
        </is>
      </c>
      <c r="BV234" t="n">
        <v>2003.0</v>
      </c>
      <c r="BW234" t="inlineStr">
        <is>
          <t>Brignole,A.J., J.R. Porch, H.O. Krueger, and R.L. Van Hoven (2003). PFOS: A Toxicity Test to Determine the Effects of the Test Substance on Seedling Emergence of Seven Species of Plants. EPA Docket AR226-1369, Wildlife International Ltd., Easton, MD, 136 p. ECOREF#:175361</t>
        </is>
      </c>
    </row>
    <row r="235">
      <c r="A235" t="n">
        <v>2795393.0</v>
      </c>
      <c r="B235" t="inlineStr">
        <is>
          <t>1,1,2,2,3,3,4,4,5,5,6,6,7,7,8,8,8-Heptadecafluoro-1-octanesulfonic acid potassium salt</t>
        </is>
      </c>
      <c r="C235"/>
      <c r="D235" t="inlineStr">
        <is>
          <t>Measured</t>
        </is>
      </c>
      <c r="E235"/>
      <c r="F235" t="n">
        <v>86.9</v>
      </c>
      <c r="G235"/>
      <c r="H235"/>
      <c r="I235"/>
      <c r="J235"/>
      <c r="K235" t="inlineStr">
        <is>
          <t>Anas platyrhynchos</t>
        </is>
      </c>
      <c r="L235" t="inlineStr">
        <is>
          <t>Mallard Duck</t>
        </is>
      </c>
      <c r="M235" t="inlineStr">
        <is>
          <t>Birds; Standard Test Species</t>
        </is>
      </c>
      <c r="N235" t="inlineStr">
        <is>
          <t>Adult</t>
        </is>
      </c>
      <c r="O235"/>
      <c r="P235" t="n">
        <v>24.0</v>
      </c>
      <c r="Q235"/>
      <c r="R235"/>
      <c r="S235"/>
      <c r="T235"/>
      <c r="U235" t="inlineStr">
        <is>
          <t>Week(s)</t>
        </is>
      </c>
      <c r="V235" t="inlineStr">
        <is>
          <t>Diet, unspecified</t>
        </is>
      </c>
      <c r="W235" t="inlineStr">
        <is>
          <t>No substrate</t>
        </is>
      </c>
      <c r="X235" t="inlineStr">
        <is>
          <t>Lab</t>
        </is>
      </c>
      <c r="Y235" t="n">
        <v>5.0</v>
      </c>
      <c r="Z235" t="inlineStr">
        <is>
          <t>Active ingredient</t>
        </is>
      </c>
      <c r="AA235"/>
      <c r="AB235" t="n">
        <v>10.2</v>
      </c>
      <c r="AC235"/>
      <c r="AD235"/>
      <c r="AE235"/>
      <c r="AF235"/>
      <c r="AG235" t="inlineStr">
        <is>
          <t>mg/kg diet</t>
        </is>
      </c>
      <c r="AH235"/>
      <c r="AI235"/>
      <c r="AJ235"/>
      <c r="AK235"/>
      <c r="AL235"/>
      <c r="AM235"/>
      <c r="AN235"/>
      <c r="AO235"/>
      <c r="AP235"/>
      <c r="AQ235"/>
      <c r="AR235"/>
      <c r="AS235"/>
      <c r="AT235"/>
      <c r="AU235"/>
      <c r="AV235"/>
      <c r="AW235"/>
      <c r="AX235" t="inlineStr">
        <is>
          <t>Accumulation</t>
        </is>
      </c>
      <c r="AY235" t="inlineStr">
        <is>
          <t>Residue</t>
        </is>
      </c>
      <c r="AZ235"/>
      <c r="BA235"/>
      <c r="BB235" t="n">
        <v>10.2</v>
      </c>
      <c r="BC235"/>
      <c r="BD235"/>
      <c r="BE235"/>
      <c r="BF235"/>
      <c r="BG235"/>
      <c r="BH235"/>
      <c r="BI235" t="inlineStr">
        <is>
          <t>mg/kg diet</t>
        </is>
      </c>
      <c r="BJ235" t="inlineStr">
        <is>
          <t>Yolk</t>
        </is>
      </c>
      <c r="BK235"/>
      <c r="BL235" t="n">
        <v>147.0</v>
      </c>
      <c r="BM235"/>
      <c r="BN235"/>
      <c r="BO235"/>
      <c r="BP235"/>
      <c r="BQ235" t="inlineStr">
        <is>
          <t>Day(s)</t>
        </is>
      </c>
      <c r="BR235" t="inlineStr">
        <is>
          <t>Newsted,J.L., K.K. Coady, S.A. Beach, J.L. Butenhoff, S. Gallagher, and J.P. Giesy</t>
        </is>
      </c>
      <c r="BS235" t="n">
        <v>175224.0</v>
      </c>
      <c r="BT235" t="inlineStr">
        <is>
          <t>Effects of Perfluorooctane Sulfonate on Mallard and Northern Bobwhite Quail Exposed Chronically via the Diet</t>
        </is>
      </c>
      <c r="BU235" t="inlineStr">
        <is>
          <t>Environ. Toxicol. Pharmacol.23(1): 1-9</t>
        </is>
      </c>
      <c r="BV235" t="n">
        <v>2007.0</v>
      </c>
      <c r="BW235"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36">
      <c r="A236" t="n">
        <v>2795393.0</v>
      </c>
      <c r="B236" t="inlineStr">
        <is>
          <t>1,1,2,2,3,3,4,4,5,5,6,6,7,7,8,8,8-Heptadecafluoro-1-octanesulfonic acid potassium salt</t>
        </is>
      </c>
      <c r="C236"/>
      <c r="D236" t="inlineStr">
        <is>
          <t>Unmeasured</t>
        </is>
      </c>
      <c r="E236"/>
      <c r="F236" t="n">
        <v>86.9</v>
      </c>
      <c r="G236"/>
      <c r="H236"/>
      <c r="I236"/>
      <c r="J236"/>
      <c r="K236" t="inlineStr">
        <is>
          <t>Anas platyrhynchos</t>
        </is>
      </c>
      <c r="L236" t="inlineStr">
        <is>
          <t>Mallard Duck</t>
        </is>
      </c>
      <c r="M236" t="inlineStr">
        <is>
          <t>Birds; Standard Test Species</t>
        </is>
      </c>
      <c r="N236" t="inlineStr">
        <is>
          <t>Juvenile</t>
        </is>
      </c>
      <c r="O236"/>
      <c r="P236" t="n">
        <v>10.0</v>
      </c>
      <c r="Q236"/>
      <c r="R236"/>
      <c r="S236"/>
      <c r="T236"/>
      <c r="U236" t="inlineStr">
        <is>
          <t>Day(s)</t>
        </is>
      </c>
      <c r="V236" t="inlineStr">
        <is>
          <t>Food</t>
        </is>
      </c>
      <c r="W236" t="inlineStr">
        <is>
          <t>No substrate</t>
        </is>
      </c>
      <c r="X236" t="inlineStr">
        <is>
          <t>Lab</t>
        </is>
      </c>
      <c r="Y236" t="n">
        <v>8.0</v>
      </c>
      <c r="Z236" t="inlineStr">
        <is>
          <t>Active ingredient</t>
        </is>
      </c>
      <c r="AA236"/>
      <c r="AB236"/>
      <c r="AC236"/>
      <c r="AD236" t="n">
        <v>2.71</v>
      </c>
      <c r="AE236"/>
      <c r="AF236" t="n">
        <v>229.0</v>
      </c>
      <c r="AG236" t="inlineStr">
        <is>
          <t>mg/kg bdwt/d</t>
        </is>
      </c>
      <c r="AH236"/>
      <c r="AI236"/>
      <c r="AJ236"/>
      <c r="AK236"/>
      <c r="AL236"/>
      <c r="AM236"/>
      <c r="AN236"/>
      <c r="AO236"/>
      <c r="AP236"/>
      <c r="AQ236"/>
      <c r="AR236"/>
      <c r="AS236"/>
      <c r="AT236"/>
      <c r="AU236"/>
      <c r="AV236"/>
      <c r="AW236"/>
      <c r="AX236" t="inlineStr">
        <is>
          <t>Accumulation</t>
        </is>
      </c>
      <c r="AY236" t="inlineStr">
        <is>
          <t>Residue</t>
        </is>
      </c>
      <c r="AZ236"/>
      <c r="BA236"/>
      <c r="BB236"/>
      <c r="BC236"/>
      <c r="BD236" t="n">
        <v>2.71</v>
      </c>
      <c r="BE236"/>
      <c r="BF236" t="n">
        <v>229.0</v>
      </c>
      <c r="BG236"/>
      <c r="BH236"/>
      <c r="BI236" t="inlineStr">
        <is>
          <t>mg/kg bdwt/d</t>
        </is>
      </c>
      <c r="BJ236" t="inlineStr">
        <is>
          <t>Multiple entries</t>
        </is>
      </c>
      <c r="BK236"/>
      <c r="BL236" t="n">
        <v>8.0</v>
      </c>
      <c r="BM236"/>
      <c r="BN236"/>
      <c r="BO236"/>
      <c r="BP236"/>
      <c r="BQ236" t="inlineStr">
        <is>
          <t>Day(s)</t>
        </is>
      </c>
      <c r="BR236" t="inlineStr">
        <is>
          <t>Newsted,J.L., S.A. Beach, S.P. Gallagher, and J.P. Giesy</t>
        </is>
      </c>
      <c r="BS236" t="n">
        <v>110983.0</v>
      </c>
      <c r="BT236" t="inlineStr">
        <is>
          <t>Pharmacokinetics and Acute Lethality of Perfluorooctanesulfonate (PFOS) to Juvenile Mallard and Northern Bobwhite</t>
        </is>
      </c>
      <c r="BU236" t="inlineStr">
        <is>
          <t>Arch. Environ. Contam. Toxicol.50(3): 411-420</t>
        </is>
      </c>
      <c r="BV236" t="n">
        <v>2006.0</v>
      </c>
      <c r="BW236" t="inlineStr">
        <is>
          <t>Newsted,J.L., S.A. Beach, S.P. Gallagher, and J.P. Giesy (2006). Pharmacokinetics and Acute Lethality of Perfluorooctanesulfonate (PFOS) to Juvenile Mallard and Northern Bobwhite. Arch. Environ. Contam. Toxicol., 50, (3), 411-420. doi:10.1007/s00244-005-1137-x. ECOREF#:110983</t>
        </is>
      </c>
    </row>
    <row r="237">
      <c r="A237" t="n">
        <v>2795393.0</v>
      </c>
      <c r="B237" t="inlineStr">
        <is>
          <t>1,1,2,2,3,3,4,4,5,5,6,6,7,7,8,8,8-Heptadecafluoro-1-octanesulfonic acid potassium salt</t>
        </is>
      </c>
      <c r="C237"/>
      <c r="D237" t="inlineStr">
        <is>
          <t>Unmeasured</t>
        </is>
      </c>
      <c r="E237"/>
      <c r="F237" t="n">
        <v>86.9</v>
      </c>
      <c r="G237"/>
      <c r="H237"/>
      <c r="I237"/>
      <c r="J237"/>
      <c r="K237" t="inlineStr">
        <is>
          <t>Anas platyrhynchos</t>
        </is>
      </c>
      <c r="L237" t="inlineStr">
        <is>
          <t>Mallard Duck</t>
        </is>
      </c>
      <c r="M237" t="inlineStr">
        <is>
          <t>Birds; Standard Test Species</t>
        </is>
      </c>
      <c r="N237" t="inlineStr">
        <is>
          <t>Juvenile</t>
        </is>
      </c>
      <c r="O237"/>
      <c r="P237" t="n">
        <v>10.0</v>
      </c>
      <c r="Q237"/>
      <c r="R237"/>
      <c r="S237"/>
      <c r="T237"/>
      <c r="U237" t="inlineStr">
        <is>
          <t>Day(s)</t>
        </is>
      </c>
      <c r="V237" t="inlineStr">
        <is>
          <t>Food</t>
        </is>
      </c>
      <c r="W237" t="inlineStr">
        <is>
          <t>No substrate</t>
        </is>
      </c>
      <c r="X237" t="inlineStr">
        <is>
          <t>Lab</t>
        </is>
      </c>
      <c r="Y237" t="n">
        <v>8.0</v>
      </c>
      <c r="Z237" t="inlineStr">
        <is>
          <t>Active ingredient</t>
        </is>
      </c>
      <c r="AA237"/>
      <c r="AB237"/>
      <c r="AC237"/>
      <c r="AD237" t="n">
        <v>2.71</v>
      </c>
      <c r="AE237"/>
      <c r="AF237" t="n">
        <v>229.0</v>
      </c>
      <c r="AG237" t="inlineStr">
        <is>
          <t>mg/kg bdwt/d</t>
        </is>
      </c>
      <c r="AH237"/>
      <c r="AI237"/>
      <c r="AJ237"/>
      <c r="AK237"/>
      <c r="AL237"/>
      <c r="AM237"/>
      <c r="AN237"/>
      <c r="AO237"/>
      <c r="AP237"/>
      <c r="AQ237"/>
      <c r="AR237"/>
      <c r="AS237"/>
      <c r="AT237"/>
      <c r="AU237"/>
      <c r="AV237"/>
      <c r="AW237"/>
      <c r="AX237" t="inlineStr">
        <is>
          <t>Accumulation</t>
        </is>
      </c>
      <c r="AY237" t="inlineStr">
        <is>
          <t>Residue</t>
        </is>
      </c>
      <c r="AZ237"/>
      <c r="BA237"/>
      <c r="BB237"/>
      <c r="BC237"/>
      <c r="BD237" t="n">
        <v>2.71</v>
      </c>
      <c r="BE237"/>
      <c r="BF237" t="n">
        <v>229.0</v>
      </c>
      <c r="BG237"/>
      <c r="BH237"/>
      <c r="BI237" t="inlineStr">
        <is>
          <t>mg/kg bdwt/d</t>
        </is>
      </c>
      <c r="BJ237" t="inlineStr">
        <is>
          <t>Multiple entries</t>
        </is>
      </c>
      <c r="BK237"/>
      <c r="BL237" t="n">
        <v>22.0</v>
      </c>
      <c r="BM237"/>
      <c r="BN237"/>
      <c r="BO237"/>
      <c r="BP237"/>
      <c r="BQ237" t="inlineStr">
        <is>
          <t>Day(s)</t>
        </is>
      </c>
      <c r="BR237" t="inlineStr">
        <is>
          <t>Newsted,J.L., S.A. Beach, S.P. Gallagher, and J.P. Giesy</t>
        </is>
      </c>
      <c r="BS237" t="n">
        <v>110983.0</v>
      </c>
      <c r="BT237" t="inlineStr">
        <is>
          <t>Pharmacokinetics and Acute Lethality of Perfluorooctanesulfonate (PFOS) to Juvenile Mallard and Northern Bobwhite</t>
        </is>
      </c>
      <c r="BU237" t="inlineStr">
        <is>
          <t>Arch. Environ. Contam. Toxicol.50(3): 411-420</t>
        </is>
      </c>
      <c r="BV237" t="n">
        <v>2006.0</v>
      </c>
      <c r="BW237" t="inlineStr">
        <is>
          <t>Newsted,J.L., S.A. Beach, S.P. Gallagher, and J.P. Giesy (2006). Pharmacokinetics and Acute Lethality of Perfluorooctanesulfonate (PFOS) to Juvenile Mallard and Northern Bobwhite. Arch. Environ. Contam. Toxicol., 50, (3), 411-420. doi:10.1007/s00244-005-1137-x. ECOREF#:110983</t>
        </is>
      </c>
    </row>
    <row r="238">
      <c r="A238" t="n">
        <v>2795393.0</v>
      </c>
      <c r="B238" t="inlineStr">
        <is>
          <t>1,1,2,2,3,3,4,4,5,5,6,6,7,7,8,8,8-Heptadecafluoro-1-octanesulfonic acid potassium salt</t>
        </is>
      </c>
      <c r="C238"/>
      <c r="D238" t="inlineStr">
        <is>
          <t>Measured</t>
        </is>
      </c>
      <c r="E238"/>
      <c r="F238" t="n">
        <v>86.9</v>
      </c>
      <c r="G238"/>
      <c r="H238"/>
      <c r="I238"/>
      <c r="J238"/>
      <c r="K238" t="inlineStr">
        <is>
          <t>Anas platyrhynchos</t>
        </is>
      </c>
      <c r="L238" t="inlineStr">
        <is>
          <t>Mallard Duck</t>
        </is>
      </c>
      <c r="M238" t="inlineStr">
        <is>
          <t>Birds; Standard Test Species</t>
        </is>
      </c>
      <c r="N238" t="inlineStr">
        <is>
          <t>Adult</t>
        </is>
      </c>
      <c r="O238"/>
      <c r="P238" t="n">
        <v>24.0</v>
      </c>
      <c r="Q238"/>
      <c r="R238"/>
      <c r="S238"/>
      <c r="T238"/>
      <c r="U238" t="inlineStr">
        <is>
          <t>Week(s)</t>
        </is>
      </c>
      <c r="V238" t="inlineStr">
        <is>
          <t>Diet, unspecified</t>
        </is>
      </c>
      <c r="W238" t="inlineStr">
        <is>
          <t>No substrate</t>
        </is>
      </c>
      <c r="X238" t="inlineStr">
        <is>
          <t>Lab</t>
        </is>
      </c>
      <c r="Y238" t="n">
        <v>5.0</v>
      </c>
      <c r="Z238" t="inlineStr">
        <is>
          <t>Active ingredient</t>
        </is>
      </c>
      <c r="AA238"/>
      <c r="AB238" t="n">
        <v>10.2</v>
      </c>
      <c r="AC238"/>
      <c r="AD238"/>
      <c r="AE238"/>
      <c r="AF238"/>
      <c r="AG238" t="inlineStr">
        <is>
          <t>mg/kg diet</t>
        </is>
      </c>
      <c r="AH238"/>
      <c r="AI238"/>
      <c r="AJ238"/>
      <c r="AK238"/>
      <c r="AL238"/>
      <c r="AM238"/>
      <c r="AN238"/>
      <c r="AO238"/>
      <c r="AP238"/>
      <c r="AQ238"/>
      <c r="AR238"/>
      <c r="AS238"/>
      <c r="AT238"/>
      <c r="AU238"/>
      <c r="AV238"/>
      <c r="AW238"/>
      <c r="AX238" t="inlineStr">
        <is>
          <t>Accumulation</t>
        </is>
      </c>
      <c r="AY238" t="inlineStr">
        <is>
          <t>Residue</t>
        </is>
      </c>
      <c r="AZ238"/>
      <c r="BA238"/>
      <c r="BB238" t="n">
        <v>10.2</v>
      </c>
      <c r="BC238"/>
      <c r="BD238"/>
      <c r="BE238"/>
      <c r="BF238"/>
      <c r="BG238"/>
      <c r="BH238"/>
      <c r="BI238" t="inlineStr">
        <is>
          <t>mg/kg diet</t>
        </is>
      </c>
      <c r="BJ238" t="inlineStr">
        <is>
          <t>Multiple entries</t>
        </is>
      </c>
      <c r="BK238"/>
      <c r="BL238"/>
      <c r="BM238"/>
      <c r="BN238" t="n">
        <v>35.0</v>
      </c>
      <c r="BO238"/>
      <c r="BP238" t="n">
        <v>147.0</v>
      </c>
      <c r="BQ238" t="inlineStr">
        <is>
          <t>Day(s)</t>
        </is>
      </c>
      <c r="BR238" t="inlineStr">
        <is>
          <t>Newsted,J.L., K.K. Coady, S.A. Beach, J.L. Butenhoff, S. Gallagher, and J.P. Giesy</t>
        </is>
      </c>
      <c r="BS238" t="n">
        <v>175224.0</v>
      </c>
      <c r="BT238" t="inlineStr">
        <is>
          <t>Effects of Perfluorooctane Sulfonate on Mallard and Northern Bobwhite Quail Exposed Chronically via the Diet</t>
        </is>
      </c>
      <c r="BU238" t="inlineStr">
        <is>
          <t>Environ. Toxicol. Pharmacol.23(1): 1-9</t>
        </is>
      </c>
      <c r="BV238" t="n">
        <v>2007.0</v>
      </c>
      <c r="BW238"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39">
      <c r="A239" t="n">
        <v>2795393.0</v>
      </c>
      <c r="B239" t="inlineStr">
        <is>
          <t>1,1,2,2,3,3,4,4,5,5,6,6,7,7,8,8,8-Heptadecafluoro-1-octanesulfonic acid potassium salt</t>
        </is>
      </c>
      <c r="C239"/>
      <c r="D239" t="inlineStr">
        <is>
          <t>Measured</t>
        </is>
      </c>
      <c r="E239"/>
      <c r="F239" t="n">
        <v>86.9</v>
      </c>
      <c r="G239"/>
      <c r="H239"/>
      <c r="I239"/>
      <c r="J239"/>
      <c r="K239" t="inlineStr">
        <is>
          <t>Anas platyrhynchos</t>
        </is>
      </c>
      <c r="L239" t="inlineStr">
        <is>
          <t>Mallard Duck</t>
        </is>
      </c>
      <c r="M239" t="inlineStr">
        <is>
          <t>Birds; Standard Test Species</t>
        </is>
      </c>
      <c r="N239" t="inlineStr">
        <is>
          <t>Adult</t>
        </is>
      </c>
      <c r="O239"/>
      <c r="P239" t="n">
        <v>24.0</v>
      </c>
      <c r="Q239"/>
      <c r="R239"/>
      <c r="S239"/>
      <c r="T239"/>
      <c r="U239" t="inlineStr">
        <is>
          <t>Week(s)</t>
        </is>
      </c>
      <c r="V239" t="inlineStr">
        <is>
          <t>Diet, unspecified</t>
        </is>
      </c>
      <c r="W239" t="inlineStr">
        <is>
          <t>No substrate</t>
        </is>
      </c>
      <c r="X239" t="inlineStr">
        <is>
          <t>Lab</t>
        </is>
      </c>
      <c r="Y239" t="n">
        <v>5.0</v>
      </c>
      <c r="Z239" t="inlineStr">
        <is>
          <t>Active ingredient</t>
        </is>
      </c>
      <c r="AA239"/>
      <c r="AB239" t="n">
        <v>10.2</v>
      </c>
      <c r="AC239"/>
      <c r="AD239"/>
      <c r="AE239"/>
      <c r="AF239"/>
      <c r="AG239" t="inlineStr">
        <is>
          <t>mg/kg diet</t>
        </is>
      </c>
      <c r="AH239"/>
      <c r="AI239"/>
      <c r="AJ239"/>
      <c r="AK239"/>
      <c r="AL239"/>
      <c r="AM239"/>
      <c r="AN239"/>
      <c r="AO239"/>
      <c r="AP239"/>
      <c r="AQ239"/>
      <c r="AR239"/>
      <c r="AS239"/>
      <c r="AT239"/>
      <c r="AU239"/>
      <c r="AV239"/>
      <c r="AW239"/>
      <c r="AX239" t="inlineStr">
        <is>
          <t>Accumulation</t>
        </is>
      </c>
      <c r="AY239" t="inlineStr">
        <is>
          <t>Residue</t>
        </is>
      </c>
      <c r="AZ239"/>
      <c r="BA239"/>
      <c r="BB239" t="n">
        <v>10.2</v>
      </c>
      <c r="BC239"/>
      <c r="BD239"/>
      <c r="BE239"/>
      <c r="BF239"/>
      <c r="BG239"/>
      <c r="BH239"/>
      <c r="BI239" t="inlineStr">
        <is>
          <t>mg/kg diet</t>
        </is>
      </c>
      <c r="BJ239" t="inlineStr">
        <is>
          <t>Liver</t>
        </is>
      </c>
      <c r="BK239"/>
      <c r="BL239" t="n">
        <v>147.0</v>
      </c>
      <c r="BM239"/>
      <c r="BN239"/>
      <c r="BO239"/>
      <c r="BP239"/>
      <c r="BQ239" t="inlineStr">
        <is>
          <t>Day(s)</t>
        </is>
      </c>
      <c r="BR239" t="inlineStr">
        <is>
          <t>Newsted,J.L., K.K. Coady, S.A. Beach, J.L. Butenhoff, S. Gallagher, and J.P. Giesy</t>
        </is>
      </c>
      <c r="BS239" t="n">
        <v>175224.0</v>
      </c>
      <c r="BT239" t="inlineStr">
        <is>
          <t>Effects of Perfluorooctane Sulfonate on Mallard and Northern Bobwhite Quail Exposed Chronically via the Diet</t>
        </is>
      </c>
      <c r="BU239" t="inlineStr">
        <is>
          <t>Environ. Toxicol. Pharmacol.23(1): 1-9</t>
        </is>
      </c>
      <c r="BV239" t="n">
        <v>2007.0</v>
      </c>
      <c r="BW239"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40">
      <c r="A240" t="n">
        <v>2795393.0</v>
      </c>
      <c r="B240" t="inlineStr">
        <is>
          <t>1,1,2,2,3,3,4,4,5,5,6,6,7,7,8,8,8-Heptadecafluoro-1-octanesulfonic acid potassium salt</t>
        </is>
      </c>
      <c r="C240"/>
      <c r="D240" t="inlineStr">
        <is>
          <t>Measured</t>
        </is>
      </c>
      <c r="E240"/>
      <c r="F240" t="n">
        <v>86.9</v>
      </c>
      <c r="G240"/>
      <c r="H240"/>
      <c r="I240"/>
      <c r="J240"/>
      <c r="K240" t="inlineStr">
        <is>
          <t>Anas platyrhynchos</t>
        </is>
      </c>
      <c r="L240" t="inlineStr">
        <is>
          <t>Mallard Duck</t>
        </is>
      </c>
      <c r="M240" t="inlineStr">
        <is>
          <t>Birds; Standard Test Species</t>
        </is>
      </c>
      <c r="N240" t="inlineStr">
        <is>
          <t>Adult</t>
        </is>
      </c>
      <c r="O240"/>
      <c r="P240" t="n">
        <v>24.0</v>
      </c>
      <c r="Q240"/>
      <c r="R240"/>
      <c r="S240"/>
      <c r="T240"/>
      <c r="U240" t="inlineStr">
        <is>
          <t>Week(s)</t>
        </is>
      </c>
      <c r="V240" t="inlineStr">
        <is>
          <t>Diet, unspecified</t>
        </is>
      </c>
      <c r="W240" t="inlineStr">
        <is>
          <t>No substrate</t>
        </is>
      </c>
      <c r="X240" t="inlineStr">
        <is>
          <t>Lab</t>
        </is>
      </c>
      <c r="Y240" t="n">
        <v>5.0</v>
      </c>
      <c r="Z240" t="inlineStr">
        <is>
          <t>Active ingredient</t>
        </is>
      </c>
      <c r="AA240"/>
      <c r="AB240" t="n">
        <v>10.2</v>
      </c>
      <c r="AC240"/>
      <c r="AD240"/>
      <c r="AE240"/>
      <c r="AF240"/>
      <c r="AG240" t="inlineStr">
        <is>
          <t>mg/kg diet</t>
        </is>
      </c>
      <c r="AH240"/>
      <c r="AI240"/>
      <c r="AJ240"/>
      <c r="AK240"/>
      <c r="AL240"/>
      <c r="AM240"/>
      <c r="AN240"/>
      <c r="AO240"/>
      <c r="AP240"/>
      <c r="AQ240"/>
      <c r="AR240"/>
      <c r="AS240"/>
      <c r="AT240"/>
      <c r="AU240"/>
      <c r="AV240"/>
      <c r="AW240"/>
      <c r="AX240" t="inlineStr">
        <is>
          <t>Accumulation</t>
        </is>
      </c>
      <c r="AY240" t="inlineStr">
        <is>
          <t>Residue</t>
        </is>
      </c>
      <c r="AZ240"/>
      <c r="BA240"/>
      <c r="BB240" t="n">
        <v>10.2</v>
      </c>
      <c r="BC240"/>
      <c r="BD240"/>
      <c r="BE240"/>
      <c r="BF240"/>
      <c r="BG240"/>
      <c r="BH240"/>
      <c r="BI240" t="inlineStr">
        <is>
          <t>mg/kg diet</t>
        </is>
      </c>
      <c r="BJ240" t="inlineStr">
        <is>
          <t>Multiple entries</t>
        </is>
      </c>
      <c r="BK240"/>
      <c r="BL240"/>
      <c r="BM240"/>
      <c r="BN240" t="n">
        <v>35.0</v>
      </c>
      <c r="BO240"/>
      <c r="BP240" t="n">
        <v>147.0</v>
      </c>
      <c r="BQ240" t="inlineStr">
        <is>
          <t>Day(s)</t>
        </is>
      </c>
      <c r="BR240" t="inlineStr">
        <is>
          <t>Newsted,J.L., K.K. Coady, S.A. Beach, J.L. Butenhoff, S. Gallagher, and J.P. Giesy</t>
        </is>
      </c>
      <c r="BS240" t="n">
        <v>175224.0</v>
      </c>
      <c r="BT240" t="inlineStr">
        <is>
          <t>Effects of Perfluorooctane Sulfonate on Mallard and Northern Bobwhite Quail Exposed Chronically via the Diet</t>
        </is>
      </c>
      <c r="BU240" t="inlineStr">
        <is>
          <t>Environ. Toxicol. Pharmacol.23(1): 1-9</t>
        </is>
      </c>
      <c r="BV240" t="n">
        <v>2007.0</v>
      </c>
      <c r="BW240"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41">
      <c r="A241" t="n">
        <v>2795393.0</v>
      </c>
      <c r="B241" t="inlineStr">
        <is>
          <t>1,1,2,2,3,3,4,4,5,5,6,6,7,7,8,8,8-Heptadecafluoro-1-octanesulfonic acid potassium salt</t>
        </is>
      </c>
      <c r="C241"/>
      <c r="D241" t="inlineStr">
        <is>
          <t>Measured</t>
        </is>
      </c>
      <c r="E241"/>
      <c r="F241" t="n">
        <v>86.9</v>
      </c>
      <c r="G241"/>
      <c r="H241"/>
      <c r="I241"/>
      <c r="J241"/>
      <c r="K241" t="inlineStr">
        <is>
          <t>Anas platyrhynchos</t>
        </is>
      </c>
      <c r="L241" t="inlineStr">
        <is>
          <t>Mallard Duck</t>
        </is>
      </c>
      <c r="M241" t="inlineStr">
        <is>
          <t>Birds; Standard Test Species</t>
        </is>
      </c>
      <c r="N241" t="inlineStr">
        <is>
          <t>Adult</t>
        </is>
      </c>
      <c r="O241"/>
      <c r="P241" t="n">
        <v>24.0</v>
      </c>
      <c r="Q241"/>
      <c r="R241"/>
      <c r="S241"/>
      <c r="T241"/>
      <c r="U241" t="inlineStr">
        <is>
          <t>Week(s)</t>
        </is>
      </c>
      <c r="V241" t="inlineStr">
        <is>
          <t>Diet, unspecified</t>
        </is>
      </c>
      <c r="W241" t="inlineStr">
        <is>
          <t>No substrate</t>
        </is>
      </c>
      <c r="X241" t="inlineStr">
        <is>
          <t>Lab</t>
        </is>
      </c>
      <c r="Y241" t="n">
        <v>5.0</v>
      </c>
      <c r="Z241" t="inlineStr">
        <is>
          <t>Active ingredient</t>
        </is>
      </c>
      <c r="AA241"/>
      <c r="AB241" t="n">
        <v>10.2</v>
      </c>
      <c r="AC241"/>
      <c r="AD241"/>
      <c r="AE241"/>
      <c r="AF241"/>
      <c r="AG241" t="inlineStr">
        <is>
          <t>mg/kg diet</t>
        </is>
      </c>
      <c r="AH241"/>
      <c r="AI241"/>
      <c r="AJ241"/>
      <c r="AK241"/>
      <c r="AL241"/>
      <c r="AM241"/>
      <c r="AN241"/>
      <c r="AO241"/>
      <c r="AP241"/>
      <c r="AQ241"/>
      <c r="AR241"/>
      <c r="AS241"/>
      <c r="AT241"/>
      <c r="AU241"/>
      <c r="AV241"/>
      <c r="AW241"/>
      <c r="AX241" t="inlineStr">
        <is>
          <t>Accumulation</t>
        </is>
      </c>
      <c r="AY241" t="inlineStr">
        <is>
          <t>Residue</t>
        </is>
      </c>
      <c r="AZ241"/>
      <c r="BA241"/>
      <c r="BB241" t="n">
        <v>10.2</v>
      </c>
      <c r="BC241"/>
      <c r="BD241"/>
      <c r="BE241"/>
      <c r="BF241"/>
      <c r="BG241"/>
      <c r="BH241"/>
      <c r="BI241" t="inlineStr">
        <is>
          <t>mg/kg diet</t>
        </is>
      </c>
      <c r="BJ241" t="inlineStr">
        <is>
          <t>Liver</t>
        </is>
      </c>
      <c r="BK241"/>
      <c r="BL241" t="n">
        <v>147.0</v>
      </c>
      <c r="BM241"/>
      <c r="BN241"/>
      <c r="BO241"/>
      <c r="BP241"/>
      <c r="BQ241" t="inlineStr">
        <is>
          <t>Day(s)</t>
        </is>
      </c>
      <c r="BR241" t="inlineStr">
        <is>
          <t>Newsted,J.L., K.K. Coady, S.A. Beach, J.L. Butenhoff, S. Gallagher, and J.P. Giesy</t>
        </is>
      </c>
      <c r="BS241" t="n">
        <v>175224.0</v>
      </c>
      <c r="BT241" t="inlineStr">
        <is>
          <t>Effects of Perfluorooctane Sulfonate on Mallard and Northern Bobwhite Quail Exposed Chronically via the Diet</t>
        </is>
      </c>
      <c r="BU241" t="inlineStr">
        <is>
          <t>Environ. Toxicol. Pharmacol.23(1): 1-9</t>
        </is>
      </c>
      <c r="BV241" t="n">
        <v>2007.0</v>
      </c>
      <c r="BW241"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42">
      <c r="A242" t="n">
        <v>2795393.0</v>
      </c>
      <c r="B242" t="inlineStr">
        <is>
          <t>1,1,2,2,3,3,4,4,5,5,6,6,7,7,8,8,8-Heptadecafluoro-1-octanesulfonic acid potassium salt</t>
        </is>
      </c>
      <c r="C242"/>
      <c r="D242" t="inlineStr">
        <is>
          <t>Measured</t>
        </is>
      </c>
      <c r="E242"/>
      <c r="F242"/>
      <c r="G242"/>
      <c r="H242" t="n">
        <v>86.9</v>
      </c>
      <c r="I242"/>
      <c r="J242" t="n">
        <v>98.9</v>
      </c>
      <c r="K242" t="inlineStr">
        <is>
          <t>Anas platyrhynchos</t>
        </is>
      </c>
      <c r="L242" t="inlineStr">
        <is>
          <t>Mallard Duck</t>
        </is>
      </c>
      <c r="M242" t="inlineStr">
        <is>
          <t>Birds; Standard Test Species</t>
        </is>
      </c>
      <c r="N242" t="inlineStr">
        <is>
          <t>Adult</t>
        </is>
      </c>
      <c r="O242" t="inlineStr">
        <is>
          <t>~</t>
        </is>
      </c>
      <c r="P242" t="n">
        <v>27.0</v>
      </c>
      <c r="Q242"/>
      <c r="R242"/>
      <c r="S242"/>
      <c r="T242"/>
      <c r="U242" t="inlineStr">
        <is>
          <t>Week(s)</t>
        </is>
      </c>
      <c r="V242" t="inlineStr">
        <is>
          <t>Food</t>
        </is>
      </c>
      <c r="W242" t="inlineStr">
        <is>
          <t>No substrate</t>
        </is>
      </c>
      <c r="X242" t="inlineStr">
        <is>
          <t>Lab</t>
        </is>
      </c>
      <c r="Y242" t="n">
        <v>4.0</v>
      </c>
      <c r="Z242" t="inlineStr">
        <is>
          <t>Active ingredient</t>
        </is>
      </c>
      <c r="AA242"/>
      <c r="AB242"/>
      <c r="AC242"/>
      <c r="AD242" t="n">
        <v>1.6</v>
      </c>
      <c r="AE242"/>
      <c r="AF242" t="n">
        <v>18.4</v>
      </c>
      <c r="AG242" t="inlineStr">
        <is>
          <t>AI ppm diet</t>
        </is>
      </c>
      <c r="AH242"/>
      <c r="AI242"/>
      <c r="AJ242"/>
      <c r="AK242"/>
      <c r="AL242"/>
      <c r="AM242"/>
      <c r="AN242"/>
      <c r="AO242"/>
      <c r="AP242"/>
      <c r="AQ242"/>
      <c r="AR242"/>
      <c r="AS242"/>
      <c r="AT242"/>
      <c r="AU242"/>
      <c r="AV242"/>
      <c r="AW242"/>
      <c r="AX242" t="inlineStr">
        <is>
          <t>Accumulation</t>
        </is>
      </c>
      <c r="AY242" t="inlineStr">
        <is>
          <t>Residue</t>
        </is>
      </c>
      <c r="AZ242"/>
      <c r="BA242"/>
      <c r="BB242"/>
      <c r="BC242"/>
      <c r="BD242" t="n">
        <v>1.6</v>
      </c>
      <c r="BE242"/>
      <c r="BF242" t="n">
        <v>18.4</v>
      </c>
      <c r="BG242"/>
      <c r="BH242"/>
      <c r="BI242" t="inlineStr">
        <is>
          <t>AI ppm diet</t>
        </is>
      </c>
      <c r="BJ242" t="inlineStr">
        <is>
          <t>Multiple entries</t>
        </is>
      </c>
      <c r="BK242" t="inlineStr">
        <is>
          <t>&lt;=</t>
        </is>
      </c>
      <c r="BL242" t="n">
        <v>140.0</v>
      </c>
      <c r="BM242"/>
      <c r="BN242"/>
      <c r="BO242"/>
      <c r="BP242"/>
      <c r="BQ242" t="inlineStr">
        <is>
          <t>Day(s)</t>
        </is>
      </c>
      <c r="BR242" t="inlineStr">
        <is>
          <t>Gallagher,S.P., R.L. Van Hoven, and J.B. Beavers</t>
        </is>
      </c>
      <c r="BS242" t="n">
        <v>181794.0</v>
      </c>
      <c r="BT242" t="inlineStr">
        <is>
          <t>PFOS: A Pilot Reproductive Study with Mallards</t>
        </is>
      </c>
      <c r="BU242" t="inlineStr">
        <is>
          <t>Project 454-105, Wildlife International Ltd.:123 p.</t>
        </is>
      </c>
      <c r="BV242" t="n">
        <v>2004.0</v>
      </c>
      <c r="BW242" t="inlineStr">
        <is>
          <t>Gallagher,S.P., R.L. Van Hoven, and J.B. Beavers (2004). PFOS: A Pilot Reproductive Study with Mallards. Project 454-105, Wildlife International Ltd., 123 p. ECOREF#:181794</t>
        </is>
      </c>
    </row>
    <row r="243">
      <c r="A243" t="n">
        <v>2795393.0</v>
      </c>
      <c r="B243" t="inlineStr">
        <is>
          <t>1,1,2,2,3,3,4,4,5,5,6,6,7,7,8,8,8-Heptadecafluoro-1-octanesulfonic acid potassium salt</t>
        </is>
      </c>
      <c r="C243"/>
      <c r="D243" t="inlineStr">
        <is>
          <t>Chemical analysis reported</t>
        </is>
      </c>
      <c r="E243"/>
      <c r="F243" t="n">
        <v>97.35</v>
      </c>
      <c r="G243"/>
      <c r="H243"/>
      <c r="I243"/>
      <c r="J243"/>
      <c r="K243" t="inlineStr">
        <is>
          <t>Anolis sagrei</t>
        </is>
      </c>
      <c r="L243" t="inlineStr">
        <is>
          <t>Cuban Brown Anole</t>
        </is>
      </c>
      <c r="M243" t="inlineStr">
        <is>
          <t>Reptiles</t>
        </is>
      </c>
      <c r="N243" t="inlineStr">
        <is>
          <t>Adult</t>
        </is>
      </c>
      <c r="O243"/>
      <c r="P243"/>
      <c r="Q243"/>
      <c r="R243"/>
      <c r="S243"/>
      <c r="T243"/>
      <c r="U243"/>
      <c r="V243" t="inlineStr">
        <is>
          <t>Gavage</t>
        </is>
      </c>
      <c r="W243" t="inlineStr">
        <is>
          <t>No substrate</t>
        </is>
      </c>
      <c r="X243" t="inlineStr">
        <is>
          <t>Lab</t>
        </is>
      </c>
      <c r="Y243" t="n">
        <v>5.0</v>
      </c>
      <c r="Z243" t="inlineStr">
        <is>
          <t>Active ingredient</t>
        </is>
      </c>
      <c r="AA243"/>
      <c r="AB243" t="n">
        <v>0.45</v>
      </c>
      <c r="AC243"/>
      <c r="AD243"/>
      <c r="AE243"/>
      <c r="AF243"/>
      <c r="AG243" t="inlineStr">
        <is>
          <t>mg/kg bdwt/d</t>
        </is>
      </c>
      <c r="AH243"/>
      <c r="AI243"/>
      <c r="AJ243"/>
      <c r="AK243"/>
      <c r="AL243"/>
      <c r="AM243"/>
      <c r="AN243"/>
      <c r="AO243"/>
      <c r="AP243"/>
      <c r="AQ243"/>
      <c r="AR243"/>
      <c r="AS243"/>
      <c r="AT243"/>
      <c r="AU243"/>
      <c r="AV243"/>
      <c r="AW243"/>
      <c r="AX243" t="inlineStr">
        <is>
          <t>Accumulation</t>
        </is>
      </c>
      <c r="AY243" t="inlineStr">
        <is>
          <t>Residue</t>
        </is>
      </c>
      <c r="AZ243" t="inlineStr">
        <is>
          <t>BAF</t>
        </is>
      </c>
      <c r="BA243"/>
      <c r="BB243" t="n">
        <v>1311.0</v>
      </c>
      <c r="BC243"/>
      <c r="BD243"/>
      <c r="BE243"/>
      <c r="BF243"/>
      <c r="BG243"/>
      <c r="BH243"/>
      <c r="BI243" t="inlineStr">
        <is>
          <t>RA</t>
        </is>
      </c>
      <c r="BJ243" t="inlineStr">
        <is>
          <t>Liver</t>
        </is>
      </c>
      <c r="BK243"/>
      <c r="BL243" t="n">
        <v>90.0</v>
      </c>
      <c r="BM243"/>
      <c r="BN243"/>
      <c r="BO243"/>
      <c r="BP243"/>
      <c r="BQ243" t="inlineStr">
        <is>
          <t>Day(s)</t>
        </is>
      </c>
      <c r="BR243" t="inlineStr">
        <is>
          <t>Salice,C.J., A. East, C. Weible, C.D. Furst, J. Rewerts, C. Heron, and J. Field</t>
        </is>
      </c>
      <c r="BS243" t="n">
        <v>194422.0</v>
      </c>
      <c r="BT243" t="inlineStr">
        <is>
          <t>Effects of Perfluorooctane Sulfonate (PFOS) on a Novel Reptilian Toxicity Test Species, the Brown Anole (Anolis sagrei)</t>
        </is>
      </c>
      <c r="BU243" t="inlineStr">
        <is>
          <t>Environ. Toxicol. Chem.44(4): 1080-1090</t>
        </is>
      </c>
      <c r="BV243" t="n">
        <v>2025.0</v>
      </c>
      <c r="BW243" t="inlineStr">
        <is>
          <t>Salice,C.J., A. East, C. Weible, C.D. Furst, J. Rewerts, C. Heron, and J. Field (2025). Effects of Perfluorooctane Sulfonate (PFOS) on a Novel Reptilian Toxicity Test Species, the Brown Anole (Anolis sagrei). Environ. Toxicol. Chem., 44, (4), 1080-1090. doi:10.1093/etojnl/vgaf038. ECOREF#:194422</t>
        </is>
      </c>
    </row>
    <row r="244">
      <c r="A244" t="n">
        <v>2795393.0</v>
      </c>
      <c r="B244" t="inlineStr">
        <is>
          <t>1,1,2,2,3,3,4,4,5,5,6,6,7,7,8,8,8-Heptadecafluoro-1-octanesulfonic acid potassium salt</t>
        </is>
      </c>
      <c r="C244"/>
      <c r="D244" t="inlineStr">
        <is>
          <t>Chemical analysis reported</t>
        </is>
      </c>
      <c r="E244"/>
      <c r="F244" t="n">
        <v>97.35</v>
      </c>
      <c r="G244"/>
      <c r="H244"/>
      <c r="I244"/>
      <c r="J244"/>
      <c r="K244" t="inlineStr">
        <is>
          <t>Anolis sagrei</t>
        </is>
      </c>
      <c r="L244" t="inlineStr">
        <is>
          <t>Cuban Brown Anole</t>
        </is>
      </c>
      <c r="M244" t="inlineStr">
        <is>
          <t>Reptiles</t>
        </is>
      </c>
      <c r="N244" t="inlineStr">
        <is>
          <t>Subadult</t>
        </is>
      </c>
      <c r="O244"/>
      <c r="P244"/>
      <c r="Q244"/>
      <c r="R244"/>
      <c r="S244"/>
      <c r="T244"/>
      <c r="U244"/>
      <c r="V244" t="inlineStr">
        <is>
          <t>Gavage</t>
        </is>
      </c>
      <c r="W244" t="inlineStr">
        <is>
          <t>No substrate</t>
        </is>
      </c>
      <c r="X244" t="inlineStr">
        <is>
          <t>Lab</t>
        </is>
      </c>
      <c r="Y244" t="n">
        <v>4.0</v>
      </c>
      <c r="Z244" t="inlineStr">
        <is>
          <t>Active ingredient</t>
        </is>
      </c>
      <c r="AA244"/>
      <c r="AB244" t="n">
        <v>0.02</v>
      </c>
      <c r="AC244"/>
      <c r="AD244"/>
      <c r="AE244"/>
      <c r="AF244"/>
      <c r="AG244" t="inlineStr">
        <is>
          <t>mg/kg bdwt/d</t>
        </is>
      </c>
      <c r="AH244"/>
      <c r="AI244"/>
      <c r="AJ244"/>
      <c r="AK244"/>
      <c r="AL244"/>
      <c r="AM244"/>
      <c r="AN244"/>
      <c r="AO244"/>
      <c r="AP244"/>
      <c r="AQ244"/>
      <c r="AR244"/>
      <c r="AS244"/>
      <c r="AT244"/>
      <c r="AU244"/>
      <c r="AV244"/>
      <c r="AW244"/>
      <c r="AX244" t="inlineStr">
        <is>
          <t>Accumulation</t>
        </is>
      </c>
      <c r="AY244" t="inlineStr">
        <is>
          <t>Residue</t>
        </is>
      </c>
      <c r="AZ244" t="inlineStr">
        <is>
          <t>BAF</t>
        </is>
      </c>
      <c r="BA244"/>
      <c r="BB244" t="n">
        <v>3310.0</v>
      </c>
      <c r="BC244"/>
      <c r="BD244"/>
      <c r="BE244"/>
      <c r="BF244"/>
      <c r="BG244"/>
      <c r="BH244"/>
      <c r="BI244" t="inlineStr">
        <is>
          <t>RA</t>
        </is>
      </c>
      <c r="BJ244" t="inlineStr">
        <is>
          <t>Liver</t>
        </is>
      </c>
      <c r="BK244"/>
      <c r="BL244" t="n">
        <v>35.0</v>
      </c>
      <c r="BM244"/>
      <c r="BN244"/>
      <c r="BO244"/>
      <c r="BP244"/>
      <c r="BQ244" t="inlineStr">
        <is>
          <t>Day(s)</t>
        </is>
      </c>
      <c r="BR244" t="inlineStr">
        <is>
          <t>Salice,C.J., A. East, C. Weible, C.D. Furst, J. Rewerts, C. Heron, and J. Field</t>
        </is>
      </c>
      <c r="BS244" t="n">
        <v>194422.0</v>
      </c>
      <c r="BT244" t="inlineStr">
        <is>
          <t>Effects of Perfluorooctane Sulfonate (PFOS) on a Novel Reptilian Toxicity Test Species, the Brown Anole (Anolis sagrei)</t>
        </is>
      </c>
      <c r="BU244" t="inlineStr">
        <is>
          <t>Environ. Toxicol. Chem.44(4): 1080-1090</t>
        </is>
      </c>
      <c r="BV244" t="n">
        <v>2025.0</v>
      </c>
      <c r="BW244" t="inlineStr">
        <is>
          <t>Salice,C.J., A. East, C. Weible, C.D. Furst, J. Rewerts, C. Heron, and J. Field (2025). Effects of Perfluorooctane Sulfonate (PFOS) on a Novel Reptilian Toxicity Test Species, the Brown Anole (Anolis sagrei). Environ. Toxicol. Chem., 44, (4), 1080-1090. doi:10.1093/etojnl/vgaf038. ECOREF#:194422</t>
        </is>
      </c>
    </row>
    <row r="245">
      <c r="A245" t="n">
        <v>2795393.0</v>
      </c>
      <c r="B245" t="inlineStr">
        <is>
          <t>1,1,2,2,3,3,4,4,5,5,6,6,7,7,8,8,8-Heptadecafluoro-1-octanesulfonic acid potassium salt</t>
        </is>
      </c>
      <c r="C245"/>
      <c r="D245" t="inlineStr">
        <is>
          <t>Chemical analysis reported</t>
        </is>
      </c>
      <c r="E245"/>
      <c r="F245" t="n">
        <v>97.35</v>
      </c>
      <c r="G245"/>
      <c r="H245"/>
      <c r="I245"/>
      <c r="J245"/>
      <c r="K245" t="inlineStr">
        <is>
          <t>Anolis sagrei</t>
        </is>
      </c>
      <c r="L245" t="inlineStr">
        <is>
          <t>Cuban Brown Anole</t>
        </is>
      </c>
      <c r="M245" t="inlineStr">
        <is>
          <t>Reptiles</t>
        </is>
      </c>
      <c r="N245" t="inlineStr">
        <is>
          <t>Adult</t>
        </is>
      </c>
      <c r="O245"/>
      <c r="P245"/>
      <c r="Q245"/>
      <c r="R245"/>
      <c r="S245"/>
      <c r="T245"/>
      <c r="U245"/>
      <c r="V245" t="inlineStr">
        <is>
          <t>Gavage</t>
        </is>
      </c>
      <c r="W245" t="inlineStr">
        <is>
          <t>No substrate</t>
        </is>
      </c>
      <c r="X245" t="inlineStr">
        <is>
          <t>Lab</t>
        </is>
      </c>
      <c r="Y245" t="n">
        <v>5.0</v>
      </c>
      <c r="Z245" t="inlineStr">
        <is>
          <t>Active ingredient</t>
        </is>
      </c>
      <c r="AA245"/>
      <c r="AB245" t="n">
        <v>0.05</v>
      </c>
      <c r="AC245"/>
      <c r="AD245"/>
      <c r="AE245"/>
      <c r="AF245"/>
      <c r="AG245" t="inlineStr">
        <is>
          <t>mg/kg bdwt/d</t>
        </is>
      </c>
      <c r="AH245"/>
      <c r="AI245"/>
      <c r="AJ245"/>
      <c r="AK245"/>
      <c r="AL245"/>
      <c r="AM245"/>
      <c r="AN245"/>
      <c r="AO245"/>
      <c r="AP245"/>
      <c r="AQ245"/>
      <c r="AR245"/>
      <c r="AS245"/>
      <c r="AT245"/>
      <c r="AU245"/>
      <c r="AV245"/>
      <c r="AW245"/>
      <c r="AX245" t="inlineStr">
        <is>
          <t>Accumulation</t>
        </is>
      </c>
      <c r="AY245" t="inlineStr">
        <is>
          <t>Residue</t>
        </is>
      </c>
      <c r="AZ245" t="inlineStr">
        <is>
          <t>BAF</t>
        </is>
      </c>
      <c r="BA245"/>
      <c r="BB245" t="n">
        <v>5520.0</v>
      </c>
      <c r="BC245"/>
      <c r="BD245"/>
      <c r="BE245"/>
      <c r="BF245"/>
      <c r="BG245"/>
      <c r="BH245"/>
      <c r="BI245" t="inlineStr">
        <is>
          <t>RA</t>
        </is>
      </c>
      <c r="BJ245" t="inlineStr">
        <is>
          <t>Liver</t>
        </is>
      </c>
      <c r="BK245"/>
      <c r="BL245" t="n">
        <v>90.0</v>
      </c>
      <c r="BM245"/>
      <c r="BN245"/>
      <c r="BO245"/>
      <c r="BP245"/>
      <c r="BQ245" t="inlineStr">
        <is>
          <t>Day(s)</t>
        </is>
      </c>
      <c r="BR245" t="inlineStr">
        <is>
          <t>Salice,C.J., A. East, C. Weible, C.D. Furst, J. Rewerts, C. Heron, and J. Field</t>
        </is>
      </c>
      <c r="BS245" t="n">
        <v>194422.0</v>
      </c>
      <c r="BT245" t="inlineStr">
        <is>
          <t>Effects of Perfluorooctane Sulfonate (PFOS) on a Novel Reptilian Toxicity Test Species, the Brown Anole (Anolis sagrei)</t>
        </is>
      </c>
      <c r="BU245" t="inlineStr">
        <is>
          <t>Environ. Toxicol. Chem.44(4): 1080-1090</t>
        </is>
      </c>
      <c r="BV245" t="n">
        <v>2025.0</v>
      </c>
      <c r="BW245" t="inlineStr">
        <is>
          <t>Salice,C.J., A. East, C. Weible, C.D. Furst, J. Rewerts, C. Heron, and J. Field (2025). Effects of Perfluorooctane Sulfonate (PFOS) on a Novel Reptilian Toxicity Test Species, the Brown Anole (Anolis sagrei). Environ. Toxicol. Chem., 44, (4), 1080-1090. doi:10.1093/etojnl/vgaf038. ECOREF#:194422</t>
        </is>
      </c>
    </row>
    <row r="246">
      <c r="A246" t="n">
        <v>2795393.0</v>
      </c>
      <c r="B246" t="inlineStr">
        <is>
          <t>1,1,2,2,3,3,4,4,5,5,6,6,7,7,8,8,8-Heptadecafluoro-1-octanesulfonic acid potassium salt</t>
        </is>
      </c>
      <c r="C246"/>
      <c r="D246" t="inlineStr">
        <is>
          <t>Chemical analysis reported</t>
        </is>
      </c>
      <c r="E246"/>
      <c r="F246" t="n">
        <v>97.35</v>
      </c>
      <c r="G246"/>
      <c r="H246"/>
      <c r="I246"/>
      <c r="J246"/>
      <c r="K246" t="inlineStr">
        <is>
          <t>Anolis sagrei</t>
        </is>
      </c>
      <c r="L246" t="inlineStr">
        <is>
          <t>Cuban Brown Anole</t>
        </is>
      </c>
      <c r="M246" t="inlineStr">
        <is>
          <t>Reptiles</t>
        </is>
      </c>
      <c r="N246" t="inlineStr">
        <is>
          <t>Adult</t>
        </is>
      </c>
      <c r="O246"/>
      <c r="P246"/>
      <c r="Q246"/>
      <c r="R246"/>
      <c r="S246"/>
      <c r="T246"/>
      <c r="U246"/>
      <c r="V246" t="inlineStr">
        <is>
          <t>Gavage</t>
        </is>
      </c>
      <c r="W246" t="inlineStr">
        <is>
          <t>No substrate</t>
        </is>
      </c>
      <c r="X246" t="inlineStr">
        <is>
          <t>Lab</t>
        </is>
      </c>
      <c r="Y246" t="n">
        <v>5.0</v>
      </c>
      <c r="Z246" t="inlineStr">
        <is>
          <t>Active ingredient</t>
        </is>
      </c>
      <c r="AA246"/>
      <c r="AB246" t="n">
        <v>0.15</v>
      </c>
      <c r="AC246"/>
      <c r="AD246"/>
      <c r="AE246"/>
      <c r="AF246"/>
      <c r="AG246" t="inlineStr">
        <is>
          <t>mg/kg bdwt/d</t>
        </is>
      </c>
      <c r="AH246"/>
      <c r="AI246"/>
      <c r="AJ246"/>
      <c r="AK246"/>
      <c r="AL246"/>
      <c r="AM246"/>
      <c r="AN246"/>
      <c r="AO246"/>
      <c r="AP246"/>
      <c r="AQ246"/>
      <c r="AR246"/>
      <c r="AS246"/>
      <c r="AT246"/>
      <c r="AU246"/>
      <c r="AV246"/>
      <c r="AW246"/>
      <c r="AX246" t="inlineStr">
        <is>
          <t>Accumulation</t>
        </is>
      </c>
      <c r="AY246" t="inlineStr">
        <is>
          <t>Residue</t>
        </is>
      </c>
      <c r="AZ246" t="inlineStr">
        <is>
          <t>BAF</t>
        </is>
      </c>
      <c r="BA246"/>
      <c r="BB246" t="n">
        <v>2547.0</v>
      </c>
      <c r="BC246"/>
      <c r="BD246"/>
      <c r="BE246"/>
      <c r="BF246"/>
      <c r="BG246"/>
      <c r="BH246"/>
      <c r="BI246" t="inlineStr">
        <is>
          <t>RA</t>
        </is>
      </c>
      <c r="BJ246" t="inlineStr">
        <is>
          <t>Liver</t>
        </is>
      </c>
      <c r="BK246"/>
      <c r="BL246" t="n">
        <v>90.0</v>
      </c>
      <c r="BM246"/>
      <c r="BN246"/>
      <c r="BO246"/>
      <c r="BP246"/>
      <c r="BQ246" t="inlineStr">
        <is>
          <t>Day(s)</t>
        </is>
      </c>
      <c r="BR246" t="inlineStr">
        <is>
          <t>Salice,C.J., A. East, C. Weible, C.D. Furst, J. Rewerts, C. Heron, and J. Field</t>
        </is>
      </c>
      <c r="BS246" t="n">
        <v>194422.0</v>
      </c>
      <c r="BT246" t="inlineStr">
        <is>
          <t>Effects of Perfluorooctane Sulfonate (PFOS) on a Novel Reptilian Toxicity Test Species, the Brown Anole (Anolis sagrei)</t>
        </is>
      </c>
      <c r="BU246" t="inlineStr">
        <is>
          <t>Environ. Toxicol. Chem.44(4): 1080-1090</t>
        </is>
      </c>
      <c r="BV246" t="n">
        <v>2025.0</v>
      </c>
      <c r="BW246" t="inlineStr">
        <is>
          <t>Salice,C.J., A. East, C. Weible, C.D. Furst, J. Rewerts, C. Heron, and J. Field (2025). Effects of Perfluorooctane Sulfonate (PFOS) on a Novel Reptilian Toxicity Test Species, the Brown Anole (Anolis sagrei). Environ. Toxicol. Chem., 44, (4), 1080-1090. doi:10.1093/etojnl/vgaf038. ECOREF#:194422</t>
        </is>
      </c>
    </row>
    <row r="247">
      <c r="A247" t="n">
        <v>2795393.0</v>
      </c>
      <c r="B247" t="inlineStr">
        <is>
          <t>1,1,2,2,3,3,4,4,5,5,6,6,7,7,8,8,8-Heptadecafluoro-1-octanesulfonic acid potassium salt</t>
        </is>
      </c>
      <c r="C247"/>
      <c r="D247" t="inlineStr">
        <is>
          <t>Chemical analysis reported</t>
        </is>
      </c>
      <c r="E247"/>
      <c r="F247" t="n">
        <v>97.35</v>
      </c>
      <c r="G247"/>
      <c r="H247"/>
      <c r="I247"/>
      <c r="J247"/>
      <c r="K247" t="inlineStr">
        <is>
          <t>Anolis sagrei</t>
        </is>
      </c>
      <c r="L247" t="inlineStr">
        <is>
          <t>Cuban Brown Anole</t>
        </is>
      </c>
      <c r="M247" t="inlineStr">
        <is>
          <t>Reptiles</t>
        </is>
      </c>
      <c r="N247" t="inlineStr">
        <is>
          <t>Adult</t>
        </is>
      </c>
      <c r="O247"/>
      <c r="P247"/>
      <c r="Q247"/>
      <c r="R247"/>
      <c r="S247"/>
      <c r="T247"/>
      <c r="U247"/>
      <c r="V247" t="inlineStr">
        <is>
          <t>Gavage</t>
        </is>
      </c>
      <c r="W247" t="inlineStr">
        <is>
          <t>No substrate</t>
        </is>
      </c>
      <c r="X247" t="inlineStr">
        <is>
          <t>Lab</t>
        </is>
      </c>
      <c r="Y247" t="n">
        <v>5.0</v>
      </c>
      <c r="Z247" t="inlineStr">
        <is>
          <t>Active ingredient</t>
        </is>
      </c>
      <c r="AA247"/>
      <c r="AB247" t="n">
        <v>1.35</v>
      </c>
      <c r="AC247"/>
      <c r="AD247"/>
      <c r="AE247"/>
      <c r="AF247"/>
      <c r="AG247" t="inlineStr">
        <is>
          <t>mg/kg bdwt/d</t>
        </is>
      </c>
      <c r="AH247"/>
      <c r="AI247"/>
      <c r="AJ247"/>
      <c r="AK247"/>
      <c r="AL247"/>
      <c r="AM247"/>
      <c r="AN247"/>
      <c r="AO247"/>
      <c r="AP247"/>
      <c r="AQ247"/>
      <c r="AR247"/>
      <c r="AS247"/>
      <c r="AT247"/>
      <c r="AU247"/>
      <c r="AV247"/>
      <c r="AW247"/>
      <c r="AX247" t="inlineStr">
        <is>
          <t>Accumulation</t>
        </is>
      </c>
      <c r="AY247" t="inlineStr">
        <is>
          <t>Residue</t>
        </is>
      </c>
      <c r="AZ247" t="inlineStr">
        <is>
          <t>BAF</t>
        </is>
      </c>
      <c r="BA247"/>
      <c r="BB247" t="n">
        <v>1924.0</v>
      </c>
      <c r="BC247"/>
      <c r="BD247"/>
      <c r="BE247"/>
      <c r="BF247"/>
      <c r="BG247"/>
      <c r="BH247"/>
      <c r="BI247" t="inlineStr">
        <is>
          <t>RA</t>
        </is>
      </c>
      <c r="BJ247" t="inlineStr">
        <is>
          <t>Liver</t>
        </is>
      </c>
      <c r="BK247"/>
      <c r="BL247" t="n">
        <v>90.0</v>
      </c>
      <c r="BM247"/>
      <c r="BN247"/>
      <c r="BO247"/>
      <c r="BP247"/>
      <c r="BQ247" t="inlineStr">
        <is>
          <t>Day(s)</t>
        </is>
      </c>
      <c r="BR247" t="inlineStr">
        <is>
          <t>Salice,C.J., A. East, C. Weible, C.D. Furst, J. Rewerts, C. Heron, and J. Field</t>
        </is>
      </c>
      <c r="BS247" t="n">
        <v>194422.0</v>
      </c>
      <c r="BT247" t="inlineStr">
        <is>
          <t>Effects of Perfluorooctane Sulfonate (PFOS) on a Novel Reptilian Toxicity Test Species, the Brown Anole (Anolis sagrei)</t>
        </is>
      </c>
      <c r="BU247" t="inlineStr">
        <is>
          <t>Environ. Toxicol. Chem.44(4): 1080-1090</t>
        </is>
      </c>
      <c r="BV247" t="n">
        <v>2025.0</v>
      </c>
      <c r="BW247" t="inlineStr">
        <is>
          <t>Salice,C.J., A. East, C. Weible, C.D. Furst, J. Rewerts, C. Heron, and J. Field (2025). Effects of Perfluorooctane Sulfonate (PFOS) on a Novel Reptilian Toxicity Test Species, the Brown Anole (Anolis sagrei). Environ. Toxicol. Chem., 44, (4), 1080-1090. doi:10.1093/etojnl/vgaf038. ECOREF#:194422</t>
        </is>
      </c>
    </row>
    <row r="248">
      <c r="A248" t="n">
        <v>2795393.0</v>
      </c>
      <c r="B248" t="inlineStr">
        <is>
          <t>1,1,2,2,3,3,4,4,5,5,6,6,7,7,8,8,8-Heptadecafluoro-1-octanesulfonic acid potassium salt</t>
        </is>
      </c>
      <c r="C248"/>
      <c r="D248" t="inlineStr">
        <is>
          <t>Chemical analysis reported</t>
        </is>
      </c>
      <c r="E248"/>
      <c r="F248" t="n">
        <v>97.35</v>
      </c>
      <c r="G248"/>
      <c r="H248"/>
      <c r="I248"/>
      <c r="J248"/>
      <c r="K248" t="inlineStr">
        <is>
          <t>Anolis sagrei</t>
        </is>
      </c>
      <c r="L248" t="inlineStr">
        <is>
          <t>Cuban Brown Anole</t>
        </is>
      </c>
      <c r="M248" t="inlineStr">
        <is>
          <t>Reptiles</t>
        </is>
      </c>
      <c r="N248" t="inlineStr">
        <is>
          <t>Subadult</t>
        </is>
      </c>
      <c r="O248"/>
      <c r="P248"/>
      <c r="Q248"/>
      <c r="R248"/>
      <c r="S248"/>
      <c r="T248"/>
      <c r="U248"/>
      <c r="V248" t="inlineStr">
        <is>
          <t>Gavage</t>
        </is>
      </c>
      <c r="W248" t="inlineStr">
        <is>
          <t>No substrate</t>
        </is>
      </c>
      <c r="X248" t="inlineStr">
        <is>
          <t>Lab</t>
        </is>
      </c>
      <c r="Y248" t="n">
        <v>4.0</v>
      </c>
      <c r="Z248" t="inlineStr">
        <is>
          <t>Active ingredient</t>
        </is>
      </c>
      <c r="AA248"/>
      <c r="AB248" t="n">
        <v>0.2</v>
      </c>
      <c r="AC248"/>
      <c r="AD248"/>
      <c r="AE248"/>
      <c r="AF248"/>
      <c r="AG248" t="inlineStr">
        <is>
          <t>mg/kg bdwt/d</t>
        </is>
      </c>
      <c r="AH248"/>
      <c r="AI248"/>
      <c r="AJ248"/>
      <c r="AK248"/>
      <c r="AL248"/>
      <c r="AM248"/>
      <c r="AN248"/>
      <c r="AO248"/>
      <c r="AP248"/>
      <c r="AQ248"/>
      <c r="AR248"/>
      <c r="AS248"/>
      <c r="AT248"/>
      <c r="AU248"/>
      <c r="AV248"/>
      <c r="AW248"/>
      <c r="AX248" t="inlineStr">
        <is>
          <t>Accumulation</t>
        </is>
      </c>
      <c r="AY248" t="inlineStr">
        <is>
          <t>Residue</t>
        </is>
      </c>
      <c r="AZ248" t="inlineStr">
        <is>
          <t>BAF</t>
        </is>
      </c>
      <c r="BA248"/>
      <c r="BB248" t="n">
        <v>3369.0</v>
      </c>
      <c r="BC248"/>
      <c r="BD248"/>
      <c r="BE248"/>
      <c r="BF248"/>
      <c r="BG248"/>
      <c r="BH248"/>
      <c r="BI248" t="inlineStr">
        <is>
          <t>RA</t>
        </is>
      </c>
      <c r="BJ248" t="inlineStr">
        <is>
          <t>Liver</t>
        </is>
      </c>
      <c r="BK248"/>
      <c r="BL248" t="n">
        <v>35.0</v>
      </c>
      <c r="BM248"/>
      <c r="BN248"/>
      <c r="BO248"/>
      <c r="BP248"/>
      <c r="BQ248" t="inlineStr">
        <is>
          <t>Day(s)</t>
        </is>
      </c>
      <c r="BR248" t="inlineStr">
        <is>
          <t>Salice,C.J., A. East, C. Weible, C.D. Furst, J. Rewerts, C. Heron, and J. Field</t>
        </is>
      </c>
      <c r="BS248" t="n">
        <v>194422.0</v>
      </c>
      <c r="BT248" t="inlineStr">
        <is>
          <t>Effects of Perfluorooctane Sulfonate (PFOS) on a Novel Reptilian Toxicity Test Species, the Brown Anole (Anolis sagrei)</t>
        </is>
      </c>
      <c r="BU248" t="inlineStr">
        <is>
          <t>Environ. Toxicol. Chem.44(4): 1080-1090</t>
        </is>
      </c>
      <c r="BV248" t="n">
        <v>2025.0</v>
      </c>
      <c r="BW248" t="inlineStr">
        <is>
          <t>Salice,C.J., A. East, C. Weible, C.D. Furst, J. Rewerts, C. Heron, and J. Field (2025). Effects of Perfluorooctane Sulfonate (PFOS) on a Novel Reptilian Toxicity Test Species, the Brown Anole (Anolis sagrei). Environ. Toxicol. Chem., 44, (4), 1080-1090. doi:10.1093/etojnl/vgaf038. ECOREF#:194422</t>
        </is>
      </c>
    </row>
    <row r="249">
      <c r="A249" t="n">
        <v>2795393.0</v>
      </c>
      <c r="B249" t="inlineStr">
        <is>
          <t>1,1,2,2,3,3,4,4,5,5,6,6,7,7,8,8,8-Heptadecafluoro-1-octanesulfonic acid potassium salt</t>
        </is>
      </c>
      <c r="C249"/>
      <c r="D249" t="inlineStr">
        <is>
          <t>Chemical analysis reported</t>
        </is>
      </c>
      <c r="E249"/>
      <c r="F249" t="n">
        <v>97.35</v>
      </c>
      <c r="G249"/>
      <c r="H249"/>
      <c r="I249"/>
      <c r="J249"/>
      <c r="K249" t="inlineStr">
        <is>
          <t>Anolis sagrei</t>
        </is>
      </c>
      <c r="L249" t="inlineStr">
        <is>
          <t>Cuban Brown Anole</t>
        </is>
      </c>
      <c r="M249" t="inlineStr">
        <is>
          <t>Reptiles</t>
        </is>
      </c>
      <c r="N249" t="inlineStr">
        <is>
          <t>Subadult</t>
        </is>
      </c>
      <c r="O249"/>
      <c r="P249"/>
      <c r="Q249"/>
      <c r="R249"/>
      <c r="S249"/>
      <c r="T249"/>
      <c r="U249"/>
      <c r="V249" t="inlineStr">
        <is>
          <t>Gavage</t>
        </is>
      </c>
      <c r="W249" t="inlineStr">
        <is>
          <t>No substrate</t>
        </is>
      </c>
      <c r="X249" t="inlineStr">
        <is>
          <t>Lab</t>
        </is>
      </c>
      <c r="Y249" t="n">
        <v>4.0</v>
      </c>
      <c r="Z249" t="inlineStr">
        <is>
          <t>Active ingredient</t>
        </is>
      </c>
      <c r="AA249"/>
      <c r="AB249" t="n">
        <v>2.98</v>
      </c>
      <c r="AC249"/>
      <c r="AD249"/>
      <c r="AE249"/>
      <c r="AF249"/>
      <c r="AG249" t="inlineStr">
        <is>
          <t>mg/kg bdwt/d</t>
        </is>
      </c>
      <c r="AH249"/>
      <c r="AI249"/>
      <c r="AJ249"/>
      <c r="AK249"/>
      <c r="AL249"/>
      <c r="AM249"/>
      <c r="AN249"/>
      <c r="AO249"/>
      <c r="AP249"/>
      <c r="AQ249"/>
      <c r="AR249"/>
      <c r="AS249"/>
      <c r="AT249"/>
      <c r="AU249"/>
      <c r="AV249"/>
      <c r="AW249"/>
      <c r="AX249" t="inlineStr">
        <is>
          <t>Accumulation</t>
        </is>
      </c>
      <c r="AY249" t="inlineStr">
        <is>
          <t>Residue</t>
        </is>
      </c>
      <c r="AZ249" t="inlineStr">
        <is>
          <t>BAF</t>
        </is>
      </c>
      <c r="BA249"/>
      <c r="BB249" t="n">
        <v>4036.0</v>
      </c>
      <c r="BC249"/>
      <c r="BD249"/>
      <c r="BE249"/>
      <c r="BF249"/>
      <c r="BG249"/>
      <c r="BH249"/>
      <c r="BI249" t="inlineStr">
        <is>
          <t>RA</t>
        </is>
      </c>
      <c r="BJ249" t="inlineStr">
        <is>
          <t>Liver</t>
        </is>
      </c>
      <c r="BK249"/>
      <c r="BL249" t="n">
        <v>35.0</v>
      </c>
      <c r="BM249"/>
      <c r="BN249"/>
      <c r="BO249"/>
      <c r="BP249"/>
      <c r="BQ249" t="inlineStr">
        <is>
          <t>Day(s)</t>
        </is>
      </c>
      <c r="BR249" t="inlineStr">
        <is>
          <t>Salice,C.J., A. East, C. Weible, C.D. Furst, J. Rewerts, C. Heron, and J. Field</t>
        </is>
      </c>
      <c r="BS249" t="n">
        <v>194422.0</v>
      </c>
      <c r="BT249" t="inlineStr">
        <is>
          <t>Effects of Perfluorooctane Sulfonate (PFOS) on a Novel Reptilian Toxicity Test Species, the Brown Anole (Anolis sagrei)</t>
        </is>
      </c>
      <c r="BU249" t="inlineStr">
        <is>
          <t>Environ. Toxicol. Chem.44(4): 1080-1090</t>
        </is>
      </c>
      <c r="BV249" t="n">
        <v>2025.0</v>
      </c>
      <c r="BW249" t="inlineStr">
        <is>
          <t>Salice,C.J., A. East, C. Weible, C.D. Furst, J. Rewerts, C. Heron, and J. Field (2025). Effects of Perfluorooctane Sulfonate (PFOS) on a Novel Reptilian Toxicity Test Species, the Brown Anole (Anolis sagrei). Environ. Toxicol. Chem., 44, (4), 1080-1090. doi:10.1093/etojnl/vgaf038. ECOREF#:194422</t>
        </is>
      </c>
    </row>
    <row r="250">
      <c r="A250" t="n">
        <v>2795393.0</v>
      </c>
      <c r="B250" t="inlineStr">
        <is>
          <t>1,1,2,2,3,3,4,4,5,5,6,6,7,7,8,8,8-Heptadecafluoro-1-octanesulfonic acid potassium salt</t>
        </is>
      </c>
      <c r="C250"/>
      <c r="D250" t="inlineStr">
        <is>
          <t>Chemical analysis reported</t>
        </is>
      </c>
      <c r="E250" t="inlineStr">
        <is>
          <t>&gt;=</t>
        </is>
      </c>
      <c r="F250" t="n">
        <v>98.0</v>
      </c>
      <c r="G250"/>
      <c r="H250"/>
      <c r="I250"/>
      <c r="J250"/>
      <c r="K250" t="inlineStr">
        <is>
          <t>Baumea articulata</t>
        </is>
      </c>
      <c r="L250" t="inlineStr">
        <is>
          <t>Jointed Twig-Rush</t>
        </is>
      </c>
      <c r="M250" t="inlineStr">
        <is>
          <t>Flowers, Trees, Shrubs, Ferns</t>
        </is>
      </c>
      <c r="N250"/>
      <c r="O250"/>
      <c r="P250"/>
      <c r="Q250"/>
      <c r="R250"/>
      <c r="S250"/>
      <c r="T250"/>
      <c r="U250"/>
      <c r="V250" t="inlineStr">
        <is>
          <t>Hydroponic</t>
        </is>
      </c>
      <c r="W250" t="inlineStr">
        <is>
          <t>Hydroponic</t>
        </is>
      </c>
      <c r="X250" t="inlineStr">
        <is>
          <t>Lab</t>
        </is>
      </c>
      <c r="Y250" t="n">
        <v>3.0</v>
      </c>
      <c r="Z250" t="inlineStr">
        <is>
          <t>Active ingredient</t>
        </is>
      </c>
      <c r="AA250"/>
      <c r="AB250" t="n">
        <v>30.0</v>
      </c>
      <c r="AC250"/>
      <c r="AD250"/>
      <c r="AE250"/>
      <c r="AF250"/>
      <c r="AG250" t="inlineStr">
        <is>
          <t>ug/L</t>
        </is>
      </c>
      <c r="AH250"/>
      <c r="AI250"/>
      <c r="AJ250"/>
      <c r="AK250"/>
      <c r="AL250"/>
      <c r="AM250"/>
      <c r="AN250"/>
      <c r="AO250"/>
      <c r="AP250"/>
      <c r="AQ250"/>
      <c r="AR250"/>
      <c r="AS250"/>
      <c r="AT250"/>
      <c r="AU250"/>
      <c r="AV250"/>
      <c r="AW250"/>
      <c r="AX250" t="inlineStr">
        <is>
          <t>Accumulation</t>
        </is>
      </c>
      <c r="AY250" t="inlineStr">
        <is>
          <t>Residue</t>
        </is>
      </c>
      <c r="AZ250" t="inlineStr">
        <is>
          <t>BAF</t>
        </is>
      </c>
      <c r="BA250"/>
      <c r="BB250" t="n">
        <v>7.46</v>
      </c>
      <c r="BC250"/>
      <c r="BD250"/>
      <c r="BE250"/>
      <c r="BF250"/>
      <c r="BG250"/>
      <c r="BH250"/>
      <c r="BI250" t="inlineStr">
        <is>
          <t>L/kg</t>
        </is>
      </c>
      <c r="BJ250" t="inlineStr">
        <is>
          <t>Whole organism</t>
        </is>
      </c>
      <c r="BK250"/>
      <c r="BL250" t="n">
        <v>7.0</v>
      </c>
      <c r="BM250"/>
      <c r="BN250"/>
      <c r="BO250"/>
      <c r="BP250"/>
      <c r="BQ250" t="inlineStr">
        <is>
          <t>Day(s)</t>
        </is>
      </c>
      <c r="BR250" t="inlineStr">
        <is>
          <t>Awad,J., G. Brunetti, A. Juhasz, M. Williams, D. Navarro, B. Drigo, J. Bougoure, J. Vanderzalm, and S. Beecham</t>
        </is>
      </c>
      <c r="BS250" t="n">
        <v>191324.0</v>
      </c>
      <c r="BT250" t="inlineStr">
        <is>
          <t>Application of Native Plants in Constructed Floating Wetlands as a Passive Remediation Approach for PFAS-Impacted Surface Water</t>
        </is>
      </c>
      <c r="BU250" t="inlineStr">
        <is>
          <t>J. Hazard. Mater.429:11 p.</t>
        </is>
      </c>
      <c r="BV250" t="n">
        <v>2022.0</v>
      </c>
      <c r="BW25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1">
      <c r="A251" t="n">
        <v>2795393.0</v>
      </c>
      <c r="B251" t="inlineStr">
        <is>
          <t>1,1,2,2,3,3,4,4,5,5,6,6,7,7,8,8,8-Heptadecafluoro-1-octanesulfonic acid potassium salt</t>
        </is>
      </c>
      <c r="C251"/>
      <c r="D251" t="inlineStr">
        <is>
          <t>Chemical analysis reported</t>
        </is>
      </c>
      <c r="E251" t="inlineStr">
        <is>
          <t>&gt;=</t>
        </is>
      </c>
      <c r="F251" t="n">
        <v>98.0</v>
      </c>
      <c r="G251"/>
      <c r="H251"/>
      <c r="I251"/>
      <c r="J251"/>
      <c r="K251" t="inlineStr">
        <is>
          <t>Baumea articulata</t>
        </is>
      </c>
      <c r="L251" t="inlineStr">
        <is>
          <t>Jointed Twig-Rush</t>
        </is>
      </c>
      <c r="M251" t="inlineStr">
        <is>
          <t>Flowers, Trees, Shrubs, Ferns</t>
        </is>
      </c>
      <c r="N251"/>
      <c r="O251"/>
      <c r="P251"/>
      <c r="Q251"/>
      <c r="R251"/>
      <c r="S251"/>
      <c r="T251"/>
      <c r="U251"/>
      <c r="V251" t="inlineStr">
        <is>
          <t>Hydroponic</t>
        </is>
      </c>
      <c r="W251" t="inlineStr">
        <is>
          <t>Hydroponic</t>
        </is>
      </c>
      <c r="X251" t="inlineStr">
        <is>
          <t>Lab</t>
        </is>
      </c>
      <c r="Y251" t="n">
        <v>3.0</v>
      </c>
      <c r="Z251" t="inlineStr">
        <is>
          <t>Active ingredient</t>
        </is>
      </c>
      <c r="AA251"/>
      <c r="AB251" t="n">
        <v>30.0</v>
      </c>
      <c r="AC251"/>
      <c r="AD251"/>
      <c r="AE251"/>
      <c r="AF251"/>
      <c r="AG251" t="inlineStr">
        <is>
          <t>ug/L</t>
        </is>
      </c>
      <c r="AH251"/>
      <c r="AI251"/>
      <c r="AJ251"/>
      <c r="AK251"/>
      <c r="AL251"/>
      <c r="AM251"/>
      <c r="AN251"/>
      <c r="AO251"/>
      <c r="AP251"/>
      <c r="AQ251"/>
      <c r="AR251"/>
      <c r="AS251"/>
      <c r="AT251"/>
      <c r="AU251"/>
      <c r="AV251"/>
      <c r="AW251"/>
      <c r="AX251" t="inlineStr">
        <is>
          <t>Accumulation</t>
        </is>
      </c>
      <c r="AY251" t="inlineStr">
        <is>
          <t>Residue</t>
        </is>
      </c>
      <c r="AZ251" t="inlineStr">
        <is>
          <t>BAF</t>
        </is>
      </c>
      <c r="BA251"/>
      <c r="BB251" t="n">
        <v>5.47</v>
      </c>
      <c r="BC251"/>
      <c r="BD251"/>
      <c r="BE251"/>
      <c r="BF251"/>
      <c r="BG251"/>
      <c r="BH251"/>
      <c r="BI251" t="inlineStr">
        <is>
          <t>L/kg</t>
        </is>
      </c>
      <c r="BJ251" t="inlineStr">
        <is>
          <t>Shoot</t>
        </is>
      </c>
      <c r="BK251"/>
      <c r="BL251" t="n">
        <v>14.0</v>
      </c>
      <c r="BM251"/>
      <c r="BN251"/>
      <c r="BO251"/>
      <c r="BP251"/>
      <c r="BQ251" t="inlineStr">
        <is>
          <t>Day(s)</t>
        </is>
      </c>
      <c r="BR251" t="inlineStr">
        <is>
          <t>Awad,J., G. Brunetti, A. Juhasz, M. Williams, D. Navarro, B. Drigo, J. Bougoure, J. Vanderzalm, and S. Beecham</t>
        </is>
      </c>
      <c r="BS251" t="n">
        <v>191324.0</v>
      </c>
      <c r="BT251" t="inlineStr">
        <is>
          <t>Application of Native Plants in Constructed Floating Wetlands as a Passive Remediation Approach for PFAS-Impacted Surface Water</t>
        </is>
      </c>
      <c r="BU251" t="inlineStr">
        <is>
          <t>J. Hazard. Mater.429:11 p.</t>
        </is>
      </c>
      <c r="BV251" t="n">
        <v>2022.0</v>
      </c>
      <c r="BW25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2">
      <c r="A252" t="n">
        <v>2795393.0</v>
      </c>
      <c r="B252" t="inlineStr">
        <is>
          <t>1,1,2,2,3,3,4,4,5,5,6,6,7,7,8,8,8-Heptadecafluoro-1-octanesulfonic acid potassium salt</t>
        </is>
      </c>
      <c r="C252"/>
      <c r="D252" t="inlineStr">
        <is>
          <t>Chemical analysis reported</t>
        </is>
      </c>
      <c r="E252" t="inlineStr">
        <is>
          <t>&gt;=</t>
        </is>
      </c>
      <c r="F252" t="n">
        <v>98.0</v>
      </c>
      <c r="G252"/>
      <c r="H252"/>
      <c r="I252"/>
      <c r="J252"/>
      <c r="K252" t="inlineStr">
        <is>
          <t>Baumea articulata</t>
        </is>
      </c>
      <c r="L252" t="inlineStr">
        <is>
          <t>Jointed Twig-Rush</t>
        </is>
      </c>
      <c r="M252" t="inlineStr">
        <is>
          <t>Flowers, Trees, Shrubs, Ferns</t>
        </is>
      </c>
      <c r="N252"/>
      <c r="O252"/>
      <c r="P252"/>
      <c r="Q252"/>
      <c r="R252"/>
      <c r="S252"/>
      <c r="T252"/>
      <c r="U252"/>
      <c r="V252" t="inlineStr">
        <is>
          <t>Hydroponic</t>
        </is>
      </c>
      <c r="W252" t="inlineStr">
        <is>
          <t>Hydroponic</t>
        </is>
      </c>
      <c r="X252" t="inlineStr">
        <is>
          <t>Lab</t>
        </is>
      </c>
      <c r="Y252" t="n">
        <v>3.0</v>
      </c>
      <c r="Z252" t="inlineStr">
        <is>
          <t>Active ingredient</t>
        </is>
      </c>
      <c r="AA252"/>
      <c r="AB252" t="n">
        <v>10.0</v>
      </c>
      <c r="AC252"/>
      <c r="AD252"/>
      <c r="AE252"/>
      <c r="AF252"/>
      <c r="AG252" t="inlineStr">
        <is>
          <t>ug/L</t>
        </is>
      </c>
      <c r="AH252"/>
      <c r="AI252"/>
      <c r="AJ252"/>
      <c r="AK252"/>
      <c r="AL252"/>
      <c r="AM252"/>
      <c r="AN252"/>
      <c r="AO252"/>
      <c r="AP252"/>
      <c r="AQ252"/>
      <c r="AR252"/>
      <c r="AS252"/>
      <c r="AT252"/>
      <c r="AU252"/>
      <c r="AV252"/>
      <c r="AW252"/>
      <c r="AX252" t="inlineStr">
        <is>
          <t>Accumulation</t>
        </is>
      </c>
      <c r="AY252" t="inlineStr">
        <is>
          <t>Residue</t>
        </is>
      </c>
      <c r="AZ252" t="inlineStr">
        <is>
          <t>BAF</t>
        </is>
      </c>
      <c r="BA252"/>
      <c r="BB252" t="n">
        <v>8.5</v>
      </c>
      <c r="BC252"/>
      <c r="BD252"/>
      <c r="BE252"/>
      <c r="BF252"/>
      <c r="BG252"/>
      <c r="BH252"/>
      <c r="BI252" t="inlineStr">
        <is>
          <t>L/kg</t>
        </is>
      </c>
      <c r="BJ252" t="inlineStr">
        <is>
          <t>Whole organism</t>
        </is>
      </c>
      <c r="BK252"/>
      <c r="BL252" t="n">
        <v>28.0</v>
      </c>
      <c r="BM252"/>
      <c r="BN252"/>
      <c r="BO252"/>
      <c r="BP252"/>
      <c r="BQ252" t="inlineStr">
        <is>
          <t>Day(s)</t>
        </is>
      </c>
      <c r="BR252" t="inlineStr">
        <is>
          <t>Awad,J., G. Brunetti, A. Juhasz, M. Williams, D. Navarro, B. Drigo, J. Bougoure, J. Vanderzalm, and S. Beecham</t>
        </is>
      </c>
      <c r="BS252" t="n">
        <v>191324.0</v>
      </c>
      <c r="BT252" t="inlineStr">
        <is>
          <t>Application of Native Plants in Constructed Floating Wetlands as a Passive Remediation Approach for PFAS-Impacted Surface Water</t>
        </is>
      </c>
      <c r="BU252" t="inlineStr">
        <is>
          <t>J. Hazard. Mater.429:11 p.</t>
        </is>
      </c>
      <c r="BV252" t="n">
        <v>2022.0</v>
      </c>
      <c r="BW25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3">
      <c r="A253" t="n">
        <v>2795393.0</v>
      </c>
      <c r="B253" t="inlineStr">
        <is>
          <t>1,1,2,2,3,3,4,4,5,5,6,6,7,7,8,8,8-Heptadecafluoro-1-octanesulfonic acid potassium salt</t>
        </is>
      </c>
      <c r="C253"/>
      <c r="D253" t="inlineStr">
        <is>
          <t>Chemical analysis reported</t>
        </is>
      </c>
      <c r="E253" t="inlineStr">
        <is>
          <t>&gt;=</t>
        </is>
      </c>
      <c r="F253" t="n">
        <v>98.0</v>
      </c>
      <c r="G253"/>
      <c r="H253"/>
      <c r="I253"/>
      <c r="J253"/>
      <c r="K253" t="inlineStr">
        <is>
          <t>Baumea articulata</t>
        </is>
      </c>
      <c r="L253" t="inlineStr">
        <is>
          <t>Jointed Twig-Rush</t>
        </is>
      </c>
      <c r="M253" t="inlineStr">
        <is>
          <t>Flowers, Trees, Shrubs, Ferns</t>
        </is>
      </c>
      <c r="N253"/>
      <c r="O253"/>
      <c r="P253"/>
      <c r="Q253"/>
      <c r="R253"/>
      <c r="S253"/>
      <c r="T253"/>
      <c r="U253"/>
      <c r="V253" t="inlineStr">
        <is>
          <t>Hydroponic</t>
        </is>
      </c>
      <c r="W253" t="inlineStr">
        <is>
          <t>Hydroponic</t>
        </is>
      </c>
      <c r="X253" t="inlineStr">
        <is>
          <t>Lab</t>
        </is>
      </c>
      <c r="Y253" t="n">
        <v>3.0</v>
      </c>
      <c r="Z253" t="inlineStr">
        <is>
          <t>Active ingredient</t>
        </is>
      </c>
      <c r="AA253"/>
      <c r="AB253" t="n">
        <v>10.0</v>
      </c>
      <c r="AC253"/>
      <c r="AD253"/>
      <c r="AE253"/>
      <c r="AF253"/>
      <c r="AG253" t="inlineStr">
        <is>
          <t>ug/L</t>
        </is>
      </c>
      <c r="AH253"/>
      <c r="AI253"/>
      <c r="AJ253"/>
      <c r="AK253"/>
      <c r="AL253"/>
      <c r="AM253"/>
      <c r="AN253"/>
      <c r="AO253"/>
      <c r="AP253"/>
      <c r="AQ253"/>
      <c r="AR253"/>
      <c r="AS253"/>
      <c r="AT253"/>
      <c r="AU253"/>
      <c r="AV253"/>
      <c r="AW253"/>
      <c r="AX253" t="inlineStr">
        <is>
          <t>Accumulation</t>
        </is>
      </c>
      <c r="AY253" t="inlineStr">
        <is>
          <t>Residue</t>
        </is>
      </c>
      <c r="AZ253" t="inlineStr">
        <is>
          <t>BAF</t>
        </is>
      </c>
      <c r="BA253"/>
      <c r="BB253" t="n">
        <v>4.1</v>
      </c>
      <c r="BC253"/>
      <c r="BD253"/>
      <c r="BE253"/>
      <c r="BF253"/>
      <c r="BG253"/>
      <c r="BH253"/>
      <c r="BI253" t="inlineStr">
        <is>
          <t>L/kg</t>
        </is>
      </c>
      <c r="BJ253" t="inlineStr">
        <is>
          <t>Shoot</t>
        </is>
      </c>
      <c r="BK253"/>
      <c r="BL253" t="n">
        <v>7.0</v>
      </c>
      <c r="BM253"/>
      <c r="BN253"/>
      <c r="BO253"/>
      <c r="BP253"/>
      <c r="BQ253" t="inlineStr">
        <is>
          <t>Day(s)</t>
        </is>
      </c>
      <c r="BR253" t="inlineStr">
        <is>
          <t>Awad,J., G. Brunetti, A. Juhasz, M. Williams, D. Navarro, B. Drigo, J. Bougoure, J. Vanderzalm, and S. Beecham</t>
        </is>
      </c>
      <c r="BS253" t="n">
        <v>191324.0</v>
      </c>
      <c r="BT253" t="inlineStr">
        <is>
          <t>Application of Native Plants in Constructed Floating Wetlands as a Passive Remediation Approach for PFAS-Impacted Surface Water</t>
        </is>
      </c>
      <c r="BU253" t="inlineStr">
        <is>
          <t>J. Hazard. Mater.429:11 p.</t>
        </is>
      </c>
      <c r="BV253" t="n">
        <v>2022.0</v>
      </c>
      <c r="BW25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4">
      <c r="A254" t="n">
        <v>2795393.0</v>
      </c>
      <c r="B254" t="inlineStr">
        <is>
          <t>1,1,2,2,3,3,4,4,5,5,6,6,7,7,8,8,8-Heptadecafluoro-1-octanesulfonic acid potassium salt</t>
        </is>
      </c>
      <c r="C254"/>
      <c r="D254" t="inlineStr">
        <is>
          <t>Chemical analysis reported</t>
        </is>
      </c>
      <c r="E254" t="inlineStr">
        <is>
          <t>&gt;=</t>
        </is>
      </c>
      <c r="F254" t="n">
        <v>98.0</v>
      </c>
      <c r="G254"/>
      <c r="H254"/>
      <c r="I254"/>
      <c r="J254"/>
      <c r="K254" t="inlineStr">
        <is>
          <t>Baumea articulata</t>
        </is>
      </c>
      <c r="L254" t="inlineStr">
        <is>
          <t>Jointed Twig-Rush</t>
        </is>
      </c>
      <c r="M254" t="inlineStr">
        <is>
          <t>Flowers, Trees, Shrubs, Ferns</t>
        </is>
      </c>
      <c r="N254"/>
      <c r="O254"/>
      <c r="P254"/>
      <c r="Q254"/>
      <c r="R254"/>
      <c r="S254"/>
      <c r="T254"/>
      <c r="U254"/>
      <c r="V254" t="inlineStr">
        <is>
          <t>Hydroponic</t>
        </is>
      </c>
      <c r="W254" t="inlineStr">
        <is>
          <t>Hydroponic</t>
        </is>
      </c>
      <c r="X254" t="inlineStr">
        <is>
          <t>Lab</t>
        </is>
      </c>
      <c r="Y254" t="n">
        <v>3.0</v>
      </c>
      <c r="Z254" t="inlineStr">
        <is>
          <t>Active ingredient</t>
        </is>
      </c>
      <c r="AA254"/>
      <c r="AB254" t="n">
        <v>30.0</v>
      </c>
      <c r="AC254"/>
      <c r="AD254"/>
      <c r="AE254"/>
      <c r="AF254"/>
      <c r="AG254" t="inlineStr">
        <is>
          <t>ug/L</t>
        </is>
      </c>
      <c r="AH254"/>
      <c r="AI254"/>
      <c r="AJ254"/>
      <c r="AK254"/>
      <c r="AL254"/>
      <c r="AM254"/>
      <c r="AN254"/>
      <c r="AO254"/>
      <c r="AP254"/>
      <c r="AQ254"/>
      <c r="AR254"/>
      <c r="AS254"/>
      <c r="AT254"/>
      <c r="AU254"/>
      <c r="AV254"/>
      <c r="AW254"/>
      <c r="AX254" t="inlineStr">
        <is>
          <t>Accumulation</t>
        </is>
      </c>
      <c r="AY254" t="inlineStr">
        <is>
          <t>Residue</t>
        </is>
      </c>
      <c r="AZ254" t="inlineStr">
        <is>
          <t>BAF</t>
        </is>
      </c>
      <c r="BA254"/>
      <c r="BB254" t="n">
        <v>8.38</v>
      </c>
      <c r="BC254"/>
      <c r="BD254"/>
      <c r="BE254"/>
      <c r="BF254"/>
      <c r="BG254"/>
      <c r="BH254"/>
      <c r="BI254" t="inlineStr">
        <is>
          <t>L/kg</t>
        </is>
      </c>
      <c r="BJ254" t="inlineStr">
        <is>
          <t>Whole organism</t>
        </is>
      </c>
      <c r="BK254"/>
      <c r="BL254" t="n">
        <v>14.0</v>
      </c>
      <c r="BM254"/>
      <c r="BN254"/>
      <c r="BO254"/>
      <c r="BP254"/>
      <c r="BQ254" t="inlineStr">
        <is>
          <t>Day(s)</t>
        </is>
      </c>
      <c r="BR254" t="inlineStr">
        <is>
          <t>Awad,J., G. Brunetti, A. Juhasz, M. Williams, D. Navarro, B. Drigo, J. Bougoure, J. Vanderzalm, and S. Beecham</t>
        </is>
      </c>
      <c r="BS254" t="n">
        <v>191324.0</v>
      </c>
      <c r="BT254" t="inlineStr">
        <is>
          <t>Application of Native Plants in Constructed Floating Wetlands as a Passive Remediation Approach for PFAS-Impacted Surface Water</t>
        </is>
      </c>
      <c r="BU254" t="inlineStr">
        <is>
          <t>J. Hazard. Mater.429:11 p.</t>
        </is>
      </c>
      <c r="BV254" t="n">
        <v>2022.0</v>
      </c>
      <c r="BW25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5">
      <c r="A255" t="n">
        <v>2795393.0</v>
      </c>
      <c r="B255" t="inlineStr">
        <is>
          <t>1,1,2,2,3,3,4,4,5,5,6,6,7,7,8,8,8-Heptadecafluoro-1-octanesulfonic acid potassium salt</t>
        </is>
      </c>
      <c r="C255"/>
      <c r="D255" t="inlineStr">
        <is>
          <t>Chemical analysis reported</t>
        </is>
      </c>
      <c r="E255" t="inlineStr">
        <is>
          <t>&gt;=</t>
        </is>
      </c>
      <c r="F255" t="n">
        <v>98.0</v>
      </c>
      <c r="G255"/>
      <c r="H255"/>
      <c r="I255"/>
      <c r="J255"/>
      <c r="K255" t="inlineStr">
        <is>
          <t>Baumea articulata</t>
        </is>
      </c>
      <c r="L255" t="inlineStr">
        <is>
          <t>Jointed Twig-Rush</t>
        </is>
      </c>
      <c r="M255" t="inlineStr">
        <is>
          <t>Flowers, Trees, Shrubs, Ferns</t>
        </is>
      </c>
      <c r="N255"/>
      <c r="O255"/>
      <c r="P255"/>
      <c r="Q255"/>
      <c r="R255"/>
      <c r="S255"/>
      <c r="T255"/>
      <c r="U255"/>
      <c r="V255" t="inlineStr">
        <is>
          <t>Hydroponic</t>
        </is>
      </c>
      <c r="W255" t="inlineStr">
        <is>
          <t>Hydroponic</t>
        </is>
      </c>
      <c r="X255" t="inlineStr">
        <is>
          <t>Lab</t>
        </is>
      </c>
      <c r="Y255" t="n">
        <v>3.0</v>
      </c>
      <c r="Z255" t="inlineStr">
        <is>
          <t>Active ingredient</t>
        </is>
      </c>
      <c r="AA255"/>
      <c r="AB255" t="n">
        <v>30.0</v>
      </c>
      <c r="AC255"/>
      <c r="AD255"/>
      <c r="AE255"/>
      <c r="AF255"/>
      <c r="AG255" t="inlineStr">
        <is>
          <t>ug/L</t>
        </is>
      </c>
      <c r="AH255"/>
      <c r="AI255"/>
      <c r="AJ255"/>
      <c r="AK255"/>
      <c r="AL255"/>
      <c r="AM255"/>
      <c r="AN255"/>
      <c r="AO255"/>
      <c r="AP255"/>
      <c r="AQ255"/>
      <c r="AR255"/>
      <c r="AS255"/>
      <c r="AT255"/>
      <c r="AU255"/>
      <c r="AV255"/>
      <c r="AW255"/>
      <c r="AX255" t="inlineStr">
        <is>
          <t>Accumulation</t>
        </is>
      </c>
      <c r="AY255" t="inlineStr">
        <is>
          <t>Residue</t>
        </is>
      </c>
      <c r="AZ255" t="inlineStr">
        <is>
          <t>BAF</t>
        </is>
      </c>
      <c r="BA255"/>
      <c r="BB255" t="n">
        <v>14.99</v>
      </c>
      <c r="BC255"/>
      <c r="BD255"/>
      <c r="BE255"/>
      <c r="BF255"/>
      <c r="BG255"/>
      <c r="BH255"/>
      <c r="BI255" t="inlineStr">
        <is>
          <t>L/kg</t>
        </is>
      </c>
      <c r="BJ255" t="inlineStr">
        <is>
          <t>Root</t>
        </is>
      </c>
      <c r="BK255"/>
      <c r="BL255" t="n">
        <v>7.0</v>
      </c>
      <c r="BM255"/>
      <c r="BN255"/>
      <c r="BO255"/>
      <c r="BP255"/>
      <c r="BQ255" t="inlineStr">
        <is>
          <t>Day(s)</t>
        </is>
      </c>
      <c r="BR255" t="inlineStr">
        <is>
          <t>Awad,J., G. Brunetti, A. Juhasz, M. Williams, D. Navarro, B. Drigo, J. Bougoure, J. Vanderzalm, and S. Beecham</t>
        </is>
      </c>
      <c r="BS255" t="n">
        <v>191324.0</v>
      </c>
      <c r="BT255" t="inlineStr">
        <is>
          <t>Application of Native Plants in Constructed Floating Wetlands as a Passive Remediation Approach for PFAS-Impacted Surface Water</t>
        </is>
      </c>
      <c r="BU255" t="inlineStr">
        <is>
          <t>J. Hazard. Mater.429:11 p.</t>
        </is>
      </c>
      <c r="BV255" t="n">
        <v>2022.0</v>
      </c>
      <c r="BW25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6">
      <c r="A256" t="n">
        <v>2795393.0</v>
      </c>
      <c r="B256" t="inlineStr">
        <is>
          <t>1,1,2,2,3,3,4,4,5,5,6,6,7,7,8,8,8-Heptadecafluoro-1-octanesulfonic acid potassium salt</t>
        </is>
      </c>
      <c r="C256"/>
      <c r="D256" t="inlineStr">
        <is>
          <t>Chemical analysis reported</t>
        </is>
      </c>
      <c r="E256" t="inlineStr">
        <is>
          <t>&gt;=</t>
        </is>
      </c>
      <c r="F256" t="n">
        <v>98.0</v>
      </c>
      <c r="G256"/>
      <c r="H256"/>
      <c r="I256"/>
      <c r="J256"/>
      <c r="K256" t="inlineStr">
        <is>
          <t>Baumea articulata</t>
        </is>
      </c>
      <c r="L256" t="inlineStr">
        <is>
          <t>Jointed Twig-Rush</t>
        </is>
      </c>
      <c r="M256" t="inlineStr">
        <is>
          <t>Flowers, Trees, Shrubs, Ferns</t>
        </is>
      </c>
      <c r="N256"/>
      <c r="O256"/>
      <c r="P256"/>
      <c r="Q256"/>
      <c r="R256"/>
      <c r="S256"/>
      <c r="T256"/>
      <c r="U256"/>
      <c r="V256" t="inlineStr">
        <is>
          <t>Hydroponic</t>
        </is>
      </c>
      <c r="W256" t="inlineStr">
        <is>
          <t>Hydroponic</t>
        </is>
      </c>
      <c r="X256" t="inlineStr">
        <is>
          <t>Lab</t>
        </is>
      </c>
      <c r="Y256" t="n">
        <v>3.0</v>
      </c>
      <c r="Z256" t="inlineStr">
        <is>
          <t>Active ingredient</t>
        </is>
      </c>
      <c r="AA256"/>
      <c r="AB256" t="n">
        <v>10.0</v>
      </c>
      <c r="AC256"/>
      <c r="AD256"/>
      <c r="AE256"/>
      <c r="AF256"/>
      <c r="AG256" t="inlineStr">
        <is>
          <t>ug/L</t>
        </is>
      </c>
      <c r="AH256"/>
      <c r="AI256"/>
      <c r="AJ256"/>
      <c r="AK256"/>
      <c r="AL256"/>
      <c r="AM256"/>
      <c r="AN256"/>
      <c r="AO256"/>
      <c r="AP256"/>
      <c r="AQ256"/>
      <c r="AR256"/>
      <c r="AS256"/>
      <c r="AT256"/>
      <c r="AU256"/>
      <c r="AV256"/>
      <c r="AW256"/>
      <c r="AX256" t="inlineStr">
        <is>
          <t>Accumulation</t>
        </is>
      </c>
      <c r="AY256" t="inlineStr">
        <is>
          <t>Residue</t>
        </is>
      </c>
      <c r="AZ256" t="inlineStr">
        <is>
          <t>BAF</t>
        </is>
      </c>
      <c r="BA256"/>
      <c r="BB256" t="n">
        <v>10.0</v>
      </c>
      <c r="BC256"/>
      <c r="BD256"/>
      <c r="BE256"/>
      <c r="BF256"/>
      <c r="BG256"/>
      <c r="BH256"/>
      <c r="BI256" t="inlineStr">
        <is>
          <t>L/kg</t>
        </is>
      </c>
      <c r="BJ256" t="inlineStr">
        <is>
          <t>Root</t>
        </is>
      </c>
      <c r="BK256"/>
      <c r="BL256" t="n">
        <v>4.0</v>
      </c>
      <c r="BM256"/>
      <c r="BN256"/>
      <c r="BO256"/>
      <c r="BP256"/>
      <c r="BQ256" t="inlineStr">
        <is>
          <t>Day(s)</t>
        </is>
      </c>
      <c r="BR256" t="inlineStr">
        <is>
          <t>Awad,J., G. Brunetti, A. Juhasz, M. Williams, D. Navarro, B. Drigo, J. Bougoure, J. Vanderzalm, and S. Beecham</t>
        </is>
      </c>
      <c r="BS256" t="n">
        <v>191324.0</v>
      </c>
      <c r="BT256" t="inlineStr">
        <is>
          <t>Application of Native Plants in Constructed Floating Wetlands as a Passive Remediation Approach for PFAS-Impacted Surface Water</t>
        </is>
      </c>
      <c r="BU256" t="inlineStr">
        <is>
          <t>J. Hazard. Mater.429:11 p.</t>
        </is>
      </c>
      <c r="BV256" t="n">
        <v>2022.0</v>
      </c>
      <c r="BW25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7">
      <c r="A257" t="n">
        <v>2795393.0</v>
      </c>
      <c r="B257" t="inlineStr">
        <is>
          <t>1,1,2,2,3,3,4,4,5,5,6,6,7,7,8,8,8-Heptadecafluoro-1-octanesulfonic acid potassium salt</t>
        </is>
      </c>
      <c r="C257"/>
      <c r="D257" t="inlineStr">
        <is>
          <t>Chemical analysis reported</t>
        </is>
      </c>
      <c r="E257" t="inlineStr">
        <is>
          <t>&gt;=</t>
        </is>
      </c>
      <c r="F257" t="n">
        <v>98.0</v>
      </c>
      <c r="G257"/>
      <c r="H257"/>
      <c r="I257"/>
      <c r="J257"/>
      <c r="K257" t="inlineStr">
        <is>
          <t>Baumea articulata</t>
        </is>
      </c>
      <c r="L257" t="inlineStr">
        <is>
          <t>Jointed Twig-Rush</t>
        </is>
      </c>
      <c r="M257" t="inlineStr">
        <is>
          <t>Flowers, Trees, Shrubs, Ferns</t>
        </is>
      </c>
      <c r="N257"/>
      <c r="O257"/>
      <c r="P257"/>
      <c r="Q257"/>
      <c r="R257"/>
      <c r="S257"/>
      <c r="T257"/>
      <c r="U257"/>
      <c r="V257" t="inlineStr">
        <is>
          <t>Hydroponic</t>
        </is>
      </c>
      <c r="W257" t="inlineStr">
        <is>
          <t>Hydroponic</t>
        </is>
      </c>
      <c r="X257" t="inlineStr">
        <is>
          <t>Lab</t>
        </is>
      </c>
      <c r="Y257" t="n">
        <v>3.0</v>
      </c>
      <c r="Z257" t="inlineStr">
        <is>
          <t>Active ingredient</t>
        </is>
      </c>
      <c r="AA257"/>
      <c r="AB257" t="n">
        <v>10.0</v>
      </c>
      <c r="AC257"/>
      <c r="AD257"/>
      <c r="AE257"/>
      <c r="AF257"/>
      <c r="AG257" t="inlineStr">
        <is>
          <t>ug/L</t>
        </is>
      </c>
      <c r="AH257"/>
      <c r="AI257"/>
      <c r="AJ257"/>
      <c r="AK257"/>
      <c r="AL257"/>
      <c r="AM257"/>
      <c r="AN257"/>
      <c r="AO257"/>
      <c r="AP257"/>
      <c r="AQ257"/>
      <c r="AR257"/>
      <c r="AS257"/>
      <c r="AT257"/>
      <c r="AU257"/>
      <c r="AV257"/>
      <c r="AW257"/>
      <c r="AX257" t="inlineStr">
        <is>
          <t>Accumulation</t>
        </is>
      </c>
      <c r="AY257" t="inlineStr">
        <is>
          <t>Residue</t>
        </is>
      </c>
      <c r="AZ257" t="inlineStr">
        <is>
          <t>BAF</t>
        </is>
      </c>
      <c r="BA257"/>
      <c r="BB257" t="n">
        <v>7.2</v>
      </c>
      <c r="BC257"/>
      <c r="BD257"/>
      <c r="BE257"/>
      <c r="BF257"/>
      <c r="BG257"/>
      <c r="BH257"/>
      <c r="BI257" t="inlineStr">
        <is>
          <t>L/kg</t>
        </is>
      </c>
      <c r="BJ257" t="inlineStr">
        <is>
          <t>Shoot</t>
        </is>
      </c>
      <c r="BK257"/>
      <c r="BL257" t="n">
        <v>28.0</v>
      </c>
      <c r="BM257"/>
      <c r="BN257"/>
      <c r="BO257"/>
      <c r="BP257"/>
      <c r="BQ257" t="inlineStr">
        <is>
          <t>Day(s)</t>
        </is>
      </c>
      <c r="BR257" t="inlineStr">
        <is>
          <t>Awad,J., G. Brunetti, A. Juhasz, M. Williams, D. Navarro, B. Drigo, J. Bougoure, J. Vanderzalm, and S. Beecham</t>
        </is>
      </c>
      <c r="BS257" t="n">
        <v>191324.0</v>
      </c>
      <c r="BT257" t="inlineStr">
        <is>
          <t>Application of Native Plants in Constructed Floating Wetlands as a Passive Remediation Approach for PFAS-Impacted Surface Water</t>
        </is>
      </c>
      <c r="BU257" t="inlineStr">
        <is>
          <t>J. Hazard. Mater.429:11 p.</t>
        </is>
      </c>
      <c r="BV257" t="n">
        <v>2022.0</v>
      </c>
      <c r="BW25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8">
      <c r="A258" t="n">
        <v>2795393.0</v>
      </c>
      <c r="B258" t="inlineStr">
        <is>
          <t>1,1,2,2,3,3,4,4,5,5,6,6,7,7,8,8,8-Heptadecafluoro-1-octanesulfonic acid potassium salt</t>
        </is>
      </c>
      <c r="C258"/>
      <c r="D258" t="inlineStr">
        <is>
          <t>Chemical analysis reported</t>
        </is>
      </c>
      <c r="E258" t="inlineStr">
        <is>
          <t>&gt;=</t>
        </is>
      </c>
      <c r="F258" t="n">
        <v>98.0</v>
      </c>
      <c r="G258"/>
      <c r="H258"/>
      <c r="I258"/>
      <c r="J258"/>
      <c r="K258" t="inlineStr">
        <is>
          <t>Baumea articulata</t>
        </is>
      </c>
      <c r="L258" t="inlineStr">
        <is>
          <t>Jointed Twig-Rush</t>
        </is>
      </c>
      <c r="M258" t="inlineStr">
        <is>
          <t>Flowers, Trees, Shrubs, Ferns</t>
        </is>
      </c>
      <c r="N258"/>
      <c r="O258"/>
      <c r="P258"/>
      <c r="Q258"/>
      <c r="R258"/>
      <c r="S258"/>
      <c r="T258"/>
      <c r="U258"/>
      <c r="V258" t="inlineStr">
        <is>
          <t>Hydroponic</t>
        </is>
      </c>
      <c r="W258" t="inlineStr">
        <is>
          <t>Hydroponic</t>
        </is>
      </c>
      <c r="X258" t="inlineStr">
        <is>
          <t>Lab</t>
        </is>
      </c>
      <c r="Y258" t="n">
        <v>3.0</v>
      </c>
      <c r="Z258" t="inlineStr">
        <is>
          <t>Active ingredient</t>
        </is>
      </c>
      <c r="AA258"/>
      <c r="AB258" t="n">
        <v>30.0</v>
      </c>
      <c r="AC258"/>
      <c r="AD258"/>
      <c r="AE258"/>
      <c r="AF258"/>
      <c r="AG258" t="inlineStr">
        <is>
          <t>ug/L</t>
        </is>
      </c>
      <c r="AH258"/>
      <c r="AI258"/>
      <c r="AJ258"/>
      <c r="AK258"/>
      <c r="AL258"/>
      <c r="AM258"/>
      <c r="AN258"/>
      <c r="AO258"/>
      <c r="AP258"/>
      <c r="AQ258"/>
      <c r="AR258"/>
      <c r="AS258"/>
      <c r="AT258"/>
      <c r="AU258"/>
      <c r="AV258"/>
      <c r="AW258"/>
      <c r="AX258" t="inlineStr">
        <is>
          <t>Accumulation</t>
        </is>
      </c>
      <c r="AY258" t="inlineStr">
        <is>
          <t>Residue</t>
        </is>
      </c>
      <c r="AZ258" t="inlineStr">
        <is>
          <t>BAF</t>
        </is>
      </c>
      <c r="BA258"/>
      <c r="BB258" t="n">
        <v>10.95</v>
      </c>
      <c r="BC258"/>
      <c r="BD258"/>
      <c r="BE258"/>
      <c r="BF258"/>
      <c r="BG258"/>
      <c r="BH258"/>
      <c r="BI258" t="inlineStr">
        <is>
          <t>L/kg</t>
        </is>
      </c>
      <c r="BJ258" t="inlineStr">
        <is>
          <t>Root</t>
        </is>
      </c>
      <c r="BK258"/>
      <c r="BL258" t="n">
        <v>1.0</v>
      </c>
      <c r="BM258"/>
      <c r="BN258"/>
      <c r="BO258"/>
      <c r="BP258"/>
      <c r="BQ258" t="inlineStr">
        <is>
          <t>Day(s)</t>
        </is>
      </c>
      <c r="BR258" t="inlineStr">
        <is>
          <t>Awad,J., G. Brunetti, A. Juhasz, M. Williams, D. Navarro, B. Drigo, J. Bougoure, J. Vanderzalm, and S. Beecham</t>
        </is>
      </c>
      <c r="BS258" t="n">
        <v>191324.0</v>
      </c>
      <c r="BT258" t="inlineStr">
        <is>
          <t>Application of Native Plants in Constructed Floating Wetlands as a Passive Remediation Approach for PFAS-Impacted Surface Water</t>
        </is>
      </c>
      <c r="BU258" t="inlineStr">
        <is>
          <t>J. Hazard. Mater.429:11 p.</t>
        </is>
      </c>
      <c r="BV258" t="n">
        <v>2022.0</v>
      </c>
      <c r="BW25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9">
      <c r="A259" t="n">
        <v>2795393.0</v>
      </c>
      <c r="B259" t="inlineStr">
        <is>
          <t>1,1,2,2,3,3,4,4,5,5,6,6,7,7,8,8,8-Heptadecafluoro-1-octanesulfonic acid potassium salt</t>
        </is>
      </c>
      <c r="C259"/>
      <c r="D259" t="inlineStr">
        <is>
          <t>Chemical analysis reported</t>
        </is>
      </c>
      <c r="E259" t="inlineStr">
        <is>
          <t>&gt;=</t>
        </is>
      </c>
      <c r="F259" t="n">
        <v>98.0</v>
      </c>
      <c r="G259"/>
      <c r="H259"/>
      <c r="I259"/>
      <c r="J259"/>
      <c r="K259" t="inlineStr">
        <is>
          <t>Baumea articulata</t>
        </is>
      </c>
      <c r="L259" t="inlineStr">
        <is>
          <t>Jointed Twig-Rush</t>
        </is>
      </c>
      <c r="M259" t="inlineStr">
        <is>
          <t>Flowers, Trees, Shrubs, Ferns</t>
        </is>
      </c>
      <c r="N259"/>
      <c r="O259"/>
      <c r="P259"/>
      <c r="Q259"/>
      <c r="R259"/>
      <c r="S259"/>
      <c r="T259"/>
      <c r="U259"/>
      <c r="V259" t="inlineStr">
        <is>
          <t>Hydroponic</t>
        </is>
      </c>
      <c r="W259" t="inlineStr">
        <is>
          <t>Hydroponic</t>
        </is>
      </c>
      <c r="X259" t="inlineStr">
        <is>
          <t>Lab</t>
        </is>
      </c>
      <c r="Y259" t="n">
        <v>3.0</v>
      </c>
      <c r="Z259" t="inlineStr">
        <is>
          <t>Active ingredient</t>
        </is>
      </c>
      <c r="AA259"/>
      <c r="AB259" t="n">
        <v>10.0</v>
      </c>
      <c r="AC259"/>
      <c r="AD259"/>
      <c r="AE259"/>
      <c r="AF259"/>
      <c r="AG259" t="inlineStr">
        <is>
          <t>ug/L</t>
        </is>
      </c>
      <c r="AH259"/>
      <c r="AI259"/>
      <c r="AJ259"/>
      <c r="AK259"/>
      <c r="AL259"/>
      <c r="AM259"/>
      <c r="AN259"/>
      <c r="AO259"/>
      <c r="AP259"/>
      <c r="AQ259"/>
      <c r="AR259"/>
      <c r="AS259"/>
      <c r="AT259"/>
      <c r="AU259"/>
      <c r="AV259"/>
      <c r="AW259"/>
      <c r="AX259" t="inlineStr">
        <is>
          <t>Accumulation</t>
        </is>
      </c>
      <c r="AY259" t="inlineStr">
        <is>
          <t>Residue</t>
        </is>
      </c>
      <c r="AZ259" t="inlineStr">
        <is>
          <t>BAF</t>
        </is>
      </c>
      <c r="BA259"/>
      <c r="BB259" t="n">
        <v>6.5</v>
      </c>
      <c r="BC259"/>
      <c r="BD259"/>
      <c r="BE259"/>
      <c r="BF259"/>
      <c r="BG259"/>
      <c r="BH259"/>
      <c r="BI259" t="inlineStr">
        <is>
          <t>L/kg</t>
        </is>
      </c>
      <c r="BJ259" t="inlineStr">
        <is>
          <t>Shoot</t>
        </is>
      </c>
      <c r="BK259"/>
      <c r="BL259" t="n">
        <v>14.0</v>
      </c>
      <c r="BM259"/>
      <c r="BN259"/>
      <c r="BO259"/>
      <c r="BP259"/>
      <c r="BQ259" t="inlineStr">
        <is>
          <t>Day(s)</t>
        </is>
      </c>
      <c r="BR259" t="inlineStr">
        <is>
          <t>Awad,J., G. Brunetti, A. Juhasz, M. Williams, D. Navarro, B. Drigo, J. Bougoure, J. Vanderzalm, and S. Beecham</t>
        </is>
      </c>
      <c r="BS259" t="n">
        <v>191324.0</v>
      </c>
      <c r="BT259" t="inlineStr">
        <is>
          <t>Application of Native Plants in Constructed Floating Wetlands as a Passive Remediation Approach for PFAS-Impacted Surface Water</t>
        </is>
      </c>
      <c r="BU259" t="inlineStr">
        <is>
          <t>J. Hazard. Mater.429:11 p.</t>
        </is>
      </c>
      <c r="BV259" t="n">
        <v>2022.0</v>
      </c>
      <c r="BW25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0">
      <c r="A260" t="n">
        <v>2795393.0</v>
      </c>
      <c r="B260" t="inlineStr">
        <is>
          <t>1,1,2,2,3,3,4,4,5,5,6,6,7,7,8,8,8-Heptadecafluoro-1-octanesulfonic acid potassium salt</t>
        </is>
      </c>
      <c r="C260"/>
      <c r="D260" t="inlineStr">
        <is>
          <t>Chemical analysis reported</t>
        </is>
      </c>
      <c r="E260" t="inlineStr">
        <is>
          <t>&gt;=</t>
        </is>
      </c>
      <c r="F260" t="n">
        <v>98.0</v>
      </c>
      <c r="G260"/>
      <c r="H260"/>
      <c r="I260"/>
      <c r="J260"/>
      <c r="K260" t="inlineStr">
        <is>
          <t>Baumea articulata</t>
        </is>
      </c>
      <c r="L260" t="inlineStr">
        <is>
          <t>Jointed Twig-Rush</t>
        </is>
      </c>
      <c r="M260" t="inlineStr">
        <is>
          <t>Flowers, Trees, Shrubs, Ferns</t>
        </is>
      </c>
      <c r="N260"/>
      <c r="O260"/>
      <c r="P260"/>
      <c r="Q260"/>
      <c r="R260"/>
      <c r="S260"/>
      <c r="T260"/>
      <c r="U260"/>
      <c r="V260" t="inlineStr">
        <is>
          <t>Hydroponic</t>
        </is>
      </c>
      <c r="W260" t="inlineStr">
        <is>
          <t>Hydroponic</t>
        </is>
      </c>
      <c r="X260" t="inlineStr">
        <is>
          <t>Lab</t>
        </is>
      </c>
      <c r="Y260" t="n">
        <v>3.0</v>
      </c>
      <c r="Z260" t="inlineStr">
        <is>
          <t>Active ingredient</t>
        </is>
      </c>
      <c r="AA260"/>
      <c r="AB260" t="n">
        <v>30.0</v>
      </c>
      <c r="AC260"/>
      <c r="AD260"/>
      <c r="AE260"/>
      <c r="AF260"/>
      <c r="AG260" t="inlineStr">
        <is>
          <t>ug/L</t>
        </is>
      </c>
      <c r="AH260"/>
      <c r="AI260"/>
      <c r="AJ260"/>
      <c r="AK260"/>
      <c r="AL260"/>
      <c r="AM260"/>
      <c r="AN260"/>
      <c r="AO260"/>
      <c r="AP260"/>
      <c r="AQ260"/>
      <c r="AR260"/>
      <c r="AS260"/>
      <c r="AT260"/>
      <c r="AU260"/>
      <c r="AV260"/>
      <c r="AW260"/>
      <c r="AX260" t="inlineStr">
        <is>
          <t>Accumulation</t>
        </is>
      </c>
      <c r="AY260" t="inlineStr">
        <is>
          <t>Residue</t>
        </is>
      </c>
      <c r="AZ260" t="inlineStr">
        <is>
          <t>BAF</t>
        </is>
      </c>
      <c r="BA260"/>
      <c r="BB260" t="n">
        <v>2.01</v>
      </c>
      <c r="BC260"/>
      <c r="BD260"/>
      <c r="BE260"/>
      <c r="BF260"/>
      <c r="BG260"/>
      <c r="BH260"/>
      <c r="BI260" t="inlineStr">
        <is>
          <t>L/kg</t>
        </is>
      </c>
      <c r="BJ260" t="inlineStr">
        <is>
          <t>Shoot</t>
        </is>
      </c>
      <c r="BK260"/>
      <c r="BL260" t="n">
        <v>1.0</v>
      </c>
      <c r="BM260"/>
      <c r="BN260"/>
      <c r="BO260"/>
      <c r="BP260"/>
      <c r="BQ260" t="inlineStr">
        <is>
          <t>Day(s)</t>
        </is>
      </c>
      <c r="BR260" t="inlineStr">
        <is>
          <t>Awad,J., G. Brunetti, A. Juhasz, M. Williams, D. Navarro, B. Drigo, J. Bougoure, J. Vanderzalm, and S. Beecham</t>
        </is>
      </c>
      <c r="BS260" t="n">
        <v>191324.0</v>
      </c>
      <c r="BT260" t="inlineStr">
        <is>
          <t>Application of Native Plants in Constructed Floating Wetlands as a Passive Remediation Approach for PFAS-Impacted Surface Water</t>
        </is>
      </c>
      <c r="BU260" t="inlineStr">
        <is>
          <t>J. Hazard. Mater.429:11 p.</t>
        </is>
      </c>
      <c r="BV260" t="n">
        <v>2022.0</v>
      </c>
      <c r="BW26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1">
      <c r="A261" t="n">
        <v>2795393.0</v>
      </c>
      <c r="B261" t="inlineStr">
        <is>
          <t>1,1,2,2,3,3,4,4,5,5,6,6,7,7,8,8,8-Heptadecafluoro-1-octanesulfonic acid potassium salt</t>
        </is>
      </c>
      <c r="C261"/>
      <c r="D261" t="inlineStr">
        <is>
          <t>Chemical analysis reported</t>
        </is>
      </c>
      <c r="E261" t="inlineStr">
        <is>
          <t>&gt;=</t>
        </is>
      </c>
      <c r="F261" t="n">
        <v>98.0</v>
      </c>
      <c r="G261"/>
      <c r="H261"/>
      <c r="I261"/>
      <c r="J261"/>
      <c r="K261" t="inlineStr">
        <is>
          <t>Baumea articulata</t>
        </is>
      </c>
      <c r="L261" t="inlineStr">
        <is>
          <t>Jointed Twig-Rush</t>
        </is>
      </c>
      <c r="M261" t="inlineStr">
        <is>
          <t>Flowers, Trees, Shrubs, Ferns</t>
        </is>
      </c>
      <c r="N261"/>
      <c r="O261"/>
      <c r="P261"/>
      <c r="Q261"/>
      <c r="R261"/>
      <c r="S261"/>
      <c r="T261"/>
      <c r="U261"/>
      <c r="V261" t="inlineStr">
        <is>
          <t>Hydroponic</t>
        </is>
      </c>
      <c r="W261" t="inlineStr">
        <is>
          <t>Hydroponic</t>
        </is>
      </c>
      <c r="X261" t="inlineStr">
        <is>
          <t>Lab</t>
        </is>
      </c>
      <c r="Y261" t="n">
        <v>3.0</v>
      </c>
      <c r="Z261" t="inlineStr">
        <is>
          <t>Active ingredient</t>
        </is>
      </c>
      <c r="AA261"/>
      <c r="AB261" t="n">
        <v>30.0</v>
      </c>
      <c r="AC261"/>
      <c r="AD261"/>
      <c r="AE261"/>
      <c r="AF261"/>
      <c r="AG261" t="inlineStr">
        <is>
          <t>ug/L</t>
        </is>
      </c>
      <c r="AH261"/>
      <c r="AI261"/>
      <c r="AJ261"/>
      <c r="AK261"/>
      <c r="AL261"/>
      <c r="AM261"/>
      <c r="AN261"/>
      <c r="AO261"/>
      <c r="AP261"/>
      <c r="AQ261"/>
      <c r="AR261"/>
      <c r="AS261"/>
      <c r="AT261"/>
      <c r="AU261"/>
      <c r="AV261"/>
      <c r="AW261"/>
      <c r="AX261" t="inlineStr">
        <is>
          <t>Accumulation</t>
        </is>
      </c>
      <c r="AY261" t="inlineStr">
        <is>
          <t>Residue</t>
        </is>
      </c>
      <c r="AZ261" t="inlineStr">
        <is>
          <t>BAF</t>
        </is>
      </c>
      <c r="BA261"/>
      <c r="BB261" t="n">
        <v>4.9</v>
      </c>
      <c r="BC261"/>
      <c r="BD261"/>
      <c r="BE261"/>
      <c r="BF261"/>
      <c r="BG261"/>
      <c r="BH261"/>
      <c r="BI261" t="inlineStr">
        <is>
          <t>L/kg</t>
        </is>
      </c>
      <c r="BJ261" t="inlineStr">
        <is>
          <t>Whole organism</t>
        </is>
      </c>
      <c r="BK261"/>
      <c r="BL261" t="n">
        <v>1.0</v>
      </c>
      <c r="BM261"/>
      <c r="BN261"/>
      <c r="BO261"/>
      <c r="BP261"/>
      <c r="BQ261" t="inlineStr">
        <is>
          <t>Day(s)</t>
        </is>
      </c>
      <c r="BR261" t="inlineStr">
        <is>
          <t>Awad,J., G. Brunetti, A. Juhasz, M. Williams, D. Navarro, B. Drigo, J. Bougoure, J. Vanderzalm, and S. Beecham</t>
        </is>
      </c>
      <c r="BS261" t="n">
        <v>191324.0</v>
      </c>
      <c r="BT261" t="inlineStr">
        <is>
          <t>Application of Native Plants in Constructed Floating Wetlands as a Passive Remediation Approach for PFAS-Impacted Surface Water</t>
        </is>
      </c>
      <c r="BU261" t="inlineStr">
        <is>
          <t>J. Hazard. Mater.429:11 p.</t>
        </is>
      </c>
      <c r="BV261" t="n">
        <v>2022.0</v>
      </c>
      <c r="BW26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2">
      <c r="A262" t="n">
        <v>2795393.0</v>
      </c>
      <c r="B262" t="inlineStr">
        <is>
          <t>1,1,2,2,3,3,4,4,5,5,6,6,7,7,8,8,8-Heptadecafluoro-1-octanesulfonic acid potassium salt</t>
        </is>
      </c>
      <c r="C262"/>
      <c r="D262" t="inlineStr">
        <is>
          <t>Chemical analysis reported</t>
        </is>
      </c>
      <c r="E262" t="inlineStr">
        <is>
          <t>&gt;=</t>
        </is>
      </c>
      <c r="F262" t="n">
        <v>98.0</v>
      </c>
      <c r="G262"/>
      <c r="H262"/>
      <c r="I262"/>
      <c r="J262"/>
      <c r="K262" t="inlineStr">
        <is>
          <t>Baumea articulata</t>
        </is>
      </c>
      <c r="L262" t="inlineStr">
        <is>
          <t>Jointed Twig-Rush</t>
        </is>
      </c>
      <c r="M262" t="inlineStr">
        <is>
          <t>Flowers, Trees, Shrubs, Ferns</t>
        </is>
      </c>
      <c r="N262"/>
      <c r="O262"/>
      <c r="P262"/>
      <c r="Q262"/>
      <c r="R262"/>
      <c r="S262"/>
      <c r="T262"/>
      <c r="U262"/>
      <c r="V262" t="inlineStr">
        <is>
          <t>Hydroponic</t>
        </is>
      </c>
      <c r="W262" t="inlineStr">
        <is>
          <t>Hydroponic</t>
        </is>
      </c>
      <c r="X262" t="inlineStr">
        <is>
          <t>Lab</t>
        </is>
      </c>
      <c r="Y262" t="n">
        <v>3.0</v>
      </c>
      <c r="Z262" t="inlineStr">
        <is>
          <t>Active ingredient</t>
        </is>
      </c>
      <c r="AA262"/>
      <c r="AB262" t="n">
        <v>10.0</v>
      </c>
      <c r="AC262"/>
      <c r="AD262"/>
      <c r="AE262"/>
      <c r="AF262"/>
      <c r="AG262" t="inlineStr">
        <is>
          <t>ug/L</t>
        </is>
      </c>
      <c r="AH262"/>
      <c r="AI262"/>
      <c r="AJ262"/>
      <c r="AK262"/>
      <c r="AL262"/>
      <c r="AM262"/>
      <c r="AN262"/>
      <c r="AO262"/>
      <c r="AP262"/>
      <c r="AQ262"/>
      <c r="AR262"/>
      <c r="AS262"/>
      <c r="AT262"/>
      <c r="AU262"/>
      <c r="AV262"/>
      <c r="AW262"/>
      <c r="AX262" t="inlineStr">
        <is>
          <t>Accumulation</t>
        </is>
      </c>
      <c r="AY262" t="inlineStr">
        <is>
          <t>Residue</t>
        </is>
      </c>
      <c r="AZ262" t="inlineStr">
        <is>
          <t>BAF</t>
        </is>
      </c>
      <c r="BA262"/>
      <c r="BB262" t="n">
        <v>7.7</v>
      </c>
      <c r="BC262"/>
      <c r="BD262"/>
      <c r="BE262"/>
      <c r="BF262"/>
      <c r="BG262"/>
      <c r="BH262"/>
      <c r="BI262" t="inlineStr">
        <is>
          <t>L/kg</t>
        </is>
      </c>
      <c r="BJ262" t="inlineStr">
        <is>
          <t>Whole organism</t>
        </is>
      </c>
      <c r="BK262"/>
      <c r="BL262" t="n">
        <v>7.0</v>
      </c>
      <c r="BM262"/>
      <c r="BN262"/>
      <c r="BO262"/>
      <c r="BP262"/>
      <c r="BQ262" t="inlineStr">
        <is>
          <t>Day(s)</t>
        </is>
      </c>
      <c r="BR262" t="inlineStr">
        <is>
          <t>Awad,J., G. Brunetti, A. Juhasz, M. Williams, D. Navarro, B. Drigo, J. Bougoure, J. Vanderzalm, and S. Beecham</t>
        </is>
      </c>
      <c r="BS262" t="n">
        <v>191324.0</v>
      </c>
      <c r="BT262" t="inlineStr">
        <is>
          <t>Application of Native Plants in Constructed Floating Wetlands as a Passive Remediation Approach for PFAS-Impacted Surface Water</t>
        </is>
      </c>
      <c r="BU262" t="inlineStr">
        <is>
          <t>J. Hazard. Mater.429:11 p.</t>
        </is>
      </c>
      <c r="BV262" t="n">
        <v>2022.0</v>
      </c>
      <c r="BW26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3">
      <c r="A263" t="n">
        <v>2795393.0</v>
      </c>
      <c r="B263" t="inlineStr">
        <is>
          <t>1,1,2,2,3,3,4,4,5,5,6,6,7,7,8,8,8-Heptadecafluoro-1-octanesulfonic acid potassium salt</t>
        </is>
      </c>
      <c r="C263"/>
      <c r="D263" t="inlineStr">
        <is>
          <t>Chemical analysis reported</t>
        </is>
      </c>
      <c r="E263" t="inlineStr">
        <is>
          <t>&gt;=</t>
        </is>
      </c>
      <c r="F263" t="n">
        <v>98.0</v>
      </c>
      <c r="G263"/>
      <c r="H263"/>
      <c r="I263"/>
      <c r="J263"/>
      <c r="K263" t="inlineStr">
        <is>
          <t>Baumea articulata</t>
        </is>
      </c>
      <c r="L263" t="inlineStr">
        <is>
          <t>Jointed Twig-Rush</t>
        </is>
      </c>
      <c r="M263" t="inlineStr">
        <is>
          <t>Flowers, Trees, Shrubs, Ferns</t>
        </is>
      </c>
      <c r="N263"/>
      <c r="O263"/>
      <c r="P263"/>
      <c r="Q263"/>
      <c r="R263"/>
      <c r="S263"/>
      <c r="T263"/>
      <c r="U263"/>
      <c r="V263" t="inlineStr">
        <is>
          <t>Hydroponic</t>
        </is>
      </c>
      <c r="W263" t="inlineStr">
        <is>
          <t>Hydroponic</t>
        </is>
      </c>
      <c r="X263" t="inlineStr">
        <is>
          <t>Lab</t>
        </is>
      </c>
      <c r="Y263" t="n">
        <v>3.0</v>
      </c>
      <c r="Z263" t="inlineStr">
        <is>
          <t>Active ingredient</t>
        </is>
      </c>
      <c r="AA263"/>
      <c r="AB263" t="n">
        <v>30.0</v>
      </c>
      <c r="AC263"/>
      <c r="AD263"/>
      <c r="AE263"/>
      <c r="AF263"/>
      <c r="AG263" t="inlineStr">
        <is>
          <t>ug/L</t>
        </is>
      </c>
      <c r="AH263"/>
      <c r="AI263"/>
      <c r="AJ263"/>
      <c r="AK263"/>
      <c r="AL263"/>
      <c r="AM263"/>
      <c r="AN263"/>
      <c r="AO263"/>
      <c r="AP263"/>
      <c r="AQ263"/>
      <c r="AR263"/>
      <c r="AS263"/>
      <c r="AT263"/>
      <c r="AU263"/>
      <c r="AV263"/>
      <c r="AW263"/>
      <c r="AX263" t="inlineStr">
        <is>
          <t>Accumulation</t>
        </is>
      </c>
      <c r="AY263" t="inlineStr">
        <is>
          <t>Residue</t>
        </is>
      </c>
      <c r="AZ263" t="inlineStr">
        <is>
          <t>BAF</t>
        </is>
      </c>
      <c r="BA263"/>
      <c r="BB263" t="n">
        <v>11.08</v>
      </c>
      <c r="BC263"/>
      <c r="BD263"/>
      <c r="BE263"/>
      <c r="BF263"/>
      <c r="BG263"/>
      <c r="BH263"/>
      <c r="BI263" t="inlineStr">
        <is>
          <t>L/kg</t>
        </is>
      </c>
      <c r="BJ263" t="inlineStr">
        <is>
          <t>Root</t>
        </is>
      </c>
      <c r="BK263"/>
      <c r="BL263" t="n">
        <v>4.0</v>
      </c>
      <c r="BM263"/>
      <c r="BN263"/>
      <c r="BO263"/>
      <c r="BP263"/>
      <c r="BQ263" t="inlineStr">
        <is>
          <t>Day(s)</t>
        </is>
      </c>
      <c r="BR263" t="inlineStr">
        <is>
          <t>Awad,J., G. Brunetti, A. Juhasz, M. Williams, D. Navarro, B. Drigo, J. Bougoure, J. Vanderzalm, and S. Beecham</t>
        </is>
      </c>
      <c r="BS263" t="n">
        <v>191324.0</v>
      </c>
      <c r="BT263" t="inlineStr">
        <is>
          <t>Application of Native Plants in Constructed Floating Wetlands as a Passive Remediation Approach for PFAS-Impacted Surface Water</t>
        </is>
      </c>
      <c r="BU263" t="inlineStr">
        <is>
          <t>J. Hazard. Mater.429:11 p.</t>
        </is>
      </c>
      <c r="BV263" t="n">
        <v>2022.0</v>
      </c>
      <c r="BW26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4">
      <c r="A264" t="n">
        <v>2795393.0</v>
      </c>
      <c r="B264" t="inlineStr">
        <is>
          <t>1,1,2,2,3,3,4,4,5,5,6,6,7,7,8,8,8-Heptadecafluoro-1-octanesulfonic acid potassium salt</t>
        </is>
      </c>
      <c r="C264"/>
      <c r="D264" t="inlineStr">
        <is>
          <t>Chemical analysis reported</t>
        </is>
      </c>
      <c r="E264" t="inlineStr">
        <is>
          <t>&gt;=</t>
        </is>
      </c>
      <c r="F264" t="n">
        <v>98.0</v>
      </c>
      <c r="G264"/>
      <c r="H264"/>
      <c r="I264"/>
      <c r="J264"/>
      <c r="K264" t="inlineStr">
        <is>
          <t>Baumea articulata</t>
        </is>
      </c>
      <c r="L264" t="inlineStr">
        <is>
          <t>Jointed Twig-Rush</t>
        </is>
      </c>
      <c r="M264" t="inlineStr">
        <is>
          <t>Flowers, Trees, Shrubs, Ferns</t>
        </is>
      </c>
      <c r="N264"/>
      <c r="O264"/>
      <c r="P264"/>
      <c r="Q264"/>
      <c r="R264"/>
      <c r="S264"/>
      <c r="T264"/>
      <c r="U264"/>
      <c r="V264" t="inlineStr">
        <is>
          <t>Hydroponic</t>
        </is>
      </c>
      <c r="W264" t="inlineStr">
        <is>
          <t>Hydroponic</t>
        </is>
      </c>
      <c r="X264" t="inlineStr">
        <is>
          <t>Lab</t>
        </is>
      </c>
      <c r="Y264" t="n">
        <v>3.0</v>
      </c>
      <c r="Z264" t="inlineStr">
        <is>
          <t>Active ingredient</t>
        </is>
      </c>
      <c r="AA264"/>
      <c r="AB264" t="n">
        <v>30.0</v>
      </c>
      <c r="AC264"/>
      <c r="AD264"/>
      <c r="AE264"/>
      <c r="AF264"/>
      <c r="AG264" t="inlineStr">
        <is>
          <t>ug/L</t>
        </is>
      </c>
      <c r="AH264"/>
      <c r="AI264"/>
      <c r="AJ264"/>
      <c r="AK264"/>
      <c r="AL264"/>
      <c r="AM264"/>
      <c r="AN264"/>
      <c r="AO264"/>
      <c r="AP264"/>
      <c r="AQ264"/>
      <c r="AR264"/>
      <c r="AS264"/>
      <c r="AT264"/>
      <c r="AU264"/>
      <c r="AV264"/>
      <c r="AW264"/>
      <c r="AX264" t="inlineStr">
        <is>
          <t>Accumulation</t>
        </is>
      </c>
      <c r="AY264" t="inlineStr">
        <is>
          <t>Residue</t>
        </is>
      </c>
      <c r="AZ264" t="inlineStr">
        <is>
          <t>BAF</t>
        </is>
      </c>
      <c r="BA264"/>
      <c r="BB264" t="n">
        <v>4.76</v>
      </c>
      <c r="BC264"/>
      <c r="BD264"/>
      <c r="BE264"/>
      <c r="BF264"/>
      <c r="BG264"/>
      <c r="BH264"/>
      <c r="BI264" t="inlineStr">
        <is>
          <t>L/kg</t>
        </is>
      </c>
      <c r="BJ264" t="inlineStr">
        <is>
          <t>Root</t>
        </is>
      </c>
      <c r="BK264"/>
      <c r="BL264" t="n">
        <v>28.0</v>
      </c>
      <c r="BM264"/>
      <c r="BN264"/>
      <c r="BO264"/>
      <c r="BP264"/>
      <c r="BQ264" t="inlineStr">
        <is>
          <t>Day(s)</t>
        </is>
      </c>
      <c r="BR264" t="inlineStr">
        <is>
          <t>Awad,J., G. Brunetti, A. Juhasz, M. Williams, D. Navarro, B. Drigo, J. Bougoure, J. Vanderzalm, and S. Beecham</t>
        </is>
      </c>
      <c r="BS264" t="n">
        <v>191324.0</v>
      </c>
      <c r="BT264" t="inlineStr">
        <is>
          <t>Application of Native Plants in Constructed Floating Wetlands as a Passive Remediation Approach for PFAS-Impacted Surface Water</t>
        </is>
      </c>
      <c r="BU264" t="inlineStr">
        <is>
          <t>J. Hazard. Mater.429:11 p.</t>
        </is>
      </c>
      <c r="BV264" t="n">
        <v>2022.0</v>
      </c>
      <c r="BW26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5">
      <c r="A265" t="n">
        <v>2795393.0</v>
      </c>
      <c r="B265" t="inlineStr">
        <is>
          <t>1,1,2,2,3,3,4,4,5,5,6,6,7,7,8,8,8-Heptadecafluoro-1-octanesulfonic acid potassium salt</t>
        </is>
      </c>
      <c r="C265"/>
      <c r="D265" t="inlineStr">
        <is>
          <t>Chemical analysis reported</t>
        </is>
      </c>
      <c r="E265" t="inlineStr">
        <is>
          <t>&gt;=</t>
        </is>
      </c>
      <c r="F265" t="n">
        <v>98.0</v>
      </c>
      <c r="G265"/>
      <c r="H265"/>
      <c r="I265"/>
      <c r="J265"/>
      <c r="K265" t="inlineStr">
        <is>
          <t>Baumea articulata</t>
        </is>
      </c>
      <c r="L265" t="inlineStr">
        <is>
          <t>Jointed Twig-Rush</t>
        </is>
      </c>
      <c r="M265" t="inlineStr">
        <is>
          <t>Flowers, Trees, Shrubs, Ferns</t>
        </is>
      </c>
      <c r="N265"/>
      <c r="O265"/>
      <c r="P265"/>
      <c r="Q265"/>
      <c r="R265"/>
      <c r="S265"/>
      <c r="T265"/>
      <c r="U265"/>
      <c r="V265" t="inlineStr">
        <is>
          <t>Hydroponic</t>
        </is>
      </c>
      <c r="W265" t="inlineStr">
        <is>
          <t>Hydroponic</t>
        </is>
      </c>
      <c r="X265" t="inlineStr">
        <is>
          <t>Lab</t>
        </is>
      </c>
      <c r="Y265" t="n">
        <v>3.0</v>
      </c>
      <c r="Z265" t="inlineStr">
        <is>
          <t>Active ingredient</t>
        </is>
      </c>
      <c r="AA265"/>
      <c r="AB265" t="n">
        <v>30.0</v>
      </c>
      <c r="AC265"/>
      <c r="AD265"/>
      <c r="AE265"/>
      <c r="AF265"/>
      <c r="AG265" t="inlineStr">
        <is>
          <t>ug/L</t>
        </is>
      </c>
      <c r="AH265"/>
      <c r="AI265"/>
      <c r="AJ265"/>
      <c r="AK265"/>
      <c r="AL265"/>
      <c r="AM265"/>
      <c r="AN265"/>
      <c r="AO265"/>
      <c r="AP265"/>
      <c r="AQ265"/>
      <c r="AR265"/>
      <c r="AS265"/>
      <c r="AT265"/>
      <c r="AU265"/>
      <c r="AV265"/>
      <c r="AW265"/>
      <c r="AX265" t="inlineStr">
        <is>
          <t>Accumulation</t>
        </is>
      </c>
      <c r="AY265" t="inlineStr">
        <is>
          <t>Residue</t>
        </is>
      </c>
      <c r="AZ265" t="inlineStr">
        <is>
          <t>BAF</t>
        </is>
      </c>
      <c r="BA265"/>
      <c r="BB265" t="n">
        <v>6.35</v>
      </c>
      <c r="BC265"/>
      <c r="BD265"/>
      <c r="BE265"/>
      <c r="BF265"/>
      <c r="BG265"/>
      <c r="BH265"/>
      <c r="BI265" t="inlineStr">
        <is>
          <t>L/kg</t>
        </is>
      </c>
      <c r="BJ265" t="inlineStr">
        <is>
          <t>Whole organism</t>
        </is>
      </c>
      <c r="BK265"/>
      <c r="BL265" t="n">
        <v>4.0</v>
      </c>
      <c r="BM265"/>
      <c r="BN265"/>
      <c r="BO265"/>
      <c r="BP265"/>
      <c r="BQ265" t="inlineStr">
        <is>
          <t>Day(s)</t>
        </is>
      </c>
      <c r="BR265" t="inlineStr">
        <is>
          <t>Awad,J., G. Brunetti, A. Juhasz, M. Williams, D. Navarro, B. Drigo, J. Bougoure, J. Vanderzalm, and S. Beecham</t>
        </is>
      </c>
      <c r="BS265" t="n">
        <v>191324.0</v>
      </c>
      <c r="BT265" t="inlineStr">
        <is>
          <t>Application of Native Plants in Constructed Floating Wetlands as a Passive Remediation Approach for PFAS-Impacted Surface Water</t>
        </is>
      </c>
      <c r="BU265" t="inlineStr">
        <is>
          <t>J. Hazard. Mater.429:11 p.</t>
        </is>
      </c>
      <c r="BV265" t="n">
        <v>2022.0</v>
      </c>
      <c r="BW26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6">
      <c r="A266" t="n">
        <v>2795393.0</v>
      </c>
      <c r="B266" t="inlineStr">
        <is>
          <t>1,1,2,2,3,3,4,4,5,5,6,6,7,7,8,8,8-Heptadecafluoro-1-octanesulfonic acid potassium salt</t>
        </is>
      </c>
      <c r="C266"/>
      <c r="D266" t="inlineStr">
        <is>
          <t>Chemical analysis reported</t>
        </is>
      </c>
      <c r="E266" t="inlineStr">
        <is>
          <t>&gt;=</t>
        </is>
      </c>
      <c r="F266" t="n">
        <v>98.0</v>
      </c>
      <c r="G266"/>
      <c r="H266"/>
      <c r="I266"/>
      <c r="J266"/>
      <c r="K266" t="inlineStr">
        <is>
          <t>Baumea articulata</t>
        </is>
      </c>
      <c r="L266" t="inlineStr">
        <is>
          <t>Jointed Twig-Rush</t>
        </is>
      </c>
      <c r="M266" t="inlineStr">
        <is>
          <t>Flowers, Trees, Shrubs, Ferns</t>
        </is>
      </c>
      <c r="N266"/>
      <c r="O266"/>
      <c r="P266"/>
      <c r="Q266"/>
      <c r="R266"/>
      <c r="S266"/>
      <c r="T266"/>
      <c r="U266"/>
      <c r="V266" t="inlineStr">
        <is>
          <t>Hydroponic</t>
        </is>
      </c>
      <c r="W266" t="inlineStr">
        <is>
          <t>Hydroponic</t>
        </is>
      </c>
      <c r="X266" t="inlineStr">
        <is>
          <t>Lab</t>
        </is>
      </c>
      <c r="Y266" t="n">
        <v>3.0</v>
      </c>
      <c r="Z266" t="inlineStr">
        <is>
          <t>Active ingredient</t>
        </is>
      </c>
      <c r="AA266"/>
      <c r="AB266" t="n">
        <v>10.0</v>
      </c>
      <c r="AC266"/>
      <c r="AD266"/>
      <c r="AE266"/>
      <c r="AF266"/>
      <c r="AG266" t="inlineStr">
        <is>
          <t>ug/L</t>
        </is>
      </c>
      <c r="AH266"/>
      <c r="AI266"/>
      <c r="AJ266"/>
      <c r="AK266"/>
      <c r="AL266"/>
      <c r="AM266"/>
      <c r="AN266"/>
      <c r="AO266"/>
      <c r="AP266"/>
      <c r="AQ266"/>
      <c r="AR266"/>
      <c r="AS266"/>
      <c r="AT266"/>
      <c r="AU266"/>
      <c r="AV266"/>
      <c r="AW266"/>
      <c r="AX266" t="inlineStr">
        <is>
          <t>Accumulation</t>
        </is>
      </c>
      <c r="AY266" t="inlineStr">
        <is>
          <t>Residue</t>
        </is>
      </c>
      <c r="AZ266" t="inlineStr">
        <is>
          <t>BAF</t>
        </is>
      </c>
      <c r="BA266"/>
      <c r="BB266" t="n">
        <v>5.8</v>
      </c>
      <c r="BC266"/>
      <c r="BD266"/>
      <c r="BE266"/>
      <c r="BF266"/>
      <c r="BG266"/>
      <c r="BH266"/>
      <c r="BI266" t="inlineStr">
        <is>
          <t>L/kg</t>
        </is>
      </c>
      <c r="BJ266" t="inlineStr">
        <is>
          <t>Whole organism</t>
        </is>
      </c>
      <c r="BK266"/>
      <c r="BL266" t="n">
        <v>4.0</v>
      </c>
      <c r="BM266"/>
      <c r="BN266"/>
      <c r="BO266"/>
      <c r="BP266"/>
      <c r="BQ266" t="inlineStr">
        <is>
          <t>Day(s)</t>
        </is>
      </c>
      <c r="BR266" t="inlineStr">
        <is>
          <t>Awad,J., G. Brunetti, A. Juhasz, M. Williams, D. Navarro, B. Drigo, J. Bougoure, J. Vanderzalm, and S. Beecham</t>
        </is>
      </c>
      <c r="BS266" t="n">
        <v>191324.0</v>
      </c>
      <c r="BT266" t="inlineStr">
        <is>
          <t>Application of Native Plants in Constructed Floating Wetlands as a Passive Remediation Approach for PFAS-Impacted Surface Water</t>
        </is>
      </c>
      <c r="BU266" t="inlineStr">
        <is>
          <t>J. Hazard. Mater.429:11 p.</t>
        </is>
      </c>
      <c r="BV266" t="n">
        <v>2022.0</v>
      </c>
      <c r="BW26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7">
      <c r="A267" t="n">
        <v>2795393.0</v>
      </c>
      <c r="B267" t="inlineStr">
        <is>
          <t>1,1,2,2,3,3,4,4,5,5,6,6,7,7,8,8,8-Heptadecafluoro-1-octanesulfonic acid potassium salt</t>
        </is>
      </c>
      <c r="C267"/>
      <c r="D267" t="inlineStr">
        <is>
          <t>Chemical analysis reported</t>
        </is>
      </c>
      <c r="E267" t="inlineStr">
        <is>
          <t>&gt;=</t>
        </is>
      </c>
      <c r="F267" t="n">
        <v>98.0</v>
      </c>
      <c r="G267"/>
      <c r="H267"/>
      <c r="I267"/>
      <c r="J267"/>
      <c r="K267" t="inlineStr">
        <is>
          <t>Baumea articulata</t>
        </is>
      </c>
      <c r="L267" t="inlineStr">
        <is>
          <t>Jointed Twig-Rush</t>
        </is>
      </c>
      <c r="M267" t="inlineStr">
        <is>
          <t>Flowers, Trees, Shrubs, Ferns</t>
        </is>
      </c>
      <c r="N267"/>
      <c r="O267"/>
      <c r="P267"/>
      <c r="Q267"/>
      <c r="R267"/>
      <c r="S267"/>
      <c r="T267"/>
      <c r="U267"/>
      <c r="V267" t="inlineStr">
        <is>
          <t>Hydroponic</t>
        </is>
      </c>
      <c r="W267" t="inlineStr">
        <is>
          <t>Hydroponic</t>
        </is>
      </c>
      <c r="X267" t="inlineStr">
        <is>
          <t>Lab</t>
        </is>
      </c>
      <c r="Y267" t="n">
        <v>3.0</v>
      </c>
      <c r="Z267" t="inlineStr">
        <is>
          <t>Active ingredient</t>
        </is>
      </c>
      <c r="AA267"/>
      <c r="AB267" t="n">
        <v>30.0</v>
      </c>
      <c r="AC267"/>
      <c r="AD267"/>
      <c r="AE267"/>
      <c r="AF267"/>
      <c r="AG267" t="inlineStr">
        <is>
          <t>ug/L</t>
        </is>
      </c>
      <c r="AH267"/>
      <c r="AI267"/>
      <c r="AJ267"/>
      <c r="AK267"/>
      <c r="AL267"/>
      <c r="AM267"/>
      <c r="AN267"/>
      <c r="AO267"/>
      <c r="AP267"/>
      <c r="AQ267"/>
      <c r="AR267"/>
      <c r="AS267"/>
      <c r="AT267"/>
      <c r="AU267"/>
      <c r="AV267"/>
      <c r="AW267"/>
      <c r="AX267" t="inlineStr">
        <is>
          <t>Accumulation</t>
        </is>
      </c>
      <c r="AY267" t="inlineStr">
        <is>
          <t>Residue</t>
        </is>
      </c>
      <c r="AZ267" t="inlineStr">
        <is>
          <t>BAF</t>
        </is>
      </c>
      <c r="BA267"/>
      <c r="BB267" t="n">
        <v>3.03</v>
      </c>
      <c r="BC267"/>
      <c r="BD267"/>
      <c r="BE267"/>
      <c r="BF267"/>
      <c r="BG267"/>
      <c r="BH267"/>
      <c r="BI267" t="inlineStr">
        <is>
          <t>L/kg</t>
        </is>
      </c>
      <c r="BJ267" t="inlineStr">
        <is>
          <t>Shoot</t>
        </is>
      </c>
      <c r="BK267"/>
      <c r="BL267" t="n">
        <v>7.0</v>
      </c>
      <c r="BM267"/>
      <c r="BN267"/>
      <c r="BO267"/>
      <c r="BP267"/>
      <c r="BQ267" t="inlineStr">
        <is>
          <t>Day(s)</t>
        </is>
      </c>
      <c r="BR267" t="inlineStr">
        <is>
          <t>Awad,J., G. Brunetti, A. Juhasz, M. Williams, D. Navarro, B. Drigo, J. Bougoure, J. Vanderzalm, and S. Beecham</t>
        </is>
      </c>
      <c r="BS267" t="n">
        <v>191324.0</v>
      </c>
      <c r="BT267" t="inlineStr">
        <is>
          <t>Application of Native Plants in Constructed Floating Wetlands as a Passive Remediation Approach for PFAS-Impacted Surface Water</t>
        </is>
      </c>
      <c r="BU267" t="inlineStr">
        <is>
          <t>J. Hazard. Mater.429:11 p.</t>
        </is>
      </c>
      <c r="BV267" t="n">
        <v>2022.0</v>
      </c>
      <c r="BW26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8">
      <c r="A268" t="n">
        <v>2795393.0</v>
      </c>
      <c r="B268" t="inlineStr">
        <is>
          <t>1,1,2,2,3,3,4,4,5,5,6,6,7,7,8,8,8-Heptadecafluoro-1-octanesulfonic acid potassium salt</t>
        </is>
      </c>
      <c r="C268"/>
      <c r="D268" t="inlineStr">
        <is>
          <t>Chemical analysis reported</t>
        </is>
      </c>
      <c r="E268" t="inlineStr">
        <is>
          <t>&gt;=</t>
        </is>
      </c>
      <c r="F268" t="n">
        <v>98.0</v>
      </c>
      <c r="G268"/>
      <c r="H268"/>
      <c r="I268"/>
      <c r="J268"/>
      <c r="K268" t="inlineStr">
        <is>
          <t>Baumea articulata</t>
        </is>
      </c>
      <c r="L268" t="inlineStr">
        <is>
          <t>Jointed Twig-Rush</t>
        </is>
      </c>
      <c r="M268" t="inlineStr">
        <is>
          <t>Flowers, Trees, Shrubs, Ferns</t>
        </is>
      </c>
      <c r="N268"/>
      <c r="O268"/>
      <c r="P268"/>
      <c r="Q268"/>
      <c r="R268"/>
      <c r="S268"/>
      <c r="T268"/>
      <c r="U268"/>
      <c r="V268" t="inlineStr">
        <is>
          <t>Hydroponic</t>
        </is>
      </c>
      <c r="W268" t="inlineStr">
        <is>
          <t>Hydroponic</t>
        </is>
      </c>
      <c r="X268" t="inlineStr">
        <is>
          <t>Lab</t>
        </is>
      </c>
      <c r="Y268" t="n">
        <v>3.0</v>
      </c>
      <c r="Z268" t="inlineStr">
        <is>
          <t>Active ingredient</t>
        </is>
      </c>
      <c r="AA268"/>
      <c r="AB268" t="n">
        <v>10.0</v>
      </c>
      <c r="AC268"/>
      <c r="AD268"/>
      <c r="AE268"/>
      <c r="AF268"/>
      <c r="AG268" t="inlineStr">
        <is>
          <t>ug/L</t>
        </is>
      </c>
      <c r="AH268"/>
      <c r="AI268"/>
      <c r="AJ268"/>
      <c r="AK268"/>
      <c r="AL268"/>
      <c r="AM268"/>
      <c r="AN268"/>
      <c r="AO268"/>
      <c r="AP268"/>
      <c r="AQ268"/>
      <c r="AR268"/>
      <c r="AS268"/>
      <c r="AT268"/>
      <c r="AU268"/>
      <c r="AV268"/>
      <c r="AW268"/>
      <c r="AX268" t="inlineStr">
        <is>
          <t>Accumulation</t>
        </is>
      </c>
      <c r="AY268" t="inlineStr">
        <is>
          <t>Residue</t>
        </is>
      </c>
      <c r="AZ268" t="inlineStr">
        <is>
          <t>BAF</t>
        </is>
      </c>
      <c r="BA268"/>
      <c r="BB268" t="n">
        <v>11.3</v>
      </c>
      <c r="BC268"/>
      <c r="BD268"/>
      <c r="BE268"/>
      <c r="BF268"/>
      <c r="BG268"/>
      <c r="BH268"/>
      <c r="BI268" t="inlineStr">
        <is>
          <t>L/kg</t>
        </is>
      </c>
      <c r="BJ268" t="inlineStr">
        <is>
          <t>Root</t>
        </is>
      </c>
      <c r="BK268"/>
      <c r="BL268" t="n">
        <v>28.0</v>
      </c>
      <c r="BM268"/>
      <c r="BN268"/>
      <c r="BO268"/>
      <c r="BP268"/>
      <c r="BQ268" t="inlineStr">
        <is>
          <t>Day(s)</t>
        </is>
      </c>
      <c r="BR268" t="inlineStr">
        <is>
          <t>Awad,J., G. Brunetti, A. Juhasz, M. Williams, D. Navarro, B. Drigo, J. Bougoure, J. Vanderzalm, and S. Beecham</t>
        </is>
      </c>
      <c r="BS268" t="n">
        <v>191324.0</v>
      </c>
      <c r="BT268" t="inlineStr">
        <is>
          <t>Application of Native Plants in Constructed Floating Wetlands as a Passive Remediation Approach for PFAS-Impacted Surface Water</t>
        </is>
      </c>
      <c r="BU268" t="inlineStr">
        <is>
          <t>J. Hazard. Mater.429:11 p.</t>
        </is>
      </c>
      <c r="BV268" t="n">
        <v>2022.0</v>
      </c>
      <c r="BW26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9">
      <c r="A269" t="n">
        <v>2795393.0</v>
      </c>
      <c r="B269" t="inlineStr">
        <is>
          <t>1,1,2,2,3,3,4,4,5,5,6,6,7,7,8,8,8-Heptadecafluoro-1-octanesulfonic acid potassium salt</t>
        </is>
      </c>
      <c r="C269"/>
      <c r="D269" t="inlineStr">
        <is>
          <t>Chemical analysis reported</t>
        </is>
      </c>
      <c r="E269" t="inlineStr">
        <is>
          <t>&gt;=</t>
        </is>
      </c>
      <c r="F269" t="n">
        <v>98.0</v>
      </c>
      <c r="G269"/>
      <c r="H269"/>
      <c r="I269"/>
      <c r="J269"/>
      <c r="K269" t="inlineStr">
        <is>
          <t>Baumea articulata</t>
        </is>
      </c>
      <c r="L269" t="inlineStr">
        <is>
          <t>Jointed Twig-Rush</t>
        </is>
      </c>
      <c r="M269" t="inlineStr">
        <is>
          <t>Flowers, Trees, Shrubs, Ferns</t>
        </is>
      </c>
      <c r="N269"/>
      <c r="O269"/>
      <c r="P269"/>
      <c r="Q269"/>
      <c r="R269"/>
      <c r="S269"/>
      <c r="T269"/>
      <c r="U269"/>
      <c r="V269" t="inlineStr">
        <is>
          <t>Hydroponic</t>
        </is>
      </c>
      <c r="W269" t="inlineStr">
        <is>
          <t>Hydroponic</t>
        </is>
      </c>
      <c r="X269" t="inlineStr">
        <is>
          <t>Lab</t>
        </is>
      </c>
      <c r="Y269" t="n">
        <v>3.0</v>
      </c>
      <c r="Z269" t="inlineStr">
        <is>
          <t>Active ingredient</t>
        </is>
      </c>
      <c r="AA269"/>
      <c r="AB269" t="n">
        <v>30.0</v>
      </c>
      <c r="AC269"/>
      <c r="AD269"/>
      <c r="AE269"/>
      <c r="AF269"/>
      <c r="AG269" t="inlineStr">
        <is>
          <t>ug/L</t>
        </is>
      </c>
      <c r="AH269"/>
      <c r="AI269"/>
      <c r="AJ269"/>
      <c r="AK269"/>
      <c r="AL269"/>
      <c r="AM269"/>
      <c r="AN269"/>
      <c r="AO269"/>
      <c r="AP269"/>
      <c r="AQ269"/>
      <c r="AR269"/>
      <c r="AS269"/>
      <c r="AT269"/>
      <c r="AU269"/>
      <c r="AV269"/>
      <c r="AW269"/>
      <c r="AX269" t="inlineStr">
        <is>
          <t>Accumulation</t>
        </is>
      </c>
      <c r="AY269" t="inlineStr">
        <is>
          <t>Residue</t>
        </is>
      </c>
      <c r="AZ269" t="inlineStr">
        <is>
          <t>BAF</t>
        </is>
      </c>
      <c r="BA269"/>
      <c r="BB269" t="n">
        <v>3.25</v>
      </c>
      <c r="BC269"/>
      <c r="BD269"/>
      <c r="BE269"/>
      <c r="BF269"/>
      <c r="BG269"/>
      <c r="BH269"/>
      <c r="BI269" t="inlineStr">
        <is>
          <t>L/kg</t>
        </is>
      </c>
      <c r="BJ269" t="inlineStr">
        <is>
          <t>Shoot</t>
        </is>
      </c>
      <c r="BK269"/>
      <c r="BL269" t="n">
        <v>28.0</v>
      </c>
      <c r="BM269"/>
      <c r="BN269"/>
      <c r="BO269"/>
      <c r="BP269"/>
      <c r="BQ269" t="inlineStr">
        <is>
          <t>Day(s)</t>
        </is>
      </c>
      <c r="BR269" t="inlineStr">
        <is>
          <t>Awad,J., G. Brunetti, A. Juhasz, M. Williams, D. Navarro, B. Drigo, J. Bougoure, J. Vanderzalm, and S. Beecham</t>
        </is>
      </c>
      <c r="BS269" t="n">
        <v>191324.0</v>
      </c>
      <c r="BT269" t="inlineStr">
        <is>
          <t>Application of Native Plants in Constructed Floating Wetlands as a Passive Remediation Approach for PFAS-Impacted Surface Water</t>
        </is>
      </c>
      <c r="BU269" t="inlineStr">
        <is>
          <t>J. Hazard. Mater.429:11 p.</t>
        </is>
      </c>
      <c r="BV269" t="n">
        <v>2022.0</v>
      </c>
      <c r="BW26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0">
      <c r="A270" t="n">
        <v>2795393.0</v>
      </c>
      <c r="B270" t="inlineStr">
        <is>
          <t>1,1,2,2,3,3,4,4,5,5,6,6,7,7,8,8,8-Heptadecafluoro-1-octanesulfonic acid potassium salt</t>
        </is>
      </c>
      <c r="C270"/>
      <c r="D270" t="inlineStr">
        <is>
          <t>Chemical analysis reported</t>
        </is>
      </c>
      <c r="E270" t="inlineStr">
        <is>
          <t>&gt;=</t>
        </is>
      </c>
      <c r="F270" t="n">
        <v>98.0</v>
      </c>
      <c r="G270"/>
      <c r="H270"/>
      <c r="I270"/>
      <c r="J270"/>
      <c r="K270" t="inlineStr">
        <is>
          <t>Baumea articulata</t>
        </is>
      </c>
      <c r="L270" t="inlineStr">
        <is>
          <t>Jointed Twig-Rush</t>
        </is>
      </c>
      <c r="M270" t="inlineStr">
        <is>
          <t>Flowers, Trees, Shrubs, Ferns</t>
        </is>
      </c>
      <c r="N270"/>
      <c r="O270"/>
      <c r="P270"/>
      <c r="Q270"/>
      <c r="R270"/>
      <c r="S270"/>
      <c r="T270"/>
      <c r="U270"/>
      <c r="V270" t="inlineStr">
        <is>
          <t>Hydroponic</t>
        </is>
      </c>
      <c r="W270" t="inlineStr">
        <is>
          <t>Hydroponic</t>
        </is>
      </c>
      <c r="X270" t="inlineStr">
        <is>
          <t>Lab</t>
        </is>
      </c>
      <c r="Y270" t="n">
        <v>3.0</v>
      </c>
      <c r="Z270" t="inlineStr">
        <is>
          <t>Active ingredient</t>
        </is>
      </c>
      <c r="AA270"/>
      <c r="AB270" t="n">
        <v>10.0</v>
      </c>
      <c r="AC270"/>
      <c r="AD270"/>
      <c r="AE270"/>
      <c r="AF270"/>
      <c r="AG270" t="inlineStr">
        <is>
          <t>ug/L</t>
        </is>
      </c>
      <c r="AH270"/>
      <c r="AI270"/>
      <c r="AJ270"/>
      <c r="AK270"/>
      <c r="AL270"/>
      <c r="AM270"/>
      <c r="AN270"/>
      <c r="AO270"/>
      <c r="AP270"/>
      <c r="AQ270"/>
      <c r="AR270"/>
      <c r="AS270"/>
      <c r="AT270"/>
      <c r="AU270"/>
      <c r="AV270"/>
      <c r="AW270"/>
      <c r="AX270" t="inlineStr">
        <is>
          <t>Accumulation</t>
        </is>
      </c>
      <c r="AY270" t="inlineStr">
        <is>
          <t>Residue</t>
        </is>
      </c>
      <c r="AZ270" t="inlineStr">
        <is>
          <t>BAF</t>
        </is>
      </c>
      <c r="BA270"/>
      <c r="BB270" t="n">
        <v>15.4</v>
      </c>
      <c r="BC270"/>
      <c r="BD270"/>
      <c r="BE270"/>
      <c r="BF270"/>
      <c r="BG270"/>
      <c r="BH270"/>
      <c r="BI270" t="inlineStr">
        <is>
          <t>L/kg</t>
        </is>
      </c>
      <c r="BJ270" t="inlineStr">
        <is>
          <t>Root</t>
        </is>
      </c>
      <c r="BK270"/>
      <c r="BL270" t="n">
        <v>7.0</v>
      </c>
      <c r="BM270"/>
      <c r="BN270"/>
      <c r="BO270"/>
      <c r="BP270"/>
      <c r="BQ270" t="inlineStr">
        <is>
          <t>Day(s)</t>
        </is>
      </c>
      <c r="BR270" t="inlineStr">
        <is>
          <t>Awad,J., G. Brunetti, A. Juhasz, M. Williams, D. Navarro, B. Drigo, J. Bougoure, J. Vanderzalm, and S. Beecham</t>
        </is>
      </c>
      <c r="BS270" t="n">
        <v>191324.0</v>
      </c>
      <c r="BT270" t="inlineStr">
        <is>
          <t>Application of Native Plants in Constructed Floating Wetlands as a Passive Remediation Approach for PFAS-Impacted Surface Water</t>
        </is>
      </c>
      <c r="BU270" t="inlineStr">
        <is>
          <t>J. Hazard. Mater.429:11 p.</t>
        </is>
      </c>
      <c r="BV270" t="n">
        <v>2022.0</v>
      </c>
      <c r="BW27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1">
      <c r="A271" t="n">
        <v>2795393.0</v>
      </c>
      <c r="B271" t="inlineStr">
        <is>
          <t>1,1,2,2,3,3,4,4,5,5,6,6,7,7,8,8,8-Heptadecafluoro-1-octanesulfonic acid potassium salt</t>
        </is>
      </c>
      <c r="C271"/>
      <c r="D271" t="inlineStr">
        <is>
          <t>Chemical analysis reported</t>
        </is>
      </c>
      <c r="E271" t="inlineStr">
        <is>
          <t>&gt;=</t>
        </is>
      </c>
      <c r="F271" t="n">
        <v>98.0</v>
      </c>
      <c r="G271"/>
      <c r="H271"/>
      <c r="I271"/>
      <c r="J271"/>
      <c r="K271" t="inlineStr">
        <is>
          <t>Baumea articulata</t>
        </is>
      </c>
      <c r="L271" t="inlineStr">
        <is>
          <t>Jointed Twig-Rush</t>
        </is>
      </c>
      <c r="M271" t="inlineStr">
        <is>
          <t>Flowers, Trees, Shrubs, Ferns</t>
        </is>
      </c>
      <c r="N271"/>
      <c r="O271"/>
      <c r="P271"/>
      <c r="Q271"/>
      <c r="R271"/>
      <c r="S271"/>
      <c r="T271"/>
      <c r="U271"/>
      <c r="V271" t="inlineStr">
        <is>
          <t>Hydroponic</t>
        </is>
      </c>
      <c r="W271" t="inlineStr">
        <is>
          <t>Hydroponic</t>
        </is>
      </c>
      <c r="X271" t="inlineStr">
        <is>
          <t>Lab</t>
        </is>
      </c>
      <c r="Y271" t="n">
        <v>3.0</v>
      </c>
      <c r="Z271" t="inlineStr">
        <is>
          <t>Active ingredient</t>
        </is>
      </c>
      <c r="AA271"/>
      <c r="AB271" t="n">
        <v>10.0</v>
      </c>
      <c r="AC271"/>
      <c r="AD271"/>
      <c r="AE271"/>
      <c r="AF271"/>
      <c r="AG271" t="inlineStr">
        <is>
          <t>ug/L</t>
        </is>
      </c>
      <c r="AH271"/>
      <c r="AI271"/>
      <c r="AJ271"/>
      <c r="AK271"/>
      <c r="AL271"/>
      <c r="AM271"/>
      <c r="AN271"/>
      <c r="AO271"/>
      <c r="AP271"/>
      <c r="AQ271"/>
      <c r="AR271"/>
      <c r="AS271"/>
      <c r="AT271"/>
      <c r="AU271"/>
      <c r="AV271"/>
      <c r="AW271"/>
      <c r="AX271" t="inlineStr">
        <is>
          <t>Accumulation</t>
        </is>
      </c>
      <c r="AY271" t="inlineStr">
        <is>
          <t>Residue</t>
        </is>
      </c>
      <c r="AZ271" t="inlineStr">
        <is>
          <t>BAF</t>
        </is>
      </c>
      <c r="BA271"/>
      <c r="BB271" t="n">
        <v>9.9</v>
      </c>
      <c r="BC271"/>
      <c r="BD271"/>
      <c r="BE271"/>
      <c r="BF271"/>
      <c r="BG271"/>
      <c r="BH271"/>
      <c r="BI271" t="inlineStr">
        <is>
          <t>L/kg</t>
        </is>
      </c>
      <c r="BJ271" t="inlineStr">
        <is>
          <t>Whole organism</t>
        </is>
      </c>
      <c r="BK271"/>
      <c r="BL271" t="n">
        <v>14.0</v>
      </c>
      <c r="BM271"/>
      <c r="BN271"/>
      <c r="BO271"/>
      <c r="BP271"/>
      <c r="BQ271" t="inlineStr">
        <is>
          <t>Day(s)</t>
        </is>
      </c>
      <c r="BR271" t="inlineStr">
        <is>
          <t>Awad,J., G. Brunetti, A. Juhasz, M. Williams, D. Navarro, B. Drigo, J. Bougoure, J. Vanderzalm, and S. Beecham</t>
        </is>
      </c>
      <c r="BS271" t="n">
        <v>191324.0</v>
      </c>
      <c r="BT271" t="inlineStr">
        <is>
          <t>Application of Native Plants in Constructed Floating Wetlands as a Passive Remediation Approach for PFAS-Impacted Surface Water</t>
        </is>
      </c>
      <c r="BU271" t="inlineStr">
        <is>
          <t>J. Hazard. Mater.429:11 p.</t>
        </is>
      </c>
      <c r="BV271" t="n">
        <v>2022.0</v>
      </c>
      <c r="BW27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2">
      <c r="A272" t="n">
        <v>2795393.0</v>
      </c>
      <c r="B272" t="inlineStr">
        <is>
          <t>1,1,2,2,3,3,4,4,5,5,6,6,7,7,8,8,8-Heptadecafluoro-1-octanesulfonic acid potassium salt</t>
        </is>
      </c>
      <c r="C272"/>
      <c r="D272" t="inlineStr">
        <is>
          <t>Chemical analysis reported</t>
        </is>
      </c>
      <c r="E272" t="inlineStr">
        <is>
          <t>&gt;=</t>
        </is>
      </c>
      <c r="F272" t="n">
        <v>98.0</v>
      </c>
      <c r="G272"/>
      <c r="H272"/>
      <c r="I272"/>
      <c r="J272"/>
      <c r="K272" t="inlineStr">
        <is>
          <t>Baumea articulata</t>
        </is>
      </c>
      <c r="L272" t="inlineStr">
        <is>
          <t>Jointed Twig-Rush</t>
        </is>
      </c>
      <c r="M272" t="inlineStr">
        <is>
          <t>Flowers, Trees, Shrubs, Ferns</t>
        </is>
      </c>
      <c r="N272"/>
      <c r="O272"/>
      <c r="P272"/>
      <c r="Q272"/>
      <c r="R272"/>
      <c r="S272"/>
      <c r="T272"/>
      <c r="U272"/>
      <c r="V272" t="inlineStr">
        <is>
          <t>Hydroponic</t>
        </is>
      </c>
      <c r="W272" t="inlineStr">
        <is>
          <t>Hydroponic</t>
        </is>
      </c>
      <c r="X272" t="inlineStr">
        <is>
          <t>Lab</t>
        </is>
      </c>
      <c r="Y272" t="n">
        <v>3.0</v>
      </c>
      <c r="Z272" t="inlineStr">
        <is>
          <t>Active ingredient</t>
        </is>
      </c>
      <c r="AA272"/>
      <c r="AB272" t="n">
        <v>10.0</v>
      </c>
      <c r="AC272"/>
      <c r="AD272"/>
      <c r="AE272"/>
      <c r="AF272"/>
      <c r="AG272" t="inlineStr">
        <is>
          <t>ug/L</t>
        </is>
      </c>
      <c r="AH272"/>
      <c r="AI272"/>
      <c r="AJ272"/>
      <c r="AK272"/>
      <c r="AL272"/>
      <c r="AM272"/>
      <c r="AN272"/>
      <c r="AO272"/>
      <c r="AP272"/>
      <c r="AQ272"/>
      <c r="AR272"/>
      <c r="AS272"/>
      <c r="AT272"/>
      <c r="AU272"/>
      <c r="AV272"/>
      <c r="AW272"/>
      <c r="AX272" t="inlineStr">
        <is>
          <t>Accumulation</t>
        </is>
      </c>
      <c r="AY272" t="inlineStr">
        <is>
          <t>Residue</t>
        </is>
      </c>
      <c r="AZ272" t="inlineStr">
        <is>
          <t>BAF</t>
        </is>
      </c>
      <c r="BA272"/>
      <c r="BB272" t="n">
        <v>7.2</v>
      </c>
      <c r="BC272"/>
      <c r="BD272"/>
      <c r="BE272"/>
      <c r="BF272"/>
      <c r="BG272"/>
      <c r="BH272"/>
      <c r="BI272" t="inlineStr">
        <is>
          <t>L/kg</t>
        </is>
      </c>
      <c r="BJ272" t="inlineStr">
        <is>
          <t>Root</t>
        </is>
      </c>
      <c r="BK272"/>
      <c r="BL272" t="n">
        <v>1.0</v>
      </c>
      <c r="BM272"/>
      <c r="BN272"/>
      <c r="BO272"/>
      <c r="BP272"/>
      <c r="BQ272" t="inlineStr">
        <is>
          <t>Day(s)</t>
        </is>
      </c>
      <c r="BR272" t="inlineStr">
        <is>
          <t>Awad,J., G. Brunetti, A. Juhasz, M. Williams, D. Navarro, B. Drigo, J. Bougoure, J. Vanderzalm, and S. Beecham</t>
        </is>
      </c>
      <c r="BS272" t="n">
        <v>191324.0</v>
      </c>
      <c r="BT272" t="inlineStr">
        <is>
          <t>Application of Native Plants in Constructed Floating Wetlands as a Passive Remediation Approach for PFAS-Impacted Surface Water</t>
        </is>
      </c>
      <c r="BU272" t="inlineStr">
        <is>
          <t>J. Hazard. Mater.429:11 p.</t>
        </is>
      </c>
      <c r="BV272" t="n">
        <v>2022.0</v>
      </c>
      <c r="BW27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3">
      <c r="A273" t="n">
        <v>2795393.0</v>
      </c>
      <c r="B273" t="inlineStr">
        <is>
          <t>1,1,2,2,3,3,4,4,5,5,6,6,7,7,8,8,8-Heptadecafluoro-1-octanesulfonic acid potassium salt</t>
        </is>
      </c>
      <c r="C273"/>
      <c r="D273" t="inlineStr">
        <is>
          <t>Chemical analysis reported</t>
        </is>
      </c>
      <c r="E273" t="inlineStr">
        <is>
          <t>&gt;=</t>
        </is>
      </c>
      <c r="F273" t="n">
        <v>98.0</v>
      </c>
      <c r="G273"/>
      <c r="H273"/>
      <c r="I273"/>
      <c r="J273"/>
      <c r="K273" t="inlineStr">
        <is>
          <t>Baumea articulata</t>
        </is>
      </c>
      <c r="L273" t="inlineStr">
        <is>
          <t>Jointed Twig-Rush</t>
        </is>
      </c>
      <c r="M273" t="inlineStr">
        <is>
          <t>Flowers, Trees, Shrubs, Ferns</t>
        </is>
      </c>
      <c r="N273"/>
      <c r="O273"/>
      <c r="P273"/>
      <c r="Q273"/>
      <c r="R273"/>
      <c r="S273"/>
      <c r="T273"/>
      <c r="U273"/>
      <c r="V273" t="inlineStr">
        <is>
          <t>Hydroponic</t>
        </is>
      </c>
      <c r="W273" t="inlineStr">
        <is>
          <t>Hydroponic</t>
        </is>
      </c>
      <c r="X273" t="inlineStr">
        <is>
          <t>Lab</t>
        </is>
      </c>
      <c r="Y273" t="n">
        <v>3.0</v>
      </c>
      <c r="Z273" t="inlineStr">
        <is>
          <t>Active ingredient</t>
        </is>
      </c>
      <c r="AA273"/>
      <c r="AB273" t="n">
        <v>30.0</v>
      </c>
      <c r="AC273"/>
      <c r="AD273"/>
      <c r="AE273"/>
      <c r="AF273"/>
      <c r="AG273" t="inlineStr">
        <is>
          <t>ug/L</t>
        </is>
      </c>
      <c r="AH273"/>
      <c r="AI273"/>
      <c r="AJ273"/>
      <c r="AK273"/>
      <c r="AL273"/>
      <c r="AM273"/>
      <c r="AN273"/>
      <c r="AO273"/>
      <c r="AP273"/>
      <c r="AQ273"/>
      <c r="AR273"/>
      <c r="AS273"/>
      <c r="AT273"/>
      <c r="AU273"/>
      <c r="AV273"/>
      <c r="AW273"/>
      <c r="AX273" t="inlineStr">
        <is>
          <t>Accumulation</t>
        </is>
      </c>
      <c r="AY273" t="inlineStr">
        <is>
          <t>Residue</t>
        </is>
      </c>
      <c r="AZ273" t="inlineStr">
        <is>
          <t>BAF</t>
        </is>
      </c>
      <c r="BA273"/>
      <c r="BB273" t="n">
        <v>13.2</v>
      </c>
      <c r="BC273"/>
      <c r="BD273"/>
      <c r="BE273"/>
      <c r="BF273"/>
      <c r="BG273"/>
      <c r="BH273"/>
      <c r="BI273" t="inlineStr">
        <is>
          <t>L/kg</t>
        </is>
      </c>
      <c r="BJ273" t="inlineStr">
        <is>
          <t>Root</t>
        </is>
      </c>
      <c r="BK273"/>
      <c r="BL273" t="n">
        <v>14.0</v>
      </c>
      <c r="BM273"/>
      <c r="BN273"/>
      <c r="BO273"/>
      <c r="BP273"/>
      <c r="BQ273" t="inlineStr">
        <is>
          <t>Day(s)</t>
        </is>
      </c>
      <c r="BR273" t="inlineStr">
        <is>
          <t>Awad,J., G. Brunetti, A. Juhasz, M. Williams, D. Navarro, B. Drigo, J. Bougoure, J. Vanderzalm, and S. Beecham</t>
        </is>
      </c>
      <c r="BS273" t="n">
        <v>191324.0</v>
      </c>
      <c r="BT273" t="inlineStr">
        <is>
          <t>Application of Native Plants in Constructed Floating Wetlands as a Passive Remediation Approach for PFAS-Impacted Surface Water</t>
        </is>
      </c>
      <c r="BU273" t="inlineStr">
        <is>
          <t>J. Hazard. Mater.429:11 p.</t>
        </is>
      </c>
      <c r="BV273" t="n">
        <v>2022.0</v>
      </c>
      <c r="BW27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4">
      <c r="A274" t="n">
        <v>2795393.0</v>
      </c>
      <c r="B274" t="inlineStr">
        <is>
          <t>1,1,2,2,3,3,4,4,5,5,6,6,7,7,8,8,8-Heptadecafluoro-1-octanesulfonic acid potassium salt</t>
        </is>
      </c>
      <c r="C274"/>
      <c r="D274" t="inlineStr">
        <is>
          <t>Chemical analysis reported</t>
        </is>
      </c>
      <c r="E274" t="inlineStr">
        <is>
          <t>&gt;=</t>
        </is>
      </c>
      <c r="F274" t="n">
        <v>98.0</v>
      </c>
      <c r="G274"/>
      <c r="H274"/>
      <c r="I274"/>
      <c r="J274"/>
      <c r="K274" t="inlineStr">
        <is>
          <t>Baumea articulata</t>
        </is>
      </c>
      <c r="L274" t="inlineStr">
        <is>
          <t>Jointed Twig-Rush</t>
        </is>
      </c>
      <c r="M274" t="inlineStr">
        <is>
          <t>Flowers, Trees, Shrubs, Ferns</t>
        </is>
      </c>
      <c r="N274"/>
      <c r="O274"/>
      <c r="P274"/>
      <c r="Q274"/>
      <c r="R274"/>
      <c r="S274"/>
      <c r="T274"/>
      <c r="U274"/>
      <c r="V274" t="inlineStr">
        <is>
          <t>Hydroponic</t>
        </is>
      </c>
      <c r="W274" t="inlineStr">
        <is>
          <t>Hydroponic</t>
        </is>
      </c>
      <c r="X274" t="inlineStr">
        <is>
          <t>Lab</t>
        </is>
      </c>
      <c r="Y274" t="n">
        <v>3.0</v>
      </c>
      <c r="Z274" t="inlineStr">
        <is>
          <t>Active ingredient</t>
        </is>
      </c>
      <c r="AA274"/>
      <c r="AB274" t="n">
        <v>10.0</v>
      </c>
      <c r="AC274"/>
      <c r="AD274"/>
      <c r="AE274"/>
      <c r="AF274"/>
      <c r="AG274" t="inlineStr">
        <is>
          <t>ug/L</t>
        </is>
      </c>
      <c r="AH274"/>
      <c r="AI274"/>
      <c r="AJ274"/>
      <c r="AK274"/>
      <c r="AL274"/>
      <c r="AM274"/>
      <c r="AN274"/>
      <c r="AO274"/>
      <c r="AP274"/>
      <c r="AQ274"/>
      <c r="AR274"/>
      <c r="AS274"/>
      <c r="AT274"/>
      <c r="AU274"/>
      <c r="AV274"/>
      <c r="AW274"/>
      <c r="AX274" t="inlineStr">
        <is>
          <t>Accumulation</t>
        </is>
      </c>
      <c r="AY274" t="inlineStr">
        <is>
          <t>Residue</t>
        </is>
      </c>
      <c r="AZ274" t="inlineStr">
        <is>
          <t>BAF</t>
        </is>
      </c>
      <c r="BA274"/>
      <c r="BB274" t="n">
        <v>2.5</v>
      </c>
      <c r="BC274"/>
      <c r="BD274"/>
      <c r="BE274"/>
      <c r="BF274"/>
      <c r="BG274"/>
      <c r="BH274"/>
      <c r="BI274" t="inlineStr">
        <is>
          <t>L/kg</t>
        </is>
      </c>
      <c r="BJ274" t="inlineStr">
        <is>
          <t>Shoot</t>
        </is>
      </c>
      <c r="BK274"/>
      <c r="BL274" t="n">
        <v>1.0</v>
      </c>
      <c r="BM274"/>
      <c r="BN274"/>
      <c r="BO274"/>
      <c r="BP274"/>
      <c r="BQ274" t="inlineStr">
        <is>
          <t>Day(s)</t>
        </is>
      </c>
      <c r="BR274" t="inlineStr">
        <is>
          <t>Awad,J., G. Brunetti, A. Juhasz, M. Williams, D. Navarro, B. Drigo, J. Bougoure, J. Vanderzalm, and S. Beecham</t>
        </is>
      </c>
      <c r="BS274" t="n">
        <v>191324.0</v>
      </c>
      <c r="BT274" t="inlineStr">
        <is>
          <t>Application of Native Plants in Constructed Floating Wetlands as a Passive Remediation Approach for PFAS-Impacted Surface Water</t>
        </is>
      </c>
      <c r="BU274" t="inlineStr">
        <is>
          <t>J. Hazard. Mater.429:11 p.</t>
        </is>
      </c>
      <c r="BV274" t="n">
        <v>2022.0</v>
      </c>
      <c r="BW27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5">
      <c r="A275" t="n">
        <v>2795393.0</v>
      </c>
      <c r="B275" t="inlineStr">
        <is>
          <t>1,1,2,2,3,3,4,4,5,5,6,6,7,7,8,8,8-Heptadecafluoro-1-octanesulfonic acid potassium salt</t>
        </is>
      </c>
      <c r="C275"/>
      <c r="D275" t="inlineStr">
        <is>
          <t>Chemical analysis reported</t>
        </is>
      </c>
      <c r="E275" t="inlineStr">
        <is>
          <t>&gt;=</t>
        </is>
      </c>
      <c r="F275" t="n">
        <v>98.0</v>
      </c>
      <c r="G275"/>
      <c r="H275"/>
      <c r="I275"/>
      <c r="J275"/>
      <c r="K275" t="inlineStr">
        <is>
          <t>Baumea articulata</t>
        </is>
      </c>
      <c r="L275" t="inlineStr">
        <is>
          <t>Jointed Twig-Rush</t>
        </is>
      </c>
      <c r="M275" t="inlineStr">
        <is>
          <t>Flowers, Trees, Shrubs, Ferns</t>
        </is>
      </c>
      <c r="N275"/>
      <c r="O275"/>
      <c r="P275"/>
      <c r="Q275"/>
      <c r="R275"/>
      <c r="S275"/>
      <c r="T275"/>
      <c r="U275"/>
      <c r="V275" t="inlineStr">
        <is>
          <t>Hydroponic</t>
        </is>
      </c>
      <c r="W275" t="inlineStr">
        <is>
          <t>Hydroponic</t>
        </is>
      </c>
      <c r="X275" t="inlineStr">
        <is>
          <t>Lab</t>
        </is>
      </c>
      <c r="Y275" t="n">
        <v>3.0</v>
      </c>
      <c r="Z275" t="inlineStr">
        <is>
          <t>Active ingredient</t>
        </is>
      </c>
      <c r="AA275"/>
      <c r="AB275" t="n">
        <v>30.0</v>
      </c>
      <c r="AC275"/>
      <c r="AD275"/>
      <c r="AE275"/>
      <c r="AF275"/>
      <c r="AG275" t="inlineStr">
        <is>
          <t>ug/L</t>
        </is>
      </c>
      <c r="AH275"/>
      <c r="AI275"/>
      <c r="AJ275"/>
      <c r="AK275"/>
      <c r="AL275"/>
      <c r="AM275"/>
      <c r="AN275"/>
      <c r="AO275"/>
      <c r="AP275"/>
      <c r="AQ275"/>
      <c r="AR275"/>
      <c r="AS275"/>
      <c r="AT275"/>
      <c r="AU275"/>
      <c r="AV275"/>
      <c r="AW275"/>
      <c r="AX275" t="inlineStr">
        <is>
          <t>Accumulation</t>
        </is>
      </c>
      <c r="AY275" t="inlineStr">
        <is>
          <t>Residue</t>
        </is>
      </c>
      <c r="AZ275" t="inlineStr">
        <is>
          <t>BAF</t>
        </is>
      </c>
      <c r="BA275"/>
      <c r="BB275" t="n">
        <v>3.83</v>
      </c>
      <c r="BC275"/>
      <c r="BD275"/>
      <c r="BE275"/>
      <c r="BF275"/>
      <c r="BG275"/>
      <c r="BH275"/>
      <c r="BI275" t="inlineStr">
        <is>
          <t>L/kg</t>
        </is>
      </c>
      <c r="BJ275" t="inlineStr">
        <is>
          <t>Shoot</t>
        </is>
      </c>
      <c r="BK275"/>
      <c r="BL275" t="n">
        <v>4.0</v>
      </c>
      <c r="BM275"/>
      <c r="BN275"/>
      <c r="BO275"/>
      <c r="BP275"/>
      <c r="BQ275" t="inlineStr">
        <is>
          <t>Day(s)</t>
        </is>
      </c>
      <c r="BR275" t="inlineStr">
        <is>
          <t>Awad,J., G. Brunetti, A. Juhasz, M. Williams, D. Navarro, B. Drigo, J. Bougoure, J. Vanderzalm, and S. Beecham</t>
        </is>
      </c>
      <c r="BS275" t="n">
        <v>191324.0</v>
      </c>
      <c r="BT275" t="inlineStr">
        <is>
          <t>Application of Native Plants in Constructed Floating Wetlands as a Passive Remediation Approach for PFAS-Impacted Surface Water</t>
        </is>
      </c>
      <c r="BU275" t="inlineStr">
        <is>
          <t>J. Hazard. Mater.429:11 p.</t>
        </is>
      </c>
      <c r="BV275" t="n">
        <v>2022.0</v>
      </c>
      <c r="BW27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6">
      <c r="A276" t="n">
        <v>2795393.0</v>
      </c>
      <c r="B276" t="inlineStr">
        <is>
          <t>1,1,2,2,3,3,4,4,5,5,6,6,7,7,8,8,8-Heptadecafluoro-1-octanesulfonic acid potassium salt</t>
        </is>
      </c>
      <c r="C276"/>
      <c r="D276" t="inlineStr">
        <is>
          <t>Chemical analysis reported</t>
        </is>
      </c>
      <c r="E276" t="inlineStr">
        <is>
          <t>&gt;=</t>
        </is>
      </c>
      <c r="F276" t="n">
        <v>98.0</v>
      </c>
      <c r="G276"/>
      <c r="H276"/>
      <c r="I276"/>
      <c r="J276"/>
      <c r="K276" t="inlineStr">
        <is>
          <t>Baumea articulata</t>
        </is>
      </c>
      <c r="L276" t="inlineStr">
        <is>
          <t>Jointed Twig-Rush</t>
        </is>
      </c>
      <c r="M276" t="inlineStr">
        <is>
          <t>Flowers, Trees, Shrubs, Ferns</t>
        </is>
      </c>
      <c r="N276"/>
      <c r="O276"/>
      <c r="P276"/>
      <c r="Q276"/>
      <c r="R276"/>
      <c r="S276"/>
      <c r="T276"/>
      <c r="U276"/>
      <c r="V276" t="inlineStr">
        <is>
          <t>Hydroponic</t>
        </is>
      </c>
      <c r="W276" t="inlineStr">
        <is>
          <t>Hydroponic</t>
        </is>
      </c>
      <c r="X276" t="inlineStr">
        <is>
          <t>Lab</t>
        </is>
      </c>
      <c r="Y276" t="n">
        <v>3.0</v>
      </c>
      <c r="Z276" t="inlineStr">
        <is>
          <t>Active ingredient</t>
        </is>
      </c>
      <c r="AA276"/>
      <c r="AB276" t="n">
        <v>10.0</v>
      </c>
      <c r="AC276"/>
      <c r="AD276"/>
      <c r="AE276"/>
      <c r="AF276"/>
      <c r="AG276" t="inlineStr">
        <is>
          <t>ug/L</t>
        </is>
      </c>
      <c r="AH276"/>
      <c r="AI276"/>
      <c r="AJ276"/>
      <c r="AK276"/>
      <c r="AL276"/>
      <c r="AM276"/>
      <c r="AN276"/>
      <c r="AO276"/>
      <c r="AP276"/>
      <c r="AQ276"/>
      <c r="AR276"/>
      <c r="AS276"/>
      <c r="AT276"/>
      <c r="AU276"/>
      <c r="AV276"/>
      <c r="AW276"/>
      <c r="AX276" t="inlineStr">
        <is>
          <t>Accumulation</t>
        </is>
      </c>
      <c r="AY276" t="inlineStr">
        <is>
          <t>Residue</t>
        </is>
      </c>
      <c r="AZ276" t="inlineStr">
        <is>
          <t>BAF</t>
        </is>
      </c>
      <c r="BA276"/>
      <c r="BB276" t="n">
        <v>14.5</v>
      </c>
      <c r="BC276"/>
      <c r="BD276"/>
      <c r="BE276"/>
      <c r="BF276"/>
      <c r="BG276"/>
      <c r="BH276"/>
      <c r="BI276" t="inlineStr">
        <is>
          <t>L/kg</t>
        </is>
      </c>
      <c r="BJ276" t="inlineStr">
        <is>
          <t>Root</t>
        </is>
      </c>
      <c r="BK276"/>
      <c r="BL276" t="n">
        <v>14.0</v>
      </c>
      <c r="BM276"/>
      <c r="BN276"/>
      <c r="BO276"/>
      <c r="BP276"/>
      <c r="BQ276" t="inlineStr">
        <is>
          <t>Day(s)</t>
        </is>
      </c>
      <c r="BR276" t="inlineStr">
        <is>
          <t>Awad,J., G. Brunetti, A. Juhasz, M. Williams, D. Navarro, B. Drigo, J. Bougoure, J. Vanderzalm, and S. Beecham</t>
        </is>
      </c>
      <c r="BS276" t="n">
        <v>191324.0</v>
      </c>
      <c r="BT276" t="inlineStr">
        <is>
          <t>Application of Native Plants in Constructed Floating Wetlands as a Passive Remediation Approach for PFAS-Impacted Surface Water</t>
        </is>
      </c>
      <c r="BU276" t="inlineStr">
        <is>
          <t>J. Hazard. Mater.429:11 p.</t>
        </is>
      </c>
      <c r="BV276" t="n">
        <v>2022.0</v>
      </c>
      <c r="BW27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7">
      <c r="A277" t="n">
        <v>2795393.0</v>
      </c>
      <c r="B277" t="inlineStr">
        <is>
          <t>1,1,2,2,3,3,4,4,5,5,6,6,7,7,8,8,8-Heptadecafluoro-1-octanesulfonic acid potassium salt</t>
        </is>
      </c>
      <c r="C277"/>
      <c r="D277" t="inlineStr">
        <is>
          <t>Chemical analysis reported</t>
        </is>
      </c>
      <c r="E277" t="inlineStr">
        <is>
          <t>&gt;=</t>
        </is>
      </c>
      <c r="F277" t="n">
        <v>98.0</v>
      </c>
      <c r="G277"/>
      <c r="H277"/>
      <c r="I277"/>
      <c r="J277"/>
      <c r="K277" t="inlineStr">
        <is>
          <t>Baumea articulata</t>
        </is>
      </c>
      <c r="L277" t="inlineStr">
        <is>
          <t>Jointed Twig-Rush</t>
        </is>
      </c>
      <c r="M277" t="inlineStr">
        <is>
          <t>Flowers, Trees, Shrubs, Ferns</t>
        </is>
      </c>
      <c r="N277"/>
      <c r="O277"/>
      <c r="P277"/>
      <c r="Q277"/>
      <c r="R277"/>
      <c r="S277"/>
      <c r="T277"/>
      <c r="U277"/>
      <c r="V277" t="inlineStr">
        <is>
          <t>Hydroponic</t>
        </is>
      </c>
      <c r="W277" t="inlineStr">
        <is>
          <t>Hydroponic</t>
        </is>
      </c>
      <c r="X277" t="inlineStr">
        <is>
          <t>Lab</t>
        </is>
      </c>
      <c r="Y277" t="n">
        <v>3.0</v>
      </c>
      <c r="Z277" t="inlineStr">
        <is>
          <t>Active ingredient</t>
        </is>
      </c>
      <c r="AA277"/>
      <c r="AB277" t="n">
        <v>30.0</v>
      </c>
      <c r="AC277"/>
      <c r="AD277"/>
      <c r="AE277"/>
      <c r="AF277"/>
      <c r="AG277" t="inlineStr">
        <is>
          <t>ug/L</t>
        </is>
      </c>
      <c r="AH277"/>
      <c r="AI277"/>
      <c r="AJ277"/>
      <c r="AK277"/>
      <c r="AL277"/>
      <c r="AM277"/>
      <c r="AN277"/>
      <c r="AO277"/>
      <c r="AP277"/>
      <c r="AQ277"/>
      <c r="AR277"/>
      <c r="AS277"/>
      <c r="AT277"/>
      <c r="AU277"/>
      <c r="AV277"/>
      <c r="AW277"/>
      <c r="AX277" t="inlineStr">
        <is>
          <t>Accumulation</t>
        </is>
      </c>
      <c r="AY277" t="inlineStr">
        <is>
          <t>Residue</t>
        </is>
      </c>
      <c r="AZ277" t="inlineStr">
        <is>
          <t>BAF</t>
        </is>
      </c>
      <c r="BA277"/>
      <c r="BB277" t="n">
        <v>3.75</v>
      </c>
      <c r="BC277"/>
      <c r="BD277"/>
      <c r="BE277"/>
      <c r="BF277"/>
      <c r="BG277"/>
      <c r="BH277"/>
      <c r="BI277" t="inlineStr">
        <is>
          <t>L/kg</t>
        </is>
      </c>
      <c r="BJ277" t="inlineStr">
        <is>
          <t>Whole organism</t>
        </is>
      </c>
      <c r="BK277"/>
      <c r="BL277" t="n">
        <v>28.0</v>
      </c>
      <c r="BM277"/>
      <c r="BN277"/>
      <c r="BO277"/>
      <c r="BP277"/>
      <c r="BQ277" t="inlineStr">
        <is>
          <t>Day(s)</t>
        </is>
      </c>
      <c r="BR277" t="inlineStr">
        <is>
          <t>Awad,J., G. Brunetti, A. Juhasz, M. Williams, D. Navarro, B. Drigo, J. Bougoure, J. Vanderzalm, and S. Beecham</t>
        </is>
      </c>
      <c r="BS277" t="n">
        <v>191324.0</v>
      </c>
      <c r="BT277" t="inlineStr">
        <is>
          <t>Application of Native Plants in Constructed Floating Wetlands as a Passive Remediation Approach for PFAS-Impacted Surface Water</t>
        </is>
      </c>
      <c r="BU277" t="inlineStr">
        <is>
          <t>J. Hazard. Mater.429:11 p.</t>
        </is>
      </c>
      <c r="BV277" t="n">
        <v>2022.0</v>
      </c>
      <c r="BW27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8">
      <c r="A278" t="n">
        <v>2795393.0</v>
      </c>
      <c r="B278" t="inlineStr">
        <is>
          <t>1,1,2,2,3,3,4,4,5,5,6,6,7,7,8,8,8-Heptadecafluoro-1-octanesulfonic acid potassium salt</t>
        </is>
      </c>
      <c r="C278"/>
      <c r="D278" t="inlineStr">
        <is>
          <t>Chemical analysis reported</t>
        </is>
      </c>
      <c r="E278" t="inlineStr">
        <is>
          <t>&gt;=</t>
        </is>
      </c>
      <c r="F278" t="n">
        <v>98.0</v>
      </c>
      <c r="G278"/>
      <c r="H278"/>
      <c r="I278"/>
      <c r="J278"/>
      <c r="K278" t="inlineStr">
        <is>
          <t>Baumea articulata</t>
        </is>
      </c>
      <c r="L278" t="inlineStr">
        <is>
          <t>Jointed Twig-Rush</t>
        </is>
      </c>
      <c r="M278" t="inlineStr">
        <is>
          <t>Flowers, Trees, Shrubs, Ferns</t>
        </is>
      </c>
      <c r="N278"/>
      <c r="O278"/>
      <c r="P278"/>
      <c r="Q278"/>
      <c r="R278"/>
      <c r="S278"/>
      <c r="T278"/>
      <c r="U278"/>
      <c r="V278" t="inlineStr">
        <is>
          <t>Hydroponic</t>
        </is>
      </c>
      <c r="W278" t="inlineStr">
        <is>
          <t>Hydroponic</t>
        </is>
      </c>
      <c r="X278" t="inlineStr">
        <is>
          <t>Lab</t>
        </is>
      </c>
      <c r="Y278" t="n">
        <v>3.0</v>
      </c>
      <c r="Z278" t="inlineStr">
        <is>
          <t>Active ingredient</t>
        </is>
      </c>
      <c r="AA278"/>
      <c r="AB278" t="n">
        <v>10.0</v>
      </c>
      <c r="AC278"/>
      <c r="AD278"/>
      <c r="AE278"/>
      <c r="AF278"/>
      <c r="AG278" t="inlineStr">
        <is>
          <t>ug/L</t>
        </is>
      </c>
      <c r="AH278"/>
      <c r="AI278"/>
      <c r="AJ278"/>
      <c r="AK278"/>
      <c r="AL278"/>
      <c r="AM278"/>
      <c r="AN278"/>
      <c r="AO278"/>
      <c r="AP278"/>
      <c r="AQ278"/>
      <c r="AR278"/>
      <c r="AS278"/>
      <c r="AT278"/>
      <c r="AU278"/>
      <c r="AV278"/>
      <c r="AW278"/>
      <c r="AX278" t="inlineStr">
        <is>
          <t>Accumulation</t>
        </is>
      </c>
      <c r="AY278" t="inlineStr">
        <is>
          <t>Residue</t>
        </is>
      </c>
      <c r="AZ278" t="inlineStr">
        <is>
          <t>BAF</t>
        </is>
      </c>
      <c r="BA278"/>
      <c r="BB278" t="n">
        <v>3.1</v>
      </c>
      <c r="BC278"/>
      <c r="BD278"/>
      <c r="BE278"/>
      <c r="BF278"/>
      <c r="BG278"/>
      <c r="BH278"/>
      <c r="BI278" t="inlineStr">
        <is>
          <t>L/kg</t>
        </is>
      </c>
      <c r="BJ278" t="inlineStr">
        <is>
          <t>Shoot</t>
        </is>
      </c>
      <c r="BK278"/>
      <c r="BL278" t="n">
        <v>4.0</v>
      </c>
      <c r="BM278"/>
      <c r="BN278"/>
      <c r="BO278"/>
      <c r="BP278"/>
      <c r="BQ278" t="inlineStr">
        <is>
          <t>Day(s)</t>
        </is>
      </c>
      <c r="BR278" t="inlineStr">
        <is>
          <t>Awad,J., G. Brunetti, A. Juhasz, M. Williams, D. Navarro, B. Drigo, J. Bougoure, J. Vanderzalm, and S. Beecham</t>
        </is>
      </c>
      <c r="BS278" t="n">
        <v>191324.0</v>
      </c>
      <c r="BT278" t="inlineStr">
        <is>
          <t>Application of Native Plants in Constructed Floating Wetlands as a Passive Remediation Approach for PFAS-Impacted Surface Water</t>
        </is>
      </c>
      <c r="BU278" t="inlineStr">
        <is>
          <t>J. Hazard. Mater.429:11 p.</t>
        </is>
      </c>
      <c r="BV278" t="n">
        <v>2022.0</v>
      </c>
      <c r="BW27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9">
      <c r="A279" t="n">
        <v>2795393.0</v>
      </c>
      <c r="B279" t="inlineStr">
        <is>
          <t>1,1,2,2,3,3,4,4,5,5,6,6,7,7,8,8,8-Heptadecafluoro-1-octanesulfonic acid potassium salt</t>
        </is>
      </c>
      <c r="C279"/>
      <c r="D279" t="inlineStr">
        <is>
          <t>Chemical analysis reported</t>
        </is>
      </c>
      <c r="E279" t="inlineStr">
        <is>
          <t>&gt;=</t>
        </is>
      </c>
      <c r="F279" t="n">
        <v>98.0</v>
      </c>
      <c r="G279"/>
      <c r="H279"/>
      <c r="I279"/>
      <c r="J279"/>
      <c r="K279" t="inlineStr">
        <is>
          <t>Baumea articulata</t>
        </is>
      </c>
      <c r="L279" t="inlineStr">
        <is>
          <t>Jointed Twig-Rush</t>
        </is>
      </c>
      <c r="M279" t="inlineStr">
        <is>
          <t>Flowers, Trees, Shrubs, Ferns</t>
        </is>
      </c>
      <c r="N279"/>
      <c r="O279"/>
      <c r="P279"/>
      <c r="Q279"/>
      <c r="R279"/>
      <c r="S279"/>
      <c r="T279"/>
      <c r="U279"/>
      <c r="V279" t="inlineStr">
        <is>
          <t>Hydroponic</t>
        </is>
      </c>
      <c r="W279" t="inlineStr">
        <is>
          <t>Hydroponic</t>
        </is>
      </c>
      <c r="X279" t="inlineStr">
        <is>
          <t>Lab</t>
        </is>
      </c>
      <c r="Y279" t="n">
        <v>3.0</v>
      </c>
      <c r="Z279" t="inlineStr">
        <is>
          <t>Active ingredient</t>
        </is>
      </c>
      <c r="AA279"/>
      <c r="AB279" t="n">
        <v>10.0</v>
      </c>
      <c r="AC279"/>
      <c r="AD279"/>
      <c r="AE279"/>
      <c r="AF279"/>
      <c r="AG279" t="inlineStr">
        <is>
          <t>ug/L</t>
        </is>
      </c>
      <c r="AH279"/>
      <c r="AI279"/>
      <c r="AJ279"/>
      <c r="AK279"/>
      <c r="AL279"/>
      <c r="AM279"/>
      <c r="AN279"/>
      <c r="AO279"/>
      <c r="AP279"/>
      <c r="AQ279"/>
      <c r="AR279"/>
      <c r="AS279"/>
      <c r="AT279"/>
      <c r="AU279"/>
      <c r="AV279"/>
      <c r="AW279"/>
      <c r="AX279" t="inlineStr">
        <is>
          <t>Accumulation</t>
        </is>
      </c>
      <c r="AY279" t="inlineStr">
        <is>
          <t>Residue</t>
        </is>
      </c>
      <c r="AZ279" t="inlineStr">
        <is>
          <t>BAF</t>
        </is>
      </c>
      <c r="BA279"/>
      <c r="BB279" t="n">
        <v>4.2</v>
      </c>
      <c r="BC279"/>
      <c r="BD279"/>
      <c r="BE279"/>
      <c r="BF279"/>
      <c r="BG279"/>
      <c r="BH279"/>
      <c r="BI279" t="inlineStr">
        <is>
          <t>L/kg</t>
        </is>
      </c>
      <c r="BJ279" t="inlineStr">
        <is>
          <t>Whole organism</t>
        </is>
      </c>
      <c r="BK279"/>
      <c r="BL279" t="n">
        <v>1.0</v>
      </c>
      <c r="BM279"/>
      <c r="BN279"/>
      <c r="BO279"/>
      <c r="BP279"/>
      <c r="BQ279" t="inlineStr">
        <is>
          <t>Day(s)</t>
        </is>
      </c>
      <c r="BR279" t="inlineStr">
        <is>
          <t>Awad,J., G. Brunetti, A. Juhasz, M. Williams, D. Navarro, B. Drigo, J. Bougoure, J. Vanderzalm, and S. Beecham</t>
        </is>
      </c>
      <c r="BS279" t="n">
        <v>191324.0</v>
      </c>
      <c r="BT279" t="inlineStr">
        <is>
          <t>Application of Native Plants in Constructed Floating Wetlands as a Passive Remediation Approach for PFAS-Impacted Surface Water</t>
        </is>
      </c>
      <c r="BU279" t="inlineStr">
        <is>
          <t>J. Hazard. Mater.429:11 p.</t>
        </is>
      </c>
      <c r="BV279" t="n">
        <v>2022.0</v>
      </c>
      <c r="BW27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80">
      <c r="A280" t="n">
        <v>2795393.0</v>
      </c>
      <c r="B280" t="inlineStr">
        <is>
          <t>1,1,2,2,3,3,4,4,5,5,6,6,7,7,8,8,8-Heptadecafluoro-1-octanesulfonic acid potassium salt</t>
        </is>
      </c>
      <c r="C280"/>
      <c r="D280" t="inlineStr">
        <is>
          <t>Unmeasured</t>
        </is>
      </c>
      <c r="E280" t="inlineStr">
        <is>
          <t>&gt;=</t>
        </is>
      </c>
      <c r="F280" t="n">
        <v>98.0</v>
      </c>
      <c r="G280"/>
      <c r="H280"/>
      <c r="I280"/>
      <c r="J280"/>
      <c r="K280" t="inlineStr">
        <is>
          <t>Brassica oleracea</t>
        </is>
      </c>
      <c r="L280" t="inlineStr">
        <is>
          <t>Cabbage</t>
        </is>
      </c>
      <c r="M280" t="inlineStr">
        <is>
          <t>Flowers, Trees, Shrubs, Ferns; Standard Test Species</t>
        </is>
      </c>
      <c r="N280" t="inlineStr">
        <is>
          <t>Seedling</t>
        </is>
      </c>
      <c r="O280"/>
      <c r="P280" t="n">
        <v>14.0</v>
      </c>
      <c r="Q280"/>
      <c r="R280"/>
      <c r="S280"/>
      <c r="T280"/>
      <c r="U280" t="inlineStr">
        <is>
          <t>Days post planting/sowing</t>
        </is>
      </c>
      <c r="V280" t="inlineStr">
        <is>
          <t>Hydroponic</t>
        </is>
      </c>
      <c r="W280" t="inlineStr">
        <is>
          <t>Culture</t>
        </is>
      </c>
      <c r="X280" t="inlineStr">
        <is>
          <t>Lab</t>
        </is>
      </c>
      <c r="Y280" t="n">
        <v>5.0</v>
      </c>
      <c r="Z280" t="inlineStr">
        <is>
          <t>Active ingredient</t>
        </is>
      </c>
      <c r="AA280"/>
      <c r="AB280"/>
      <c r="AC280"/>
      <c r="AD280" t="n">
        <v>10.0</v>
      </c>
      <c r="AE280"/>
      <c r="AF280" t="n">
        <v>1000.0</v>
      </c>
      <c r="AG280" t="inlineStr">
        <is>
          <t>ng/L</t>
        </is>
      </c>
      <c r="AH280"/>
      <c r="AI280"/>
      <c r="AJ280"/>
      <c r="AK280"/>
      <c r="AL280"/>
      <c r="AM280"/>
      <c r="AN280"/>
      <c r="AO280"/>
      <c r="AP280"/>
      <c r="AQ280"/>
      <c r="AR280"/>
      <c r="AS280"/>
      <c r="AT280"/>
      <c r="AU280"/>
      <c r="AV280"/>
      <c r="AW280"/>
      <c r="AX280" t="inlineStr">
        <is>
          <t>Accumulation</t>
        </is>
      </c>
      <c r="AY280" t="inlineStr">
        <is>
          <t>Residue</t>
        </is>
      </c>
      <c r="AZ280" t="inlineStr">
        <is>
          <t>BCF</t>
        </is>
      </c>
      <c r="BA280"/>
      <c r="BB280"/>
      <c r="BC280"/>
      <c r="BD280" t="n">
        <v>0.1</v>
      </c>
      <c r="BE280"/>
      <c r="BF280" t="n">
        <v>1.0</v>
      </c>
      <c r="BG280"/>
      <c r="BH280"/>
      <c r="BI280" t="inlineStr">
        <is>
          <t>ml/g</t>
        </is>
      </c>
      <c r="BJ280" t="inlineStr">
        <is>
          <t>Edible tissue</t>
        </is>
      </c>
      <c r="BK280"/>
      <c r="BL280"/>
      <c r="BM280"/>
      <c r="BN280" t="n">
        <v>103.0</v>
      </c>
      <c r="BO280"/>
      <c r="BP280" t="n">
        <v>123.0</v>
      </c>
      <c r="BQ280" t="inlineStr">
        <is>
          <t>Day(s)</t>
        </is>
      </c>
      <c r="BR280" t="inlineStr">
        <is>
          <t>Felizeter,S., M.S. McLachlan, and P. De Voogt</t>
        </is>
      </c>
      <c r="BS280" t="n">
        <v>176914.0</v>
      </c>
      <c r="BT280" t="inlineStr">
        <is>
          <t>Root Uptake and Translocation of Perfluorinated Alkyl Acids by Three Hydroponically Grown Crops</t>
        </is>
      </c>
      <c r="BU280" t="inlineStr">
        <is>
          <t>J. Agric. Food Chem.62(15): 3334-3342</t>
        </is>
      </c>
      <c r="BV280" t="n">
        <v>2014.0</v>
      </c>
      <c r="BW280" t="inlineStr">
        <is>
          <t>Felizeter,S., M.S. McLachlan, and P. De Voogt (2014). Root Uptake and Translocation of Perfluorinated Alkyl Acids by Three Hydroponically Grown Crops. J. Agric. Food Chem., 62, (15), 3334-3342. doi:10.1021/jf500674j. ECOREF#:176914</t>
        </is>
      </c>
    </row>
    <row r="281">
      <c r="A281" t="n">
        <v>2795393.0</v>
      </c>
      <c r="B281" t="inlineStr">
        <is>
          <t>1,1,2,2,3,3,4,4,5,5,6,6,7,7,8,8,8-Heptadecafluoro-1-octanesulfonic acid potassium salt</t>
        </is>
      </c>
      <c r="C281"/>
      <c r="D281" t="inlineStr">
        <is>
          <t>Unmeasured</t>
        </is>
      </c>
      <c r="E281" t="inlineStr">
        <is>
          <t>&gt;=</t>
        </is>
      </c>
      <c r="F281" t="n">
        <v>98.0</v>
      </c>
      <c r="G281"/>
      <c r="H281"/>
      <c r="I281"/>
      <c r="J281"/>
      <c r="K281" t="inlineStr">
        <is>
          <t>Brassica oleracea</t>
        </is>
      </c>
      <c r="L281" t="inlineStr">
        <is>
          <t>Cabbage</t>
        </is>
      </c>
      <c r="M281" t="inlineStr">
        <is>
          <t>Flowers, Trees, Shrubs, Ferns; Standard Test Species</t>
        </is>
      </c>
      <c r="N281" t="inlineStr">
        <is>
          <t>Seedling</t>
        </is>
      </c>
      <c r="O281"/>
      <c r="P281" t="n">
        <v>14.0</v>
      </c>
      <c r="Q281"/>
      <c r="R281"/>
      <c r="S281"/>
      <c r="T281"/>
      <c r="U281" t="inlineStr">
        <is>
          <t>Days post planting/sowing</t>
        </is>
      </c>
      <c r="V281" t="inlineStr">
        <is>
          <t>Hydroponic</t>
        </is>
      </c>
      <c r="W281" t="inlineStr">
        <is>
          <t>Culture</t>
        </is>
      </c>
      <c r="X281" t="inlineStr">
        <is>
          <t>Lab</t>
        </is>
      </c>
      <c r="Y281" t="n">
        <v>5.0</v>
      </c>
      <c r="Z281" t="inlineStr">
        <is>
          <t>Active ingredient</t>
        </is>
      </c>
      <c r="AA281"/>
      <c r="AB281"/>
      <c r="AC281"/>
      <c r="AD281" t="n">
        <v>10.0</v>
      </c>
      <c r="AE281"/>
      <c r="AF281" t="n">
        <v>1000.0</v>
      </c>
      <c r="AG281" t="inlineStr">
        <is>
          <t>ng/L</t>
        </is>
      </c>
      <c r="AH281"/>
      <c r="AI281"/>
      <c r="AJ281"/>
      <c r="AK281"/>
      <c r="AL281"/>
      <c r="AM281"/>
      <c r="AN281"/>
      <c r="AO281"/>
      <c r="AP281"/>
      <c r="AQ281"/>
      <c r="AR281"/>
      <c r="AS281"/>
      <c r="AT281"/>
      <c r="AU281"/>
      <c r="AV281"/>
      <c r="AW281"/>
      <c r="AX281" t="inlineStr">
        <is>
          <t>Accumulation</t>
        </is>
      </c>
      <c r="AY281" t="inlineStr">
        <is>
          <t>Residue</t>
        </is>
      </c>
      <c r="AZ281" t="inlineStr">
        <is>
          <t>BCF</t>
        </is>
      </c>
      <c r="BA281"/>
      <c r="BB281"/>
      <c r="BC281"/>
      <c r="BD281" t="n">
        <v>10.0</v>
      </c>
      <c r="BE281"/>
      <c r="BF281" t="n">
        <v>100.0</v>
      </c>
      <c r="BG281"/>
      <c r="BH281"/>
      <c r="BI281" t="inlineStr">
        <is>
          <t>ml/g</t>
        </is>
      </c>
      <c r="BJ281" t="inlineStr">
        <is>
          <t>Root</t>
        </is>
      </c>
      <c r="BK281"/>
      <c r="BL281"/>
      <c r="BM281"/>
      <c r="BN281" t="n">
        <v>103.0</v>
      </c>
      <c r="BO281"/>
      <c r="BP281" t="n">
        <v>123.0</v>
      </c>
      <c r="BQ281" t="inlineStr">
        <is>
          <t>Day(s)</t>
        </is>
      </c>
      <c r="BR281" t="inlineStr">
        <is>
          <t>Felizeter,S., M.S. McLachlan, and P. De Voogt</t>
        </is>
      </c>
      <c r="BS281" t="n">
        <v>176914.0</v>
      </c>
      <c r="BT281" t="inlineStr">
        <is>
          <t>Root Uptake and Translocation of Perfluorinated Alkyl Acids by Three Hydroponically Grown Crops</t>
        </is>
      </c>
      <c r="BU281" t="inlineStr">
        <is>
          <t>J. Agric. Food Chem.62(15): 3334-3342</t>
        </is>
      </c>
      <c r="BV281" t="n">
        <v>2014.0</v>
      </c>
      <c r="BW281" t="inlineStr">
        <is>
          <t>Felizeter,S., M.S. McLachlan, and P. De Voogt (2014). Root Uptake and Translocation of Perfluorinated Alkyl Acids by Three Hydroponically Grown Crops. J. Agric. Food Chem., 62, (15), 3334-3342. doi:10.1021/jf500674j. ECOREF#:176914</t>
        </is>
      </c>
    </row>
    <row r="282">
      <c r="A282" t="n">
        <v>2795393.0</v>
      </c>
      <c r="B282" t="inlineStr">
        <is>
          <t>1,1,2,2,3,3,4,4,5,5,6,6,7,7,8,8,8-Heptadecafluoro-1-octanesulfonic acid potassium salt</t>
        </is>
      </c>
      <c r="C282"/>
      <c r="D282" t="inlineStr">
        <is>
          <t>Unmeasured</t>
        </is>
      </c>
      <c r="E282" t="inlineStr">
        <is>
          <t>&gt;=</t>
        </is>
      </c>
      <c r="F282" t="n">
        <v>98.0</v>
      </c>
      <c r="G282"/>
      <c r="H282"/>
      <c r="I282"/>
      <c r="J282"/>
      <c r="K282" t="inlineStr">
        <is>
          <t>Brassica oleracea</t>
        </is>
      </c>
      <c r="L282" t="inlineStr">
        <is>
          <t>Cabbage</t>
        </is>
      </c>
      <c r="M282" t="inlineStr">
        <is>
          <t>Flowers, Trees, Shrubs, Ferns; Standard Test Species</t>
        </is>
      </c>
      <c r="N282" t="inlineStr">
        <is>
          <t>Seedling</t>
        </is>
      </c>
      <c r="O282"/>
      <c r="P282" t="n">
        <v>14.0</v>
      </c>
      <c r="Q282"/>
      <c r="R282"/>
      <c r="S282"/>
      <c r="T282"/>
      <c r="U282" t="inlineStr">
        <is>
          <t>Days post planting/sowing</t>
        </is>
      </c>
      <c r="V282" t="inlineStr">
        <is>
          <t>Hydroponic</t>
        </is>
      </c>
      <c r="W282" t="inlineStr">
        <is>
          <t>Culture</t>
        </is>
      </c>
      <c r="X282" t="inlineStr">
        <is>
          <t>Lab</t>
        </is>
      </c>
      <c r="Y282" t="n">
        <v>5.0</v>
      </c>
      <c r="Z282" t="inlineStr">
        <is>
          <t>Active ingredient</t>
        </is>
      </c>
      <c r="AA282"/>
      <c r="AB282"/>
      <c r="AC282"/>
      <c r="AD282" t="n">
        <v>10.0</v>
      </c>
      <c r="AE282"/>
      <c r="AF282" t="n">
        <v>1000.0</v>
      </c>
      <c r="AG282" t="inlineStr">
        <is>
          <t>ng/L</t>
        </is>
      </c>
      <c r="AH282"/>
      <c r="AI282"/>
      <c r="AJ282"/>
      <c r="AK282"/>
      <c r="AL282"/>
      <c r="AM282"/>
      <c r="AN282"/>
      <c r="AO282"/>
      <c r="AP282"/>
      <c r="AQ282"/>
      <c r="AR282"/>
      <c r="AS282"/>
      <c r="AT282"/>
      <c r="AU282"/>
      <c r="AV282"/>
      <c r="AW282"/>
      <c r="AX282" t="inlineStr">
        <is>
          <t>Accumulation</t>
        </is>
      </c>
      <c r="AY282" t="inlineStr">
        <is>
          <t>Residue</t>
        </is>
      </c>
      <c r="AZ282" t="inlineStr">
        <is>
          <t>BCF</t>
        </is>
      </c>
      <c r="BA282"/>
      <c r="BB282"/>
      <c r="BC282"/>
      <c r="BD282" t="n">
        <v>0.0</v>
      </c>
      <c r="BE282"/>
      <c r="BF282" t="n">
        <v>10.0</v>
      </c>
      <c r="BG282"/>
      <c r="BH282"/>
      <c r="BI282" t="inlineStr">
        <is>
          <t>ml/g</t>
        </is>
      </c>
      <c r="BJ282" t="inlineStr">
        <is>
          <t>Leafneedle</t>
        </is>
      </c>
      <c r="BK282"/>
      <c r="BL282"/>
      <c r="BM282"/>
      <c r="BN282" t="n">
        <v>103.0</v>
      </c>
      <c r="BO282"/>
      <c r="BP282" t="n">
        <v>123.0</v>
      </c>
      <c r="BQ282" t="inlineStr">
        <is>
          <t>Day(s)</t>
        </is>
      </c>
      <c r="BR282" t="inlineStr">
        <is>
          <t>Felizeter,S., M.S. McLachlan, and P. De Voogt</t>
        </is>
      </c>
      <c r="BS282" t="n">
        <v>176914.0</v>
      </c>
      <c r="BT282" t="inlineStr">
        <is>
          <t>Root Uptake and Translocation of Perfluorinated Alkyl Acids by Three Hydroponically Grown Crops</t>
        </is>
      </c>
      <c r="BU282" t="inlineStr">
        <is>
          <t>J. Agric. Food Chem.62(15): 3334-3342</t>
        </is>
      </c>
      <c r="BV282" t="n">
        <v>2014.0</v>
      </c>
      <c r="BW282" t="inlineStr">
        <is>
          <t>Felizeter,S., M.S. McLachlan, and P. De Voogt (2014). Root Uptake and Translocation of Perfluorinated Alkyl Acids by Three Hydroponically Grown Crops. J. Agric. Food Chem., 62, (15), 3334-3342. doi:10.1021/jf500674j. ECOREF#:176914</t>
        </is>
      </c>
    </row>
    <row r="283">
      <c r="A283" t="n">
        <v>2795393.0</v>
      </c>
      <c r="B283" t="inlineStr">
        <is>
          <t>1,1,2,2,3,3,4,4,5,5,6,6,7,7,8,8,8-Heptadecafluoro-1-octanesulfonic acid potassium salt</t>
        </is>
      </c>
      <c r="C283"/>
      <c r="D283" t="inlineStr">
        <is>
          <t>Unmeasured</t>
        </is>
      </c>
      <c r="E283" t="inlineStr">
        <is>
          <t>&gt;=</t>
        </is>
      </c>
      <c r="F283" t="n">
        <v>98.0</v>
      </c>
      <c r="G283"/>
      <c r="H283"/>
      <c r="I283"/>
      <c r="J283"/>
      <c r="K283" t="inlineStr">
        <is>
          <t>Brassica oleracea</t>
        </is>
      </c>
      <c r="L283" t="inlineStr">
        <is>
          <t>Cabbage</t>
        </is>
      </c>
      <c r="M283" t="inlineStr">
        <is>
          <t>Flowers, Trees, Shrubs, Ferns; Standard Test Species</t>
        </is>
      </c>
      <c r="N283" t="inlineStr">
        <is>
          <t>Seedling</t>
        </is>
      </c>
      <c r="O283"/>
      <c r="P283" t="n">
        <v>14.0</v>
      </c>
      <c r="Q283"/>
      <c r="R283"/>
      <c r="S283"/>
      <c r="T283"/>
      <c r="U283" t="inlineStr">
        <is>
          <t>Days post planting/sowing</t>
        </is>
      </c>
      <c r="V283" t="inlineStr">
        <is>
          <t>Hydroponic</t>
        </is>
      </c>
      <c r="W283" t="inlineStr">
        <is>
          <t>Culture</t>
        </is>
      </c>
      <c r="X283" t="inlineStr">
        <is>
          <t>Lab</t>
        </is>
      </c>
      <c r="Y283" t="n">
        <v>5.0</v>
      </c>
      <c r="Z283" t="inlineStr">
        <is>
          <t>Active ingredient</t>
        </is>
      </c>
      <c r="AA283"/>
      <c r="AB283"/>
      <c r="AC283"/>
      <c r="AD283" t="n">
        <v>10.0</v>
      </c>
      <c r="AE283"/>
      <c r="AF283" t="n">
        <v>1000.0</v>
      </c>
      <c r="AG283" t="inlineStr">
        <is>
          <t>ng/L</t>
        </is>
      </c>
      <c r="AH283"/>
      <c r="AI283"/>
      <c r="AJ283"/>
      <c r="AK283"/>
      <c r="AL283"/>
      <c r="AM283"/>
      <c r="AN283"/>
      <c r="AO283"/>
      <c r="AP283"/>
      <c r="AQ283"/>
      <c r="AR283"/>
      <c r="AS283"/>
      <c r="AT283"/>
      <c r="AU283"/>
      <c r="AV283"/>
      <c r="AW283"/>
      <c r="AX283" t="inlineStr">
        <is>
          <t>Accumulation</t>
        </is>
      </c>
      <c r="AY283" t="inlineStr">
        <is>
          <t>Residue</t>
        </is>
      </c>
      <c r="AZ283" t="inlineStr">
        <is>
          <t>BCF</t>
        </is>
      </c>
      <c r="BA283"/>
      <c r="BB283"/>
      <c r="BC283"/>
      <c r="BD283" t="n">
        <v>2.0</v>
      </c>
      <c r="BE283"/>
      <c r="BF283" t="n">
        <v>4.0</v>
      </c>
      <c r="BG283"/>
      <c r="BH283"/>
      <c r="BI283" t="inlineStr">
        <is>
          <t>ml/g</t>
        </is>
      </c>
      <c r="BJ283" t="inlineStr">
        <is>
          <t>Stem</t>
        </is>
      </c>
      <c r="BK283"/>
      <c r="BL283"/>
      <c r="BM283"/>
      <c r="BN283" t="n">
        <v>103.0</v>
      </c>
      <c r="BO283"/>
      <c r="BP283" t="n">
        <v>123.0</v>
      </c>
      <c r="BQ283" t="inlineStr">
        <is>
          <t>Day(s)</t>
        </is>
      </c>
      <c r="BR283" t="inlineStr">
        <is>
          <t>Felizeter,S., M.S. McLachlan, and P. De Voogt</t>
        </is>
      </c>
      <c r="BS283" t="n">
        <v>176914.0</v>
      </c>
      <c r="BT283" t="inlineStr">
        <is>
          <t>Root Uptake and Translocation of Perfluorinated Alkyl Acids by Three Hydroponically Grown Crops</t>
        </is>
      </c>
      <c r="BU283" t="inlineStr">
        <is>
          <t>J. Agric. Food Chem.62(15): 3334-3342</t>
        </is>
      </c>
      <c r="BV283" t="n">
        <v>2014.0</v>
      </c>
      <c r="BW283" t="inlineStr">
        <is>
          <t>Felizeter,S., M.S. McLachlan, and P. De Voogt (2014). Root Uptake and Translocation of Perfluorinated Alkyl Acids by Three Hydroponically Grown Crops. J. Agric. Food Chem., 62, (15), 3334-3342. doi:10.1021/jf500674j. ECOREF#:176914</t>
        </is>
      </c>
    </row>
    <row r="284">
      <c r="A284" t="n">
        <v>2795393.0</v>
      </c>
      <c r="B284" t="inlineStr">
        <is>
          <t>1,1,2,2,3,3,4,4,5,5,6,6,7,7,8,8,8-Heptadecafluoro-1-octanesulfonic acid potassium salt</t>
        </is>
      </c>
      <c r="C284"/>
      <c r="D284" t="inlineStr">
        <is>
          <t>Unmeasured</t>
        </is>
      </c>
      <c r="E284" t="inlineStr">
        <is>
          <t>&gt;=</t>
        </is>
      </c>
      <c r="F284" t="n">
        <v>98.0</v>
      </c>
      <c r="G284"/>
      <c r="H284"/>
      <c r="I284"/>
      <c r="J284"/>
      <c r="K284" t="inlineStr">
        <is>
          <t>Brassica oleracea</t>
        </is>
      </c>
      <c r="L284" t="inlineStr">
        <is>
          <t>Cabbage</t>
        </is>
      </c>
      <c r="M284" t="inlineStr">
        <is>
          <t>Flowers, Trees, Shrubs, Ferns; Standard Test Species</t>
        </is>
      </c>
      <c r="N284" t="inlineStr">
        <is>
          <t>Seedling</t>
        </is>
      </c>
      <c r="O284"/>
      <c r="P284" t="n">
        <v>14.0</v>
      </c>
      <c r="Q284"/>
      <c r="R284"/>
      <c r="S284"/>
      <c r="T284"/>
      <c r="U284" t="inlineStr">
        <is>
          <t>Days post planting/sowing</t>
        </is>
      </c>
      <c r="V284" t="inlineStr">
        <is>
          <t>Hydroponic</t>
        </is>
      </c>
      <c r="W284" t="inlineStr">
        <is>
          <t>Culture</t>
        </is>
      </c>
      <c r="X284" t="inlineStr">
        <is>
          <t>Lab</t>
        </is>
      </c>
      <c r="Y284" t="n">
        <v>5.0</v>
      </c>
      <c r="Z284" t="inlineStr">
        <is>
          <t>Active ingredient</t>
        </is>
      </c>
      <c r="AA284"/>
      <c r="AB284"/>
      <c r="AC284"/>
      <c r="AD284" t="n">
        <v>10.0</v>
      </c>
      <c r="AE284"/>
      <c r="AF284" t="n">
        <v>1000.0</v>
      </c>
      <c r="AG284" t="inlineStr">
        <is>
          <t>ng/L</t>
        </is>
      </c>
      <c r="AH284"/>
      <c r="AI284"/>
      <c r="AJ284"/>
      <c r="AK284"/>
      <c r="AL284"/>
      <c r="AM284"/>
      <c r="AN284"/>
      <c r="AO284"/>
      <c r="AP284"/>
      <c r="AQ284"/>
      <c r="AR284"/>
      <c r="AS284"/>
      <c r="AT284"/>
      <c r="AU284"/>
      <c r="AV284"/>
      <c r="AW284"/>
      <c r="AX284" t="inlineStr">
        <is>
          <t>Accumulation</t>
        </is>
      </c>
      <c r="AY284" t="inlineStr">
        <is>
          <t>Residue</t>
        </is>
      </c>
      <c r="AZ284" t="inlineStr">
        <is>
          <t>BCF</t>
        </is>
      </c>
      <c r="BA284"/>
      <c r="BB284"/>
      <c r="BC284"/>
      <c r="BD284" t="n">
        <v>0.1</v>
      </c>
      <c r="BE284"/>
      <c r="BF284" t="n">
        <v>0.15</v>
      </c>
      <c r="BG284"/>
      <c r="BH284"/>
      <c r="BI284" t="inlineStr">
        <is>
          <t>ml/g</t>
        </is>
      </c>
      <c r="BJ284" t="inlineStr">
        <is>
          <t>Sap</t>
        </is>
      </c>
      <c r="BK284"/>
      <c r="BL284"/>
      <c r="BM284"/>
      <c r="BN284" t="n">
        <v>103.0</v>
      </c>
      <c r="BO284"/>
      <c r="BP284" t="n">
        <v>123.0</v>
      </c>
      <c r="BQ284" t="inlineStr">
        <is>
          <t>Day(s)</t>
        </is>
      </c>
      <c r="BR284" t="inlineStr">
        <is>
          <t>Felizeter,S., M.S. McLachlan, and P. De Voogt</t>
        </is>
      </c>
      <c r="BS284" t="n">
        <v>176914.0</v>
      </c>
      <c r="BT284" t="inlineStr">
        <is>
          <t>Root Uptake and Translocation of Perfluorinated Alkyl Acids by Three Hydroponically Grown Crops</t>
        </is>
      </c>
      <c r="BU284" t="inlineStr">
        <is>
          <t>J. Agric. Food Chem.62(15): 3334-3342</t>
        </is>
      </c>
      <c r="BV284" t="n">
        <v>2014.0</v>
      </c>
      <c r="BW284" t="inlineStr">
        <is>
          <t>Felizeter,S., M.S. McLachlan, and P. De Voogt (2014). Root Uptake and Translocation of Perfluorinated Alkyl Acids by Three Hydroponically Grown Crops. J. Agric. Food Chem., 62, (15), 3334-3342. doi:10.1021/jf500674j. ECOREF#:176914</t>
        </is>
      </c>
    </row>
    <row r="285">
      <c r="A285" t="n">
        <v>2795393.0</v>
      </c>
      <c r="B285" t="inlineStr">
        <is>
          <t>1,1,2,2,3,3,4,4,5,5,6,6,7,7,8,8,8-Heptadecafluoro-1-octanesulfonic acid potassium salt</t>
        </is>
      </c>
      <c r="C285"/>
      <c r="D285" t="inlineStr">
        <is>
          <t>Unmeasured</t>
        </is>
      </c>
      <c r="E285" t="inlineStr">
        <is>
          <t>&gt;=</t>
        </is>
      </c>
      <c r="F285" t="n">
        <v>98.0</v>
      </c>
      <c r="G285"/>
      <c r="H285"/>
      <c r="I285"/>
      <c r="J285"/>
      <c r="K285" t="inlineStr">
        <is>
          <t>Brassica oleracea</t>
        </is>
      </c>
      <c r="L285" t="inlineStr">
        <is>
          <t>Cabbage</t>
        </is>
      </c>
      <c r="M285" t="inlineStr">
        <is>
          <t>Flowers, Trees, Shrubs, Ferns; Standard Test Species</t>
        </is>
      </c>
      <c r="N285" t="inlineStr">
        <is>
          <t>Seedling</t>
        </is>
      </c>
      <c r="O285"/>
      <c r="P285" t="n">
        <v>14.0</v>
      </c>
      <c r="Q285"/>
      <c r="R285"/>
      <c r="S285"/>
      <c r="T285"/>
      <c r="U285" t="inlineStr">
        <is>
          <t>Days post planting/sowing</t>
        </is>
      </c>
      <c r="V285" t="inlineStr">
        <is>
          <t>Hydroponic</t>
        </is>
      </c>
      <c r="W285" t="inlineStr">
        <is>
          <t>Culture</t>
        </is>
      </c>
      <c r="X285" t="inlineStr">
        <is>
          <t>Lab</t>
        </is>
      </c>
      <c r="Y285" t="n">
        <v>5.0</v>
      </c>
      <c r="Z285" t="inlineStr">
        <is>
          <t>Active ingredient</t>
        </is>
      </c>
      <c r="AA285"/>
      <c r="AB285"/>
      <c r="AC285"/>
      <c r="AD285" t="n">
        <v>10.0</v>
      </c>
      <c r="AE285"/>
      <c r="AF285" t="n">
        <v>1000.0</v>
      </c>
      <c r="AG285" t="inlineStr">
        <is>
          <t>ng/L</t>
        </is>
      </c>
      <c r="AH285"/>
      <c r="AI285"/>
      <c r="AJ285"/>
      <c r="AK285"/>
      <c r="AL285"/>
      <c r="AM285"/>
      <c r="AN285"/>
      <c r="AO285"/>
      <c r="AP285"/>
      <c r="AQ285"/>
      <c r="AR285"/>
      <c r="AS285"/>
      <c r="AT285"/>
      <c r="AU285"/>
      <c r="AV285"/>
      <c r="AW285"/>
      <c r="AX285" t="inlineStr">
        <is>
          <t>Accumulation</t>
        </is>
      </c>
      <c r="AY285" t="inlineStr">
        <is>
          <t>Residue</t>
        </is>
      </c>
      <c r="AZ285" t="inlineStr">
        <is>
          <t>BCF</t>
        </is>
      </c>
      <c r="BA285"/>
      <c r="BB285"/>
      <c r="BC285"/>
      <c r="BD285" t="n">
        <v>0.1</v>
      </c>
      <c r="BE285"/>
      <c r="BF285" t="n">
        <v>0.15</v>
      </c>
      <c r="BG285"/>
      <c r="BH285"/>
      <c r="BI285" t="inlineStr">
        <is>
          <t>ml/g</t>
        </is>
      </c>
      <c r="BJ285" t="inlineStr">
        <is>
          <t>Sap</t>
        </is>
      </c>
      <c r="BK285"/>
      <c r="BL285"/>
      <c r="BM285"/>
      <c r="BN285" t="n">
        <v>103.0</v>
      </c>
      <c r="BO285"/>
      <c r="BP285" t="n">
        <v>123.0</v>
      </c>
      <c r="BQ285" t="inlineStr">
        <is>
          <t>Day(s)</t>
        </is>
      </c>
      <c r="BR285" t="inlineStr">
        <is>
          <t>Felizeter,S., M.S. McLachlan, and P. De Voogt</t>
        </is>
      </c>
      <c r="BS285" t="n">
        <v>176914.0</v>
      </c>
      <c r="BT285" t="inlineStr">
        <is>
          <t>Root Uptake and Translocation of Perfluorinated Alkyl Acids by Three Hydroponically Grown Crops</t>
        </is>
      </c>
      <c r="BU285" t="inlineStr">
        <is>
          <t>J. Agric. Food Chem.62(15): 3334-3342</t>
        </is>
      </c>
      <c r="BV285" t="n">
        <v>2014.0</v>
      </c>
      <c r="BW285" t="inlineStr">
        <is>
          <t>Felizeter,S., M.S. McLachlan, and P. De Voogt (2014). Root Uptake and Translocation of Perfluorinated Alkyl Acids by Three Hydroponically Grown Crops. J. Agric. Food Chem., 62, (15), 3334-3342. doi:10.1021/jf500674j. ECOREF#:176914</t>
        </is>
      </c>
    </row>
    <row r="286">
      <c r="A286" t="n">
        <v>2795393.0</v>
      </c>
      <c r="B286" t="inlineStr">
        <is>
          <t>1,1,2,2,3,3,4,4,5,5,6,6,7,7,8,8,8-Heptadecafluoro-1-octanesulfonic acid potassium salt</t>
        </is>
      </c>
      <c r="C286"/>
      <c r="D286" t="inlineStr">
        <is>
          <t>Unmeasured</t>
        </is>
      </c>
      <c r="E286" t="inlineStr">
        <is>
          <t>&gt;=</t>
        </is>
      </c>
      <c r="F286" t="n">
        <v>98.0</v>
      </c>
      <c r="G286"/>
      <c r="H286"/>
      <c r="I286"/>
      <c r="J286"/>
      <c r="K286" t="inlineStr">
        <is>
          <t>Brassica oleracea</t>
        </is>
      </c>
      <c r="L286" t="inlineStr">
        <is>
          <t>Cabbage</t>
        </is>
      </c>
      <c r="M286" t="inlineStr">
        <is>
          <t>Flowers, Trees, Shrubs, Ferns; Standard Test Species</t>
        </is>
      </c>
      <c r="N286" t="inlineStr">
        <is>
          <t>Seedling</t>
        </is>
      </c>
      <c r="O286"/>
      <c r="P286" t="n">
        <v>14.0</v>
      </c>
      <c r="Q286"/>
      <c r="R286"/>
      <c r="S286"/>
      <c r="T286"/>
      <c r="U286" t="inlineStr">
        <is>
          <t>Days post planting/sowing</t>
        </is>
      </c>
      <c r="V286" t="inlineStr">
        <is>
          <t>Hydroponic</t>
        </is>
      </c>
      <c r="W286" t="inlineStr">
        <is>
          <t>Culture</t>
        </is>
      </c>
      <c r="X286" t="inlineStr">
        <is>
          <t>Lab</t>
        </is>
      </c>
      <c r="Y286" t="n">
        <v>5.0</v>
      </c>
      <c r="Z286" t="inlineStr">
        <is>
          <t>Active ingredient</t>
        </is>
      </c>
      <c r="AA286"/>
      <c r="AB286"/>
      <c r="AC286"/>
      <c r="AD286" t="n">
        <v>10.0</v>
      </c>
      <c r="AE286"/>
      <c r="AF286" t="n">
        <v>1000.0</v>
      </c>
      <c r="AG286" t="inlineStr">
        <is>
          <t>ng/L</t>
        </is>
      </c>
      <c r="AH286"/>
      <c r="AI286"/>
      <c r="AJ286"/>
      <c r="AK286"/>
      <c r="AL286"/>
      <c r="AM286"/>
      <c r="AN286"/>
      <c r="AO286"/>
      <c r="AP286"/>
      <c r="AQ286"/>
      <c r="AR286"/>
      <c r="AS286"/>
      <c r="AT286"/>
      <c r="AU286"/>
      <c r="AV286"/>
      <c r="AW286"/>
      <c r="AX286" t="inlineStr">
        <is>
          <t>Accumulation</t>
        </is>
      </c>
      <c r="AY286" t="inlineStr">
        <is>
          <t>Residue</t>
        </is>
      </c>
      <c r="AZ286" t="inlineStr">
        <is>
          <t>BCF</t>
        </is>
      </c>
      <c r="BA286"/>
      <c r="BB286"/>
      <c r="BC286"/>
      <c r="BD286" t="n">
        <v>0.1</v>
      </c>
      <c r="BE286"/>
      <c r="BF286" t="n">
        <v>1.0</v>
      </c>
      <c r="BG286"/>
      <c r="BH286"/>
      <c r="BI286" t="inlineStr">
        <is>
          <t>ml/g</t>
        </is>
      </c>
      <c r="BJ286" t="inlineStr">
        <is>
          <t>Edible tissue</t>
        </is>
      </c>
      <c r="BK286"/>
      <c r="BL286"/>
      <c r="BM286"/>
      <c r="BN286" t="n">
        <v>103.0</v>
      </c>
      <c r="BO286"/>
      <c r="BP286" t="n">
        <v>123.0</v>
      </c>
      <c r="BQ286" t="inlineStr">
        <is>
          <t>Day(s)</t>
        </is>
      </c>
      <c r="BR286" t="inlineStr">
        <is>
          <t>Felizeter,S., M.S. McLachlan, and P. De Voogt</t>
        </is>
      </c>
      <c r="BS286" t="n">
        <v>176914.0</v>
      </c>
      <c r="BT286" t="inlineStr">
        <is>
          <t>Root Uptake and Translocation of Perfluorinated Alkyl Acids by Three Hydroponically Grown Crops</t>
        </is>
      </c>
      <c r="BU286" t="inlineStr">
        <is>
          <t>J. Agric. Food Chem.62(15): 3334-3342</t>
        </is>
      </c>
      <c r="BV286" t="n">
        <v>2014.0</v>
      </c>
      <c r="BW286" t="inlineStr">
        <is>
          <t>Felizeter,S., M.S. McLachlan, and P. De Voogt (2014). Root Uptake and Translocation of Perfluorinated Alkyl Acids by Three Hydroponically Grown Crops. J. Agric. Food Chem., 62, (15), 3334-3342. doi:10.1021/jf500674j. ECOREF#:176914</t>
        </is>
      </c>
    </row>
    <row r="287">
      <c r="A287" t="n">
        <v>2795393.0</v>
      </c>
      <c r="B287" t="inlineStr">
        <is>
          <t>1,1,2,2,3,3,4,4,5,5,6,6,7,7,8,8,8-Heptadecafluoro-1-octanesulfonic acid potassium salt</t>
        </is>
      </c>
      <c r="C287"/>
      <c r="D287" t="inlineStr">
        <is>
          <t>Unmeasured</t>
        </is>
      </c>
      <c r="E287" t="inlineStr">
        <is>
          <t>&gt;=</t>
        </is>
      </c>
      <c r="F287" t="n">
        <v>98.0</v>
      </c>
      <c r="G287"/>
      <c r="H287"/>
      <c r="I287"/>
      <c r="J287"/>
      <c r="K287" t="inlineStr">
        <is>
          <t>Brassica oleracea</t>
        </is>
      </c>
      <c r="L287" t="inlineStr">
        <is>
          <t>Cabbage</t>
        </is>
      </c>
      <c r="M287" t="inlineStr">
        <is>
          <t>Flowers, Trees, Shrubs, Ferns; Standard Test Species</t>
        </is>
      </c>
      <c r="N287" t="inlineStr">
        <is>
          <t>Seedling</t>
        </is>
      </c>
      <c r="O287"/>
      <c r="P287" t="n">
        <v>14.0</v>
      </c>
      <c r="Q287"/>
      <c r="R287"/>
      <c r="S287"/>
      <c r="T287"/>
      <c r="U287" t="inlineStr">
        <is>
          <t>Days post planting/sowing</t>
        </is>
      </c>
      <c r="V287" t="inlineStr">
        <is>
          <t>Hydroponic</t>
        </is>
      </c>
      <c r="W287" t="inlineStr">
        <is>
          <t>Culture</t>
        </is>
      </c>
      <c r="X287" t="inlineStr">
        <is>
          <t>Lab</t>
        </is>
      </c>
      <c r="Y287" t="n">
        <v>5.0</v>
      </c>
      <c r="Z287" t="inlineStr">
        <is>
          <t>Active ingredient</t>
        </is>
      </c>
      <c r="AA287"/>
      <c r="AB287"/>
      <c r="AC287"/>
      <c r="AD287" t="n">
        <v>10.0</v>
      </c>
      <c r="AE287"/>
      <c r="AF287" t="n">
        <v>1000.0</v>
      </c>
      <c r="AG287" t="inlineStr">
        <is>
          <t>ng/L</t>
        </is>
      </c>
      <c r="AH287"/>
      <c r="AI287"/>
      <c r="AJ287"/>
      <c r="AK287"/>
      <c r="AL287"/>
      <c r="AM287"/>
      <c r="AN287"/>
      <c r="AO287"/>
      <c r="AP287"/>
      <c r="AQ287"/>
      <c r="AR287"/>
      <c r="AS287"/>
      <c r="AT287"/>
      <c r="AU287"/>
      <c r="AV287"/>
      <c r="AW287"/>
      <c r="AX287" t="inlineStr">
        <is>
          <t>Accumulation</t>
        </is>
      </c>
      <c r="AY287" t="inlineStr">
        <is>
          <t>Residue</t>
        </is>
      </c>
      <c r="AZ287" t="inlineStr">
        <is>
          <t>BCF</t>
        </is>
      </c>
      <c r="BA287"/>
      <c r="BB287"/>
      <c r="BC287"/>
      <c r="BD287" t="n">
        <v>0.0</v>
      </c>
      <c r="BE287"/>
      <c r="BF287" t="n">
        <v>10.0</v>
      </c>
      <c r="BG287"/>
      <c r="BH287"/>
      <c r="BI287" t="inlineStr">
        <is>
          <t>ml/g</t>
        </is>
      </c>
      <c r="BJ287" t="inlineStr">
        <is>
          <t>Leafneedle</t>
        </is>
      </c>
      <c r="BK287"/>
      <c r="BL287"/>
      <c r="BM287"/>
      <c r="BN287" t="n">
        <v>103.0</v>
      </c>
      <c r="BO287"/>
      <c r="BP287" t="n">
        <v>123.0</v>
      </c>
      <c r="BQ287" t="inlineStr">
        <is>
          <t>Day(s)</t>
        </is>
      </c>
      <c r="BR287" t="inlineStr">
        <is>
          <t>Felizeter,S., M.S. McLachlan, and P. De Voogt</t>
        </is>
      </c>
      <c r="BS287" t="n">
        <v>176914.0</v>
      </c>
      <c r="BT287" t="inlineStr">
        <is>
          <t>Root Uptake and Translocation of Perfluorinated Alkyl Acids by Three Hydroponically Grown Crops</t>
        </is>
      </c>
      <c r="BU287" t="inlineStr">
        <is>
          <t>J. Agric. Food Chem.62(15): 3334-3342</t>
        </is>
      </c>
      <c r="BV287" t="n">
        <v>2014.0</v>
      </c>
      <c r="BW287" t="inlineStr">
        <is>
          <t>Felizeter,S., M.S. McLachlan, and P. De Voogt (2014). Root Uptake and Translocation of Perfluorinated Alkyl Acids by Three Hydroponically Grown Crops. J. Agric. Food Chem., 62, (15), 3334-3342. doi:10.1021/jf500674j. ECOREF#:176914</t>
        </is>
      </c>
    </row>
    <row r="288">
      <c r="A288" t="n">
        <v>2795393.0</v>
      </c>
      <c r="B288" t="inlineStr">
        <is>
          <t>1,1,2,2,3,3,4,4,5,5,6,6,7,7,8,8,8-Heptadecafluoro-1-octanesulfonic acid potassium salt</t>
        </is>
      </c>
      <c r="C288"/>
      <c r="D288" t="inlineStr">
        <is>
          <t>Unmeasured</t>
        </is>
      </c>
      <c r="E288" t="inlineStr">
        <is>
          <t>&gt;=</t>
        </is>
      </c>
      <c r="F288" t="n">
        <v>98.0</v>
      </c>
      <c r="G288"/>
      <c r="H288"/>
      <c r="I288"/>
      <c r="J288"/>
      <c r="K288" t="inlineStr">
        <is>
          <t>Brassica oleracea</t>
        </is>
      </c>
      <c r="L288" t="inlineStr">
        <is>
          <t>Cabbage</t>
        </is>
      </c>
      <c r="M288" t="inlineStr">
        <is>
          <t>Flowers, Trees, Shrubs, Ferns; Standard Test Species</t>
        </is>
      </c>
      <c r="N288" t="inlineStr">
        <is>
          <t>Seedling</t>
        </is>
      </c>
      <c r="O288"/>
      <c r="P288" t="n">
        <v>14.0</v>
      </c>
      <c r="Q288"/>
      <c r="R288"/>
      <c r="S288"/>
      <c r="T288"/>
      <c r="U288" t="inlineStr">
        <is>
          <t>Days post planting/sowing</t>
        </is>
      </c>
      <c r="V288" t="inlineStr">
        <is>
          <t>Hydroponic</t>
        </is>
      </c>
      <c r="W288" t="inlineStr">
        <is>
          <t>Culture</t>
        </is>
      </c>
      <c r="X288" t="inlineStr">
        <is>
          <t>Lab</t>
        </is>
      </c>
      <c r="Y288" t="n">
        <v>5.0</v>
      </c>
      <c r="Z288" t="inlineStr">
        <is>
          <t>Active ingredient</t>
        </is>
      </c>
      <c r="AA288"/>
      <c r="AB288"/>
      <c r="AC288"/>
      <c r="AD288" t="n">
        <v>10.0</v>
      </c>
      <c r="AE288"/>
      <c r="AF288" t="n">
        <v>1000.0</v>
      </c>
      <c r="AG288" t="inlineStr">
        <is>
          <t>ng/L</t>
        </is>
      </c>
      <c r="AH288"/>
      <c r="AI288"/>
      <c r="AJ288"/>
      <c r="AK288"/>
      <c r="AL288"/>
      <c r="AM288"/>
      <c r="AN288"/>
      <c r="AO288"/>
      <c r="AP288"/>
      <c r="AQ288"/>
      <c r="AR288"/>
      <c r="AS288"/>
      <c r="AT288"/>
      <c r="AU288"/>
      <c r="AV288"/>
      <c r="AW288"/>
      <c r="AX288" t="inlineStr">
        <is>
          <t>Accumulation</t>
        </is>
      </c>
      <c r="AY288" t="inlineStr">
        <is>
          <t>Residue</t>
        </is>
      </c>
      <c r="AZ288" t="inlineStr">
        <is>
          <t>BCF</t>
        </is>
      </c>
      <c r="BA288"/>
      <c r="BB288"/>
      <c r="BC288"/>
      <c r="BD288" t="n">
        <v>2.0</v>
      </c>
      <c r="BE288"/>
      <c r="BF288" t="n">
        <v>4.0</v>
      </c>
      <c r="BG288"/>
      <c r="BH288"/>
      <c r="BI288" t="inlineStr">
        <is>
          <t>ml/g</t>
        </is>
      </c>
      <c r="BJ288" t="inlineStr">
        <is>
          <t>Stem</t>
        </is>
      </c>
      <c r="BK288"/>
      <c r="BL288"/>
      <c r="BM288"/>
      <c r="BN288" t="n">
        <v>103.0</v>
      </c>
      <c r="BO288"/>
      <c r="BP288" t="n">
        <v>123.0</v>
      </c>
      <c r="BQ288" t="inlineStr">
        <is>
          <t>Day(s)</t>
        </is>
      </c>
      <c r="BR288" t="inlineStr">
        <is>
          <t>Felizeter,S., M.S. McLachlan, and P. De Voogt</t>
        </is>
      </c>
      <c r="BS288" t="n">
        <v>176914.0</v>
      </c>
      <c r="BT288" t="inlineStr">
        <is>
          <t>Root Uptake and Translocation of Perfluorinated Alkyl Acids by Three Hydroponically Grown Crops</t>
        </is>
      </c>
      <c r="BU288" t="inlineStr">
        <is>
          <t>J. Agric. Food Chem.62(15): 3334-3342</t>
        </is>
      </c>
      <c r="BV288" t="n">
        <v>2014.0</v>
      </c>
      <c r="BW288" t="inlineStr">
        <is>
          <t>Felizeter,S., M.S. McLachlan, and P. De Voogt (2014). Root Uptake and Translocation of Perfluorinated Alkyl Acids by Three Hydroponically Grown Crops. J. Agric. Food Chem., 62, (15), 3334-3342. doi:10.1021/jf500674j. ECOREF#:176914</t>
        </is>
      </c>
    </row>
    <row r="289">
      <c r="A289" t="n">
        <v>2795393.0</v>
      </c>
      <c r="B289" t="inlineStr">
        <is>
          <t>1,1,2,2,3,3,4,4,5,5,6,6,7,7,8,8,8-Heptadecafluoro-1-octanesulfonic acid potassium salt</t>
        </is>
      </c>
      <c r="C289"/>
      <c r="D289" t="inlineStr">
        <is>
          <t>Unmeasured</t>
        </is>
      </c>
      <c r="E289" t="inlineStr">
        <is>
          <t>&gt;=</t>
        </is>
      </c>
      <c r="F289" t="n">
        <v>98.0</v>
      </c>
      <c r="G289"/>
      <c r="H289"/>
      <c r="I289"/>
      <c r="J289"/>
      <c r="K289" t="inlineStr">
        <is>
          <t>Brassica oleracea</t>
        </is>
      </c>
      <c r="L289" t="inlineStr">
        <is>
          <t>Cabbage</t>
        </is>
      </c>
      <c r="M289" t="inlineStr">
        <is>
          <t>Flowers, Trees, Shrubs, Ferns; Standard Test Species</t>
        </is>
      </c>
      <c r="N289" t="inlineStr">
        <is>
          <t>Seedling</t>
        </is>
      </c>
      <c r="O289"/>
      <c r="P289" t="n">
        <v>14.0</v>
      </c>
      <c r="Q289"/>
      <c r="R289"/>
      <c r="S289"/>
      <c r="T289"/>
      <c r="U289" t="inlineStr">
        <is>
          <t>Days post planting/sowing</t>
        </is>
      </c>
      <c r="V289" t="inlineStr">
        <is>
          <t>Hydroponic</t>
        </is>
      </c>
      <c r="W289" t="inlineStr">
        <is>
          <t>Culture</t>
        </is>
      </c>
      <c r="X289" t="inlineStr">
        <is>
          <t>Lab</t>
        </is>
      </c>
      <c r="Y289" t="n">
        <v>5.0</v>
      </c>
      <c r="Z289" t="inlineStr">
        <is>
          <t>Active ingredient</t>
        </is>
      </c>
      <c r="AA289"/>
      <c r="AB289"/>
      <c r="AC289"/>
      <c r="AD289" t="n">
        <v>10.0</v>
      </c>
      <c r="AE289"/>
      <c r="AF289" t="n">
        <v>1000.0</v>
      </c>
      <c r="AG289" t="inlineStr">
        <is>
          <t>ng/L</t>
        </is>
      </c>
      <c r="AH289"/>
      <c r="AI289"/>
      <c r="AJ289"/>
      <c r="AK289"/>
      <c r="AL289"/>
      <c r="AM289"/>
      <c r="AN289"/>
      <c r="AO289"/>
      <c r="AP289"/>
      <c r="AQ289"/>
      <c r="AR289"/>
      <c r="AS289"/>
      <c r="AT289"/>
      <c r="AU289"/>
      <c r="AV289"/>
      <c r="AW289"/>
      <c r="AX289" t="inlineStr">
        <is>
          <t>Accumulation</t>
        </is>
      </c>
      <c r="AY289" t="inlineStr">
        <is>
          <t>Residue</t>
        </is>
      </c>
      <c r="AZ289" t="inlineStr">
        <is>
          <t>BCF</t>
        </is>
      </c>
      <c r="BA289"/>
      <c r="BB289"/>
      <c r="BC289"/>
      <c r="BD289" t="n">
        <v>100.0</v>
      </c>
      <c r="BE289"/>
      <c r="BF289" t="n">
        <v>1000.0</v>
      </c>
      <c r="BG289"/>
      <c r="BH289"/>
      <c r="BI289" t="inlineStr">
        <is>
          <t>ml/g</t>
        </is>
      </c>
      <c r="BJ289" t="inlineStr">
        <is>
          <t>Root</t>
        </is>
      </c>
      <c r="BK289"/>
      <c r="BL289"/>
      <c r="BM289"/>
      <c r="BN289" t="n">
        <v>103.0</v>
      </c>
      <c r="BO289"/>
      <c r="BP289" t="n">
        <v>123.0</v>
      </c>
      <c r="BQ289" t="inlineStr">
        <is>
          <t>Day(s)</t>
        </is>
      </c>
      <c r="BR289" t="inlineStr">
        <is>
          <t>Felizeter,S., M.S. McLachlan, and P. De Voogt</t>
        </is>
      </c>
      <c r="BS289" t="n">
        <v>176914.0</v>
      </c>
      <c r="BT289" t="inlineStr">
        <is>
          <t>Root Uptake and Translocation of Perfluorinated Alkyl Acids by Three Hydroponically Grown Crops</t>
        </is>
      </c>
      <c r="BU289" t="inlineStr">
        <is>
          <t>J. Agric. Food Chem.62(15): 3334-3342</t>
        </is>
      </c>
      <c r="BV289" t="n">
        <v>2014.0</v>
      </c>
      <c r="BW289" t="inlineStr">
        <is>
          <t>Felizeter,S., M.S. McLachlan, and P. De Voogt (2014). Root Uptake and Translocation of Perfluorinated Alkyl Acids by Three Hydroponically Grown Crops. J. Agric. Food Chem., 62, (15), 3334-3342. doi:10.1021/jf500674j. ECOREF#:176914</t>
        </is>
      </c>
    </row>
    <row r="290">
      <c r="A290" t="n">
        <v>2795393.0</v>
      </c>
      <c r="B290" t="inlineStr">
        <is>
          <t>1,1,2,2,3,3,4,4,5,5,6,6,7,7,8,8,8-Heptadecafluoro-1-octanesulfonic acid potassium salt</t>
        </is>
      </c>
      <c r="C290" t="inlineStr">
        <is>
          <t>Analytical grade</t>
        </is>
      </c>
      <c r="D290" t="inlineStr">
        <is>
          <t>Measured</t>
        </is>
      </c>
      <c r="E290"/>
      <c r="F290" t="n">
        <v>98.0</v>
      </c>
      <c r="G290"/>
      <c r="H290"/>
      <c r="I290"/>
      <c r="J290"/>
      <c r="K290" t="inlineStr">
        <is>
          <t>Caenorhabditis elegans</t>
        </is>
      </c>
      <c r="L290" t="inlineStr">
        <is>
          <t>Nematode</t>
        </is>
      </c>
      <c r="M290" t="inlineStr">
        <is>
          <t>Worms; Standard Test Species</t>
        </is>
      </c>
      <c r="N290" t="inlineStr">
        <is>
          <t>Larva</t>
        </is>
      </c>
      <c r="O290"/>
      <c r="P290" t="n">
        <v>4.0</v>
      </c>
      <c r="Q290"/>
      <c r="R290"/>
      <c r="S290"/>
      <c r="T290"/>
      <c r="U290" t="inlineStr">
        <is>
          <t>Stage</t>
        </is>
      </c>
      <c r="V290" t="inlineStr">
        <is>
          <t xml:space="preserve">Aerial, granular </t>
        </is>
      </c>
      <c r="W290" t="inlineStr">
        <is>
          <t>Agar</t>
        </is>
      </c>
      <c r="X290" t="inlineStr">
        <is>
          <t>Lab</t>
        </is>
      </c>
      <c r="Y290" t="n">
        <v>4.0</v>
      </c>
      <c r="Z290" t="inlineStr">
        <is>
          <t>Active ingredient</t>
        </is>
      </c>
      <c r="AA290"/>
      <c r="AB290" t="n">
        <v>0.0329</v>
      </c>
      <c r="AC290"/>
      <c r="AD290"/>
      <c r="AE290"/>
      <c r="AF290"/>
      <c r="AG290" t="inlineStr">
        <is>
          <t>ug/ml</t>
        </is>
      </c>
      <c r="AH290"/>
      <c r="AI290"/>
      <c r="AJ290"/>
      <c r="AK290"/>
      <c r="AL290"/>
      <c r="AM290"/>
      <c r="AN290"/>
      <c r="AO290"/>
      <c r="AP290"/>
      <c r="AQ290"/>
      <c r="AR290"/>
      <c r="AS290"/>
      <c r="AT290"/>
      <c r="AU290"/>
      <c r="AV290"/>
      <c r="AW290"/>
      <c r="AX290" t="inlineStr">
        <is>
          <t>Accumulation</t>
        </is>
      </c>
      <c r="AY290" t="inlineStr">
        <is>
          <t>Residue</t>
        </is>
      </c>
      <c r="AZ290" t="inlineStr">
        <is>
          <t>BAF</t>
        </is>
      </c>
      <c r="BA290"/>
      <c r="BB290" t="n">
        <v>53.72</v>
      </c>
      <c r="BC290"/>
      <c r="BD290"/>
      <c r="BE290"/>
      <c r="BF290"/>
      <c r="BG290"/>
      <c r="BH290"/>
      <c r="BI290" t="inlineStr">
        <is>
          <t>ml/g</t>
        </is>
      </c>
      <c r="BJ290" t="inlineStr">
        <is>
          <t>Whole organism</t>
        </is>
      </c>
      <c r="BK290"/>
      <c r="BL290" t="n">
        <v>2.0</v>
      </c>
      <c r="BM290"/>
      <c r="BN290"/>
      <c r="BO290"/>
      <c r="BP290"/>
      <c r="BQ290" t="inlineStr">
        <is>
          <t>Day(s)</t>
        </is>
      </c>
      <c r="BR290" t="inlineStr">
        <is>
          <t>Chowdhury,M.I., T. Sana, L. Panneerselvan, A.K. Sivaram, and M. Megharaj</t>
        </is>
      </c>
      <c r="BS290" t="n">
        <v>188170.0</v>
      </c>
      <c r="BT290" t="inlineStr">
        <is>
          <t>Perfluorooctane Sulfonate (PFOS) Induces Several Behavioural Defects in Caenorhabditis elegans that can also be Transferred to the Next Generations</t>
        </is>
      </c>
      <c r="BU290" t="inlineStr">
        <is>
          <t>Chemosphere291:9 p.</t>
        </is>
      </c>
      <c r="BV290" t="n">
        <v>2022.0</v>
      </c>
      <c r="BW290" t="inlineStr">
        <is>
          <t>Chowdhury,M.I., T. Sana, L. Panneerselvan, A.K. Sivaram, and M. Megharaj (2022). Perfluorooctane Sulfonate (PFOS) Induces Several Behavioural Defects in Caenorhabditis elegans that can also be Transferred to the Next Generations. Chemosphere, 291, 9 p. doi:10.1016/j.chemosphere.2021.132896. ECOREF#:188170</t>
        </is>
      </c>
    </row>
    <row r="291">
      <c r="A291" t="n">
        <v>2795393.0</v>
      </c>
      <c r="B291" t="inlineStr">
        <is>
          <t>1,1,2,2,3,3,4,4,5,5,6,6,7,7,8,8,8-Heptadecafluoro-1-octanesulfonic acid potassium salt</t>
        </is>
      </c>
      <c r="C291" t="inlineStr">
        <is>
          <t>Analytical grade</t>
        </is>
      </c>
      <c r="D291" t="inlineStr">
        <is>
          <t>Measured</t>
        </is>
      </c>
      <c r="E291"/>
      <c r="F291" t="n">
        <v>98.0</v>
      </c>
      <c r="G291"/>
      <c r="H291"/>
      <c r="I291"/>
      <c r="J291"/>
      <c r="K291" t="inlineStr">
        <is>
          <t>Caenorhabditis elegans</t>
        </is>
      </c>
      <c r="L291" t="inlineStr">
        <is>
          <t>Nematode</t>
        </is>
      </c>
      <c r="M291" t="inlineStr">
        <is>
          <t>Worms; Standard Test Species</t>
        </is>
      </c>
      <c r="N291" t="inlineStr">
        <is>
          <t>Larva</t>
        </is>
      </c>
      <c r="O291"/>
      <c r="P291" t="n">
        <v>4.0</v>
      </c>
      <c r="Q291"/>
      <c r="R291"/>
      <c r="S291"/>
      <c r="T291"/>
      <c r="U291" t="inlineStr">
        <is>
          <t>Stage</t>
        </is>
      </c>
      <c r="V291" t="inlineStr">
        <is>
          <t xml:space="preserve">Aerial, granular </t>
        </is>
      </c>
      <c r="W291" t="inlineStr">
        <is>
          <t>Agar</t>
        </is>
      </c>
      <c r="X291" t="inlineStr">
        <is>
          <t>Lab</t>
        </is>
      </c>
      <c r="Y291" t="n">
        <v>4.0</v>
      </c>
      <c r="Z291" t="inlineStr">
        <is>
          <t>Active ingredient</t>
        </is>
      </c>
      <c r="AA291"/>
      <c r="AB291" t="n">
        <v>1.3E-4</v>
      </c>
      <c r="AC291"/>
      <c r="AD291"/>
      <c r="AE291"/>
      <c r="AF291"/>
      <c r="AG291" t="inlineStr">
        <is>
          <t>ug/ml</t>
        </is>
      </c>
      <c r="AH291"/>
      <c r="AI291"/>
      <c r="AJ291"/>
      <c r="AK291"/>
      <c r="AL291"/>
      <c r="AM291"/>
      <c r="AN291"/>
      <c r="AO291"/>
      <c r="AP291"/>
      <c r="AQ291"/>
      <c r="AR291"/>
      <c r="AS291"/>
      <c r="AT291"/>
      <c r="AU291"/>
      <c r="AV291"/>
      <c r="AW291"/>
      <c r="AX291" t="inlineStr">
        <is>
          <t>Accumulation</t>
        </is>
      </c>
      <c r="AY291" t="inlineStr">
        <is>
          <t>Residue</t>
        </is>
      </c>
      <c r="AZ291" t="inlineStr">
        <is>
          <t>BAF</t>
        </is>
      </c>
      <c r="BA291"/>
      <c r="BB291" t="n">
        <v>1258.0</v>
      </c>
      <c r="BC291"/>
      <c r="BD291"/>
      <c r="BE291"/>
      <c r="BF291"/>
      <c r="BG291"/>
      <c r="BH291"/>
      <c r="BI291" t="inlineStr">
        <is>
          <t>ml/g</t>
        </is>
      </c>
      <c r="BJ291" t="inlineStr">
        <is>
          <t>Whole organism</t>
        </is>
      </c>
      <c r="BK291"/>
      <c r="BL291" t="n">
        <v>2.0</v>
      </c>
      <c r="BM291"/>
      <c r="BN291"/>
      <c r="BO291"/>
      <c r="BP291"/>
      <c r="BQ291" t="inlineStr">
        <is>
          <t>Day(s)</t>
        </is>
      </c>
      <c r="BR291" t="inlineStr">
        <is>
          <t>Chowdhury,M.I., T. Sana, L. Panneerselvan, A.K. Sivaram, and M. Megharaj</t>
        </is>
      </c>
      <c r="BS291" t="n">
        <v>188170.0</v>
      </c>
      <c r="BT291" t="inlineStr">
        <is>
          <t>Perfluorooctane Sulfonate (PFOS) Induces Several Behavioural Defects in Caenorhabditis elegans that can also be Transferred to the Next Generations</t>
        </is>
      </c>
      <c r="BU291" t="inlineStr">
        <is>
          <t>Chemosphere291:9 p.</t>
        </is>
      </c>
      <c r="BV291" t="n">
        <v>2022.0</v>
      </c>
      <c r="BW291" t="inlineStr">
        <is>
          <t>Chowdhury,M.I., T. Sana, L. Panneerselvan, A.K. Sivaram, and M. Megharaj (2022). Perfluorooctane Sulfonate (PFOS) Induces Several Behavioural Defects in Caenorhabditis elegans that can also be Transferred to the Next Generations. Chemosphere, 291, 9 p. doi:10.1016/j.chemosphere.2021.132896. ECOREF#:188170</t>
        </is>
      </c>
    </row>
    <row r="292">
      <c r="A292" t="n">
        <v>2795393.0</v>
      </c>
      <c r="B292" t="inlineStr">
        <is>
          <t>1,1,2,2,3,3,4,4,5,5,6,6,7,7,8,8,8-Heptadecafluoro-1-octanesulfonic acid potassium salt</t>
        </is>
      </c>
      <c r="C292" t="inlineStr">
        <is>
          <t>Analytical grade</t>
        </is>
      </c>
      <c r="D292" t="inlineStr">
        <is>
          <t>Measured</t>
        </is>
      </c>
      <c r="E292"/>
      <c r="F292" t="n">
        <v>98.0</v>
      </c>
      <c r="G292"/>
      <c r="H292"/>
      <c r="I292"/>
      <c r="J292"/>
      <c r="K292" t="inlineStr">
        <is>
          <t>Caenorhabditis elegans</t>
        </is>
      </c>
      <c r="L292" t="inlineStr">
        <is>
          <t>Nematode</t>
        </is>
      </c>
      <c r="M292" t="inlineStr">
        <is>
          <t>Worms; Standard Test Species</t>
        </is>
      </c>
      <c r="N292" t="inlineStr">
        <is>
          <t>Larva</t>
        </is>
      </c>
      <c r="O292"/>
      <c r="P292" t="n">
        <v>4.0</v>
      </c>
      <c r="Q292"/>
      <c r="R292"/>
      <c r="S292"/>
      <c r="T292"/>
      <c r="U292" t="inlineStr">
        <is>
          <t>Stage</t>
        </is>
      </c>
      <c r="V292" t="inlineStr">
        <is>
          <t xml:space="preserve">Aerial, granular </t>
        </is>
      </c>
      <c r="W292" t="inlineStr">
        <is>
          <t>Agar</t>
        </is>
      </c>
      <c r="X292" t="inlineStr">
        <is>
          <t>Lab</t>
        </is>
      </c>
      <c r="Y292" t="n">
        <v>4.0</v>
      </c>
      <c r="Z292" t="inlineStr">
        <is>
          <t>Active ingredient</t>
        </is>
      </c>
      <c r="AA292"/>
      <c r="AB292" t="n">
        <v>0.529</v>
      </c>
      <c r="AC292"/>
      <c r="AD292"/>
      <c r="AE292"/>
      <c r="AF292"/>
      <c r="AG292" t="inlineStr">
        <is>
          <t>ug/ml</t>
        </is>
      </c>
      <c r="AH292"/>
      <c r="AI292"/>
      <c r="AJ292"/>
      <c r="AK292"/>
      <c r="AL292"/>
      <c r="AM292"/>
      <c r="AN292"/>
      <c r="AO292"/>
      <c r="AP292"/>
      <c r="AQ292"/>
      <c r="AR292"/>
      <c r="AS292"/>
      <c r="AT292"/>
      <c r="AU292"/>
      <c r="AV292"/>
      <c r="AW292"/>
      <c r="AX292" t="inlineStr">
        <is>
          <t>Accumulation</t>
        </is>
      </c>
      <c r="AY292" t="inlineStr">
        <is>
          <t>Residue</t>
        </is>
      </c>
      <c r="AZ292" t="inlineStr">
        <is>
          <t>BAF</t>
        </is>
      </c>
      <c r="BA292"/>
      <c r="BB292" t="n">
        <v>36.8</v>
      </c>
      <c r="BC292"/>
      <c r="BD292"/>
      <c r="BE292"/>
      <c r="BF292"/>
      <c r="BG292"/>
      <c r="BH292"/>
      <c r="BI292" t="inlineStr">
        <is>
          <t>ml/g</t>
        </is>
      </c>
      <c r="BJ292" t="inlineStr">
        <is>
          <t>Whole organism</t>
        </is>
      </c>
      <c r="BK292"/>
      <c r="BL292" t="n">
        <v>2.0</v>
      </c>
      <c r="BM292"/>
      <c r="BN292"/>
      <c r="BO292"/>
      <c r="BP292"/>
      <c r="BQ292" t="inlineStr">
        <is>
          <t>Day(s)</t>
        </is>
      </c>
      <c r="BR292" t="inlineStr">
        <is>
          <t>Chowdhury,M.I., T. Sana, L. Panneerselvan, A.K. Sivaram, and M. Megharaj</t>
        </is>
      </c>
      <c r="BS292" t="n">
        <v>188170.0</v>
      </c>
      <c r="BT292" t="inlineStr">
        <is>
          <t>Perfluorooctane Sulfonate (PFOS) Induces Several Behavioural Defects in Caenorhabditis elegans that can also be Transferred to the Next Generations</t>
        </is>
      </c>
      <c r="BU292" t="inlineStr">
        <is>
          <t>Chemosphere291:9 p.</t>
        </is>
      </c>
      <c r="BV292" t="n">
        <v>2022.0</v>
      </c>
      <c r="BW292" t="inlineStr">
        <is>
          <t>Chowdhury,M.I., T. Sana, L. Panneerselvan, A.K. Sivaram, and M. Megharaj (2022). Perfluorooctane Sulfonate (PFOS) Induces Several Behavioural Defects in Caenorhabditis elegans that can also be Transferred to the Next Generations. Chemosphere, 291, 9 p. doi:10.1016/j.chemosphere.2021.132896. ECOREF#:188170</t>
        </is>
      </c>
    </row>
    <row r="293">
      <c r="A293" t="n">
        <v>2795393.0</v>
      </c>
      <c r="B293" t="inlineStr">
        <is>
          <t>1,1,2,2,3,3,4,4,5,5,6,6,7,7,8,8,8-Heptadecafluoro-1-octanesulfonic acid potassium salt</t>
        </is>
      </c>
      <c r="C293"/>
      <c r="D293" t="inlineStr">
        <is>
          <t>Unmeasured</t>
        </is>
      </c>
      <c r="E293"/>
      <c r="F293" t="n">
        <v>86.9</v>
      </c>
      <c r="G293"/>
      <c r="H293"/>
      <c r="I293"/>
      <c r="J293"/>
      <c r="K293" t="inlineStr">
        <is>
          <t>Colinus virginianus</t>
        </is>
      </c>
      <c r="L293" t="inlineStr">
        <is>
          <t>Northern Bobwhite Quail</t>
        </is>
      </c>
      <c r="M293" t="inlineStr">
        <is>
          <t>Birds; Standard Test Species</t>
        </is>
      </c>
      <c r="N293" t="inlineStr">
        <is>
          <t>Juvenile</t>
        </is>
      </c>
      <c r="O293"/>
      <c r="P293" t="n">
        <v>10.0</v>
      </c>
      <c r="Q293"/>
      <c r="R293"/>
      <c r="S293"/>
      <c r="T293"/>
      <c r="U293" t="inlineStr">
        <is>
          <t>Day(s)</t>
        </is>
      </c>
      <c r="V293" t="inlineStr">
        <is>
          <t>Food</t>
        </is>
      </c>
      <c r="W293" t="inlineStr">
        <is>
          <t>No substrate</t>
        </is>
      </c>
      <c r="X293" t="inlineStr">
        <is>
          <t>Lab</t>
        </is>
      </c>
      <c r="Y293" t="n">
        <v>8.0</v>
      </c>
      <c r="Z293" t="inlineStr">
        <is>
          <t>Active ingredient</t>
        </is>
      </c>
      <c r="AA293"/>
      <c r="AB293"/>
      <c r="AC293"/>
      <c r="AD293" t="n">
        <v>8.52</v>
      </c>
      <c r="AE293"/>
      <c r="AF293" t="n">
        <v>193.0</v>
      </c>
      <c r="AG293" t="inlineStr">
        <is>
          <t>mg/kg bdwt/d</t>
        </is>
      </c>
      <c r="AH293"/>
      <c r="AI293"/>
      <c r="AJ293"/>
      <c r="AK293"/>
      <c r="AL293"/>
      <c r="AM293"/>
      <c r="AN293"/>
      <c r="AO293"/>
      <c r="AP293"/>
      <c r="AQ293"/>
      <c r="AR293"/>
      <c r="AS293"/>
      <c r="AT293"/>
      <c r="AU293"/>
      <c r="AV293"/>
      <c r="AW293"/>
      <c r="AX293" t="inlineStr">
        <is>
          <t>Accumulation</t>
        </is>
      </c>
      <c r="AY293" t="inlineStr">
        <is>
          <t>Residue</t>
        </is>
      </c>
      <c r="AZ293"/>
      <c r="BA293"/>
      <c r="BB293"/>
      <c r="BC293"/>
      <c r="BD293" t="n">
        <v>8.52</v>
      </c>
      <c r="BE293"/>
      <c r="BF293" t="n">
        <v>193.0</v>
      </c>
      <c r="BG293"/>
      <c r="BH293"/>
      <c r="BI293" t="inlineStr">
        <is>
          <t>mg/kg bdwt/d</t>
        </is>
      </c>
      <c r="BJ293" t="inlineStr">
        <is>
          <t>Multiple entries</t>
        </is>
      </c>
      <c r="BK293"/>
      <c r="BL293" t="n">
        <v>8.0</v>
      </c>
      <c r="BM293"/>
      <c r="BN293"/>
      <c r="BO293"/>
      <c r="BP293"/>
      <c r="BQ293" t="inlineStr">
        <is>
          <t>Day(s)</t>
        </is>
      </c>
      <c r="BR293" t="inlineStr">
        <is>
          <t>Newsted,J.L., S.A. Beach, S.P. Gallagher, and J.P. Giesy</t>
        </is>
      </c>
      <c r="BS293" t="n">
        <v>110983.0</v>
      </c>
      <c r="BT293" t="inlineStr">
        <is>
          <t>Pharmacokinetics and Acute Lethality of Perfluorooctanesulfonate (PFOS) to Juvenile Mallard and Northern Bobwhite</t>
        </is>
      </c>
      <c r="BU293" t="inlineStr">
        <is>
          <t>Arch. Environ. Contam. Toxicol.50(3): 411-420</t>
        </is>
      </c>
      <c r="BV293" t="n">
        <v>2006.0</v>
      </c>
      <c r="BW293" t="inlineStr">
        <is>
          <t>Newsted,J.L., S.A. Beach, S.P. Gallagher, and J.P. Giesy (2006). Pharmacokinetics and Acute Lethality of Perfluorooctanesulfonate (PFOS) to Juvenile Mallard and Northern Bobwhite. Arch. Environ. Contam. Toxicol., 50, (3), 411-420. doi:10.1007/s00244-005-1137-x. ECOREF#:110983</t>
        </is>
      </c>
    </row>
    <row r="294">
      <c r="A294" t="n">
        <v>2795393.0</v>
      </c>
      <c r="B294" t="inlineStr">
        <is>
          <t>1,1,2,2,3,3,4,4,5,5,6,6,7,7,8,8,8-Heptadecafluoro-1-octanesulfonic acid potassium salt</t>
        </is>
      </c>
      <c r="C294"/>
      <c r="D294" t="inlineStr">
        <is>
          <t>Measured</t>
        </is>
      </c>
      <c r="E294"/>
      <c r="F294" t="n">
        <v>86.9</v>
      </c>
      <c r="G294"/>
      <c r="H294"/>
      <c r="I294"/>
      <c r="J294"/>
      <c r="K294" t="inlineStr">
        <is>
          <t>Colinus virginianus</t>
        </is>
      </c>
      <c r="L294" t="inlineStr">
        <is>
          <t>Northern Bobwhite Quail</t>
        </is>
      </c>
      <c r="M294" t="inlineStr">
        <is>
          <t>Birds; Standard Test Species</t>
        </is>
      </c>
      <c r="N294" t="inlineStr">
        <is>
          <t>Adult</t>
        </is>
      </c>
      <c r="O294"/>
      <c r="P294" t="n">
        <v>24.0</v>
      </c>
      <c r="Q294"/>
      <c r="R294"/>
      <c r="S294"/>
      <c r="T294"/>
      <c r="U294" t="inlineStr">
        <is>
          <t>Week(s)</t>
        </is>
      </c>
      <c r="V294" t="inlineStr">
        <is>
          <t>Diet, unspecified</t>
        </is>
      </c>
      <c r="W294" t="inlineStr">
        <is>
          <t>No substrate</t>
        </is>
      </c>
      <c r="X294" t="inlineStr">
        <is>
          <t>Lab</t>
        </is>
      </c>
      <c r="Y294" t="n">
        <v>5.0</v>
      </c>
      <c r="Z294" t="inlineStr">
        <is>
          <t>Active ingredient</t>
        </is>
      </c>
      <c r="AA294"/>
      <c r="AB294" t="n">
        <v>10.2</v>
      </c>
      <c r="AC294"/>
      <c r="AD294"/>
      <c r="AE294"/>
      <c r="AF294"/>
      <c r="AG294" t="inlineStr">
        <is>
          <t>mg/kg diet</t>
        </is>
      </c>
      <c r="AH294"/>
      <c r="AI294"/>
      <c r="AJ294"/>
      <c r="AK294"/>
      <c r="AL294"/>
      <c r="AM294"/>
      <c r="AN294"/>
      <c r="AO294"/>
      <c r="AP294"/>
      <c r="AQ294"/>
      <c r="AR294"/>
      <c r="AS294"/>
      <c r="AT294"/>
      <c r="AU294"/>
      <c r="AV294"/>
      <c r="AW294"/>
      <c r="AX294" t="inlineStr">
        <is>
          <t>Accumulation</t>
        </is>
      </c>
      <c r="AY294" t="inlineStr">
        <is>
          <t>Residue</t>
        </is>
      </c>
      <c r="AZ294"/>
      <c r="BA294"/>
      <c r="BB294" t="n">
        <v>10.2</v>
      </c>
      <c r="BC294"/>
      <c r="BD294"/>
      <c r="BE294"/>
      <c r="BF294"/>
      <c r="BG294"/>
      <c r="BH294"/>
      <c r="BI294" t="inlineStr">
        <is>
          <t>mg/kg diet</t>
        </is>
      </c>
      <c r="BJ294" t="inlineStr">
        <is>
          <t>Liver</t>
        </is>
      </c>
      <c r="BK294"/>
      <c r="BL294" t="n">
        <v>147.0</v>
      </c>
      <c r="BM294"/>
      <c r="BN294"/>
      <c r="BO294"/>
      <c r="BP294"/>
      <c r="BQ294" t="inlineStr">
        <is>
          <t>Day(s)</t>
        </is>
      </c>
      <c r="BR294" t="inlineStr">
        <is>
          <t>Newsted,J.L., K.K. Coady, S.A. Beach, J.L. Butenhoff, S. Gallagher, and J.P. Giesy</t>
        </is>
      </c>
      <c r="BS294" t="n">
        <v>175224.0</v>
      </c>
      <c r="BT294" t="inlineStr">
        <is>
          <t>Effects of Perfluorooctane Sulfonate on Mallard and Northern Bobwhite Quail Exposed Chronically via the Diet</t>
        </is>
      </c>
      <c r="BU294" t="inlineStr">
        <is>
          <t>Environ. Toxicol. Pharmacol.23(1): 1-9</t>
        </is>
      </c>
      <c r="BV294" t="n">
        <v>2007.0</v>
      </c>
      <c r="BW294"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95">
      <c r="A295" t="n">
        <v>2795393.0</v>
      </c>
      <c r="B295" t="inlineStr">
        <is>
          <t>1,1,2,2,3,3,4,4,5,5,6,6,7,7,8,8,8-Heptadecafluoro-1-octanesulfonic acid potassium salt</t>
        </is>
      </c>
      <c r="C295"/>
      <c r="D295" t="inlineStr">
        <is>
          <t>Measured</t>
        </is>
      </c>
      <c r="E295"/>
      <c r="F295" t="n">
        <v>86.9</v>
      </c>
      <c r="G295"/>
      <c r="H295"/>
      <c r="I295"/>
      <c r="J295"/>
      <c r="K295" t="inlineStr">
        <is>
          <t>Colinus virginianus</t>
        </is>
      </c>
      <c r="L295" t="inlineStr">
        <is>
          <t>Northern Bobwhite Quail</t>
        </is>
      </c>
      <c r="M295" t="inlineStr">
        <is>
          <t>Birds; Standard Test Species</t>
        </is>
      </c>
      <c r="N295" t="inlineStr">
        <is>
          <t>Adult</t>
        </is>
      </c>
      <c r="O295"/>
      <c r="P295" t="n">
        <v>24.0</v>
      </c>
      <c r="Q295"/>
      <c r="R295"/>
      <c r="S295"/>
      <c r="T295"/>
      <c r="U295" t="inlineStr">
        <is>
          <t>Week(s)</t>
        </is>
      </c>
      <c r="V295" t="inlineStr">
        <is>
          <t>Diet, unspecified</t>
        </is>
      </c>
      <c r="W295" t="inlineStr">
        <is>
          <t>No substrate</t>
        </is>
      </c>
      <c r="X295" t="inlineStr">
        <is>
          <t>Lab</t>
        </is>
      </c>
      <c r="Y295" t="n">
        <v>5.0</v>
      </c>
      <c r="Z295" t="inlineStr">
        <is>
          <t>Active ingredient</t>
        </is>
      </c>
      <c r="AA295"/>
      <c r="AB295" t="n">
        <v>10.2</v>
      </c>
      <c r="AC295"/>
      <c r="AD295"/>
      <c r="AE295"/>
      <c r="AF295"/>
      <c r="AG295" t="inlineStr">
        <is>
          <t>mg/kg diet</t>
        </is>
      </c>
      <c r="AH295"/>
      <c r="AI295"/>
      <c r="AJ295"/>
      <c r="AK295"/>
      <c r="AL295"/>
      <c r="AM295"/>
      <c r="AN295"/>
      <c r="AO295"/>
      <c r="AP295"/>
      <c r="AQ295"/>
      <c r="AR295"/>
      <c r="AS295"/>
      <c r="AT295"/>
      <c r="AU295"/>
      <c r="AV295"/>
      <c r="AW295"/>
      <c r="AX295" t="inlineStr">
        <is>
          <t>Accumulation</t>
        </is>
      </c>
      <c r="AY295" t="inlineStr">
        <is>
          <t>Residue</t>
        </is>
      </c>
      <c r="AZ295"/>
      <c r="BA295"/>
      <c r="BB295" t="n">
        <v>10.2</v>
      </c>
      <c r="BC295"/>
      <c r="BD295"/>
      <c r="BE295"/>
      <c r="BF295"/>
      <c r="BG295"/>
      <c r="BH295"/>
      <c r="BI295" t="inlineStr">
        <is>
          <t>mg/kg diet</t>
        </is>
      </c>
      <c r="BJ295" t="inlineStr">
        <is>
          <t>Yolk</t>
        </is>
      </c>
      <c r="BK295"/>
      <c r="BL295" t="n">
        <v>147.0</v>
      </c>
      <c r="BM295"/>
      <c r="BN295"/>
      <c r="BO295"/>
      <c r="BP295"/>
      <c r="BQ295" t="inlineStr">
        <is>
          <t>Day(s)</t>
        </is>
      </c>
      <c r="BR295" t="inlineStr">
        <is>
          <t>Newsted,J.L., K.K. Coady, S.A. Beach, J.L. Butenhoff, S. Gallagher, and J.P. Giesy</t>
        </is>
      </c>
      <c r="BS295" t="n">
        <v>175224.0</v>
      </c>
      <c r="BT295" t="inlineStr">
        <is>
          <t>Effects of Perfluorooctane Sulfonate on Mallard and Northern Bobwhite Quail Exposed Chronically via the Diet</t>
        </is>
      </c>
      <c r="BU295" t="inlineStr">
        <is>
          <t>Environ. Toxicol. Pharmacol.23(1): 1-9</t>
        </is>
      </c>
      <c r="BV295" t="n">
        <v>2007.0</v>
      </c>
      <c r="BW295"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96">
      <c r="A296" t="n">
        <v>2795393.0</v>
      </c>
      <c r="B296" t="inlineStr">
        <is>
          <t>1,1,2,2,3,3,4,4,5,5,6,6,7,7,8,8,8-Heptadecafluoro-1-octanesulfonic acid potassium salt</t>
        </is>
      </c>
      <c r="C296"/>
      <c r="D296" t="inlineStr">
        <is>
          <t>Measured</t>
        </is>
      </c>
      <c r="E296"/>
      <c r="F296" t="n">
        <v>86.9</v>
      </c>
      <c r="G296"/>
      <c r="H296"/>
      <c r="I296"/>
      <c r="J296"/>
      <c r="K296" t="inlineStr">
        <is>
          <t>Colinus virginianus</t>
        </is>
      </c>
      <c r="L296" t="inlineStr">
        <is>
          <t>Northern Bobwhite Quail</t>
        </is>
      </c>
      <c r="M296" t="inlineStr">
        <is>
          <t>Birds; Standard Test Species</t>
        </is>
      </c>
      <c r="N296" t="inlineStr">
        <is>
          <t>Adult</t>
        </is>
      </c>
      <c r="O296"/>
      <c r="P296" t="n">
        <v>24.0</v>
      </c>
      <c r="Q296"/>
      <c r="R296"/>
      <c r="S296"/>
      <c r="T296"/>
      <c r="U296" t="inlineStr">
        <is>
          <t>Week(s)</t>
        </is>
      </c>
      <c r="V296" t="inlineStr">
        <is>
          <t>Diet, unspecified</t>
        </is>
      </c>
      <c r="W296" t="inlineStr">
        <is>
          <t>No substrate</t>
        </is>
      </c>
      <c r="X296" t="inlineStr">
        <is>
          <t>Lab</t>
        </is>
      </c>
      <c r="Y296" t="n">
        <v>5.0</v>
      </c>
      <c r="Z296" t="inlineStr">
        <is>
          <t>Active ingredient</t>
        </is>
      </c>
      <c r="AA296"/>
      <c r="AB296" t="n">
        <v>10.2</v>
      </c>
      <c r="AC296"/>
      <c r="AD296"/>
      <c r="AE296"/>
      <c r="AF296"/>
      <c r="AG296" t="inlineStr">
        <is>
          <t>mg/kg diet</t>
        </is>
      </c>
      <c r="AH296"/>
      <c r="AI296"/>
      <c r="AJ296"/>
      <c r="AK296"/>
      <c r="AL296"/>
      <c r="AM296"/>
      <c r="AN296"/>
      <c r="AO296"/>
      <c r="AP296"/>
      <c r="AQ296"/>
      <c r="AR296"/>
      <c r="AS296"/>
      <c r="AT296"/>
      <c r="AU296"/>
      <c r="AV296"/>
      <c r="AW296"/>
      <c r="AX296" t="inlineStr">
        <is>
          <t>Accumulation</t>
        </is>
      </c>
      <c r="AY296" t="inlineStr">
        <is>
          <t>Residue</t>
        </is>
      </c>
      <c r="AZ296"/>
      <c r="BA296"/>
      <c r="BB296" t="n">
        <v>10.2</v>
      </c>
      <c r="BC296"/>
      <c r="BD296"/>
      <c r="BE296"/>
      <c r="BF296"/>
      <c r="BG296"/>
      <c r="BH296"/>
      <c r="BI296" t="inlineStr">
        <is>
          <t>mg/kg diet</t>
        </is>
      </c>
      <c r="BJ296" t="inlineStr">
        <is>
          <t>Multiple entries</t>
        </is>
      </c>
      <c r="BK296"/>
      <c r="BL296"/>
      <c r="BM296"/>
      <c r="BN296" t="n">
        <v>35.0</v>
      </c>
      <c r="BO296"/>
      <c r="BP296" t="n">
        <v>147.0</v>
      </c>
      <c r="BQ296" t="inlineStr">
        <is>
          <t>Day(s)</t>
        </is>
      </c>
      <c r="BR296" t="inlineStr">
        <is>
          <t>Newsted,J.L., K.K. Coady, S.A. Beach, J.L. Butenhoff, S. Gallagher, and J.P. Giesy</t>
        </is>
      </c>
      <c r="BS296" t="n">
        <v>175224.0</v>
      </c>
      <c r="BT296" t="inlineStr">
        <is>
          <t>Effects of Perfluorooctane Sulfonate on Mallard and Northern Bobwhite Quail Exposed Chronically via the Diet</t>
        </is>
      </c>
      <c r="BU296" t="inlineStr">
        <is>
          <t>Environ. Toxicol. Pharmacol.23(1): 1-9</t>
        </is>
      </c>
      <c r="BV296" t="n">
        <v>2007.0</v>
      </c>
      <c r="BW296"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97">
      <c r="A297" t="n">
        <v>2795393.0</v>
      </c>
      <c r="B297" t="inlineStr">
        <is>
          <t>1,1,2,2,3,3,4,4,5,5,6,6,7,7,8,8,8-Heptadecafluoro-1-octanesulfonic acid potassium salt</t>
        </is>
      </c>
      <c r="C297"/>
      <c r="D297" t="inlineStr">
        <is>
          <t>Measured</t>
        </is>
      </c>
      <c r="E297"/>
      <c r="F297" t="n">
        <v>86.9</v>
      </c>
      <c r="G297"/>
      <c r="H297"/>
      <c r="I297"/>
      <c r="J297"/>
      <c r="K297" t="inlineStr">
        <is>
          <t>Colinus virginianus</t>
        </is>
      </c>
      <c r="L297" t="inlineStr">
        <is>
          <t>Northern Bobwhite Quail</t>
        </is>
      </c>
      <c r="M297" t="inlineStr">
        <is>
          <t>Birds; Standard Test Species</t>
        </is>
      </c>
      <c r="N297" t="inlineStr">
        <is>
          <t>Adult</t>
        </is>
      </c>
      <c r="O297"/>
      <c r="P297" t="n">
        <v>24.0</v>
      </c>
      <c r="Q297"/>
      <c r="R297"/>
      <c r="S297"/>
      <c r="T297"/>
      <c r="U297" t="inlineStr">
        <is>
          <t>Week(s)</t>
        </is>
      </c>
      <c r="V297" t="inlineStr">
        <is>
          <t>Diet, unspecified</t>
        </is>
      </c>
      <c r="W297" t="inlineStr">
        <is>
          <t>No substrate</t>
        </is>
      </c>
      <c r="X297" t="inlineStr">
        <is>
          <t>Lab</t>
        </is>
      </c>
      <c r="Y297" t="n">
        <v>5.0</v>
      </c>
      <c r="Z297" t="inlineStr">
        <is>
          <t>Active ingredient</t>
        </is>
      </c>
      <c r="AA297"/>
      <c r="AB297" t="n">
        <v>10.2</v>
      </c>
      <c r="AC297"/>
      <c r="AD297"/>
      <c r="AE297"/>
      <c r="AF297"/>
      <c r="AG297" t="inlineStr">
        <is>
          <t>mg/kg diet</t>
        </is>
      </c>
      <c r="AH297"/>
      <c r="AI297"/>
      <c r="AJ297"/>
      <c r="AK297"/>
      <c r="AL297"/>
      <c r="AM297"/>
      <c r="AN297"/>
      <c r="AO297"/>
      <c r="AP297"/>
      <c r="AQ297"/>
      <c r="AR297"/>
      <c r="AS297"/>
      <c r="AT297"/>
      <c r="AU297"/>
      <c r="AV297"/>
      <c r="AW297"/>
      <c r="AX297" t="inlineStr">
        <is>
          <t>Accumulation</t>
        </is>
      </c>
      <c r="AY297" t="inlineStr">
        <is>
          <t>Residue</t>
        </is>
      </c>
      <c r="AZ297"/>
      <c r="BA297"/>
      <c r="BB297" t="n">
        <v>10.2</v>
      </c>
      <c r="BC297"/>
      <c r="BD297"/>
      <c r="BE297"/>
      <c r="BF297"/>
      <c r="BG297"/>
      <c r="BH297"/>
      <c r="BI297" t="inlineStr">
        <is>
          <t>mg/kg diet</t>
        </is>
      </c>
      <c r="BJ297" t="inlineStr">
        <is>
          <t>Multiple entries</t>
        </is>
      </c>
      <c r="BK297"/>
      <c r="BL297"/>
      <c r="BM297"/>
      <c r="BN297" t="n">
        <v>35.0</v>
      </c>
      <c r="BO297"/>
      <c r="BP297" t="n">
        <v>147.0</v>
      </c>
      <c r="BQ297" t="inlineStr">
        <is>
          <t>Day(s)</t>
        </is>
      </c>
      <c r="BR297" t="inlineStr">
        <is>
          <t>Newsted,J.L., K.K. Coady, S.A. Beach, J.L. Butenhoff, S. Gallagher, and J.P. Giesy</t>
        </is>
      </c>
      <c r="BS297" t="n">
        <v>175224.0</v>
      </c>
      <c r="BT297" t="inlineStr">
        <is>
          <t>Effects of Perfluorooctane Sulfonate on Mallard and Northern Bobwhite Quail Exposed Chronically via the Diet</t>
        </is>
      </c>
      <c r="BU297" t="inlineStr">
        <is>
          <t>Environ. Toxicol. Pharmacol.23(1): 1-9</t>
        </is>
      </c>
      <c r="BV297" t="n">
        <v>2007.0</v>
      </c>
      <c r="BW297"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98">
      <c r="A298" t="n">
        <v>2795393.0</v>
      </c>
      <c r="B298" t="inlineStr">
        <is>
          <t>1,1,2,2,3,3,4,4,5,5,6,6,7,7,8,8,8-Heptadecafluoro-1-octanesulfonic acid potassium salt</t>
        </is>
      </c>
      <c r="C298"/>
      <c r="D298" t="inlineStr">
        <is>
          <t>Measured</t>
        </is>
      </c>
      <c r="E298"/>
      <c r="F298" t="n">
        <v>86.9</v>
      </c>
      <c r="G298"/>
      <c r="H298"/>
      <c r="I298"/>
      <c r="J298"/>
      <c r="K298" t="inlineStr">
        <is>
          <t>Colinus virginianus</t>
        </is>
      </c>
      <c r="L298" t="inlineStr">
        <is>
          <t>Northern Bobwhite Quail</t>
        </is>
      </c>
      <c r="M298" t="inlineStr">
        <is>
          <t>Birds; Standard Test Species</t>
        </is>
      </c>
      <c r="N298" t="inlineStr">
        <is>
          <t>Adult</t>
        </is>
      </c>
      <c r="O298"/>
      <c r="P298" t="n">
        <v>24.0</v>
      </c>
      <c r="Q298"/>
      <c r="R298"/>
      <c r="S298"/>
      <c r="T298"/>
      <c r="U298" t="inlineStr">
        <is>
          <t>Week(s)</t>
        </is>
      </c>
      <c r="V298" t="inlineStr">
        <is>
          <t>Diet, unspecified</t>
        </is>
      </c>
      <c r="W298" t="inlineStr">
        <is>
          <t>No substrate</t>
        </is>
      </c>
      <c r="X298" t="inlineStr">
        <is>
          <t>Lab</t>
        </is>
      </c>
      <c r="Y298" t="n">
        <v>5.0</v>
      </c>
      <c r="Z298" t="inlineStr">
        <is>
          <t>Active ingredient</t>
        </is>
      </c>
      <c r="AA298"/>
      <c r="AB298" t="n">
        <v>10.2</v>
      </c>
      <c r="AC298"/>
      <c r="AD298"/>
      <c r="AE298"/>
      <c r="AF298"/>
      <c r="AG298" t="inlineStr">
        <is>
          <t>mg/kg diet</t>
        </is>
      </c>
      <c r="AH298"/>
      <c r="AI298"/>
      <c r="AJ298"/>
      <c r="AK298"/>
      <c r="AL298"/>
      <c r="AM298"/>
      <c r="AN298"/>
      <c r="AO298"/>
      <c r="AP298"/>
      <c r="AQ298"/>
      <c r="AR298"/>
      <c r="AS298"/>
      <c r="AT298"/>
      <c r="AU298"/>
      <c r="AV298"/>
      <c r="AW298"/>
      <c r="AX298" t="inlineStr">
        <is>
          <t>Accumulation</t>
        </is>
      </c>
      <c r="AY298" t="inlineStr">
        <is>
          <t>Residue</t>
        </is>
      </c>
      <c r="AZ298"/>
      <c r="BA298"/>
      <c r="BB298" t="n">
        <v>10.2</v>
      </c>
      <c r="BC298"/>
      <c r="BD298"/>
      <c r="BE298"/>
      <c r="BF298"/>
      <c r="BG298"/>
      <c r="BH298"/>
      <c r="BI298" t="inlineStr">
        <is>
          <t>mg/kg diet</t>
        </is>
      </c>
      <c r="BJ298" t="inlineStr">
        <is>
          <t>Liver</t>
        </is>
      </c>
      <c r="BK298"/>
      <c r="BL298" t="n">
        <v>147.0</v>
      </c>
      <c r="BM298"/>
      <c r="BN298"/>
      <c r="BO298"/>
      <c r="BP298"/>
      <c r="BQ298" t="inlineStr">
        <is>
          <t>Day(s)</t>
        </is>
      </c>
      <c r="BR298" t="inlineStr">
        <is>
          <t>Newsted,J.L., K.K. Coady, S.A. Beach, J.L. Butenhoff, S. Gallagher, and J.P. Giesy</t>
        </is>
      </c>
      <c r="BS298" t="n">
        <v>175224.0</v>
      </c>
      <c r="BT298" t="inlineStr">
        <is>
          <t>Effects of Perfluorooctane Sulfonate on Mallard and Northern Bobwhite Quail Exposed Chronically via the Diet</t>
        </is>
      </c>
      <c r="BU298" t="inlineStr">
        <is>
          <t>Environ. Toxicol. Pharmacol.23(1): 1-9</t>
        </is>
      </c>
      <c r="BV298" t="n">
        <v>2007.0</v>
      </c>
      <c r="BW298" t="inlineStr">
        <is>
          <t>Newsted,J.L., K.K. Coady, S.A. Beach, J.L. Butenhoff, S. Gallagher, and J.P. Giesy (2007). Effects of Perfluorooctane Sulfonate on Mallard and Northern Bobwhite Quail Exposed Chronically via the Diet. Environ. Toxicol. Pharmacol., 23, (1), 1-9. doi:10.1016/j.etap.2006.04.008. ECOREF#:175224</t>
        </is>
      </c>
    </row>
    <row r="299">
      <c r="A299" t="n">
        <v>2795393.0</v>
      </c>
      <c r="B299" t="inlineStr">
        <is>
          <t>1,1,2,2,3,3,4,4,5,5,6,6,7,7,8,8,8-Heptadecafluoro-1-octanesulfonic acid potassium salt</t>
        </is>
      </c>
      <c r="C299"/>
      <c r="D299" t="inlineStr">
        <is>
          <t>Unmeasured</t>
        </is>
      </c>
      <c r="E299"/>
      <c r="F299" t="n">
        <v>86.9</v>
      </c>
      <c r="G299"/>
      <c r="H299"/>
      <c r="I299"/>
      <c r="J299"/>
      <c r="K299" t="inlineStr">
        <is>
          <t>Colinus virginianus</t>
        </is>
      </c>
      <c r="L299" t="inlineStr">
        <is>
          <t>Northern Bobwhite Quail</t>
        </is>
      </c>
      <c r="M299" t="inlineStr">
        <is>
          <t>Birds; Standard Test Species</t>
        </is>
      </c>
      <c r="N299" t="inlineStr">
        <is>
          <t>Juvenile</t>
        </is>
      </c>
      <c r="O299"/>
      <c r="P299" t="n">
        <v>10.0</v>
      </c>
      <c r="Q299"/>
      <c r="R299"/>
      <c r="S299"/>
      <c r="T299"/>
      <c r="U299" t="inlineStr">
        <is>
          <t>Day(s)</t>
        </is>
      </c>
      <c r="V299" t="inlineStr">
        <is>
          <t>Food</t>
        </is>
      </c>
      <c r="W299" t="inlineStr">
        <is>
          <t>No substrate</t>
        </is>
      </c>
      <c r="X299" t="inlineStr">
        <is>
          <t>Lab</t>
        </is>
      </c>
      <c r="Y299" t="n">
        <v>8.0</v>
      </c>
      <c r="Z299" t="inlineStr">
        <is>
          <t>Active ingredient</t>
        </is>
      </c>
      <c r="AA299"/>
      <c r="AB299"/>
      <c r="AC299"/>
      <c r="AD299" t="n">
        <v>8.52</v>
      </c>
      <c r="AE299"/>
      <c r="AF299" t="n">
        <v>193.0</v>
      </c>
      <c r="AG299" t="inlineStr">
        <is>
          <t>mg/kg bdwt/d</t>
        </is>
      </c>
      <c r="AH299"/>
      <c r="AI299"/>
      <c r="AJ299"/>
      <c r="AK299"/>
      <c r="AL299"/>
      <c r="AM299"/>
      <c r="AN299"/>
      <c r="AO299"/>
      <c r="AP299"/>
      <c r="AQ299"/>
      <c r="AR299"/>
      <c r="AS299"/>
      <c r="AT299"/>
      <c r="AU299"/>
      <c r="AV299"/>
      <c r="AW299"/>
      <c r="AX299" t="inlineStr">
        <is>
          <t>Accumulation</t>
        </is>
      </c>
      <c r="AY299" t="inlineStr">
        <is>
          <t>Residue</t>
        </is>
      </c>
      <c r="AZ299"/>
      <c r="BA299"/>
      <c r="BB299"/>
      <c r="BC299"/>
      <c r="BD299" t="n">
        <v>8.52</v>
      </c>
      <c r="BE299"/>
      <c r="BF299" t="n">
        <v>193.0</v>
      </c>
      <c r="BG299"/>
      <c r="BH299"/>
      <c r="BI299" t="inlineStr">
        <is>
          <t>mg/kg bdwt/d</t>
        </is>
      </c>
      <c r="BJ299" t="inlineStr">
        <is>
          <t>Multiple entries</t>
        </is>
      </c>
      <c r="BK299"/>
      <c r="BL299" t="n">
        <v>22.0</v>
      </c>
      <c r="BM299"/>
      <c r="BN299"/>
      <c r="BO299"/>
      <c r="BP299"/>
      <c r="BQ299" t="inlineStr">
        <is>
          <t>Day(s)</t>
        </is>
      </c>
      <c r="BR299" t="inlineStr">
        <is>
          <t>Newsted,J.L., S.A. Beach, S.P. Gallagher, and J.P. Giesy</t>
        </is>
      </c>
      <c r="BS299" t="n">
        <v>110983.0</v>
      </c>
      <c r="BT299" t="inlineStr">
        <is>
          <t>Pharmacokinetics and Acute Lethality of Perfluorooctanesulfonate (PFOS) to Juvenile Mallard and Northern Bobwhite</t>
        </is>
      </c>
      <c r="BU299" t="inlineStr">
        <is>
          <t>Arch. Environ. Contam. Toxicol.50(3): 411-420</t>
        </is>
      </c>
      <c r="BV299" t="n">
        <v>2006.0</v>
      </c>
      <c r="BW299" t="inlineStr">
        <is>
          <t>Newsted,J.L., S.A. Beach, S.P. Gallagher, and J.P. Giesy (2006). Pharmacokinetics and Acute Lethality of Perfluorooctanesulfonate (PFOS) to Juvenile Mallard and Northern Bobwhite. Arch. Environ. Contam. Toxicol., 50, (3), 411-420. doi:10.1007/s00244-005-1137-x. ECOREF#:110983</t>
        </is>
      </c>
    </row>
    <row r="300">
      <c r="A300" t="n">
        <v>2795393.0</v>
      </c>
      <c r="B300" t="inlineStr">
        <is>
          <t>1,1,2,2,3,3,4,4,5,5,6,6,7,7,8,8,8-Heptadecafluoro-1-octanesulfonic acid potassium salt</t>
        </is>
      </c>
      <c r="C300"/>
      <c r="D300" t="inlineStr">
        <is>
          <t>Measured</t>
        </is>
      </c>
      <c r="E300" t="inlineStr">
        <is>
          <t>&gt;=</t>
        </is>
      </c>
      <c r="F300" t="n">
        <v>98.0</v>
      </c>
      <c r="G300"/>
      <c r="H300"/>
      <c r="I300"/>
      <c r="J300"/>
      <c r="K300" t="inlineStr">
        <is>
          <t>Coturnix japonica</t>
        </is>
      </c>
      <c r="L300" t="inlineStr">
        <is>
          <t>Japanese Quail</t>
        </is>
      </c>
      <c r="M300" t="inlineStr">
        <is>
          <t>Birds; Standard Test Species</t>
        </is>
      </c>
      <c r="N300" t="inlineStr">
        <is>
          <t>Juvenile</t>
        </is>
      </c>
      <c r="O300"/>
      <c r="P300" t="n">
        <v>1.0</v>
      </c>
      <c r="Q300"/>
      <c r="R300"/>
      <c r="S300"/>
      <c r="T300"/>
      <c r="U300" t="inlineStr">
        <is>
          <t>Day(s)</t>
        </is>
      </c>
      <c r="V300" t="inlineStr">
        <is>
          <t>Food</t>
        </is>
      </c>
      <c r="W300" t="inlineStr">
        <is>
          <t>No substrate</t>
        </is>
      </c>
      <c r="X300" t="inlineStr">
        <is>
          <t>Lab</t>
        </is>
      </c>
      <c r="Y300" t="n">
        <v>6.0</v>
      </c>
      <c r="Z300" t="inlineStr">
        <is>
          <t>Active ingredient</t>
        </is>
      </c>
      <c r="AA300"/>
      <c r="AB300" t="n">
        <v>0.28</v>
      </c>
      <c r="AC300"/>
      <c r="AD300"/>
      <c r="AE300"/>
      <c r="AF300"/>
      <c r="AG300" t="inlineStr">
        <is>
          <t>mg/kg bdwt/d</t>
        </is>
      </c>
      <c r="AH300"/>
      <c r="AI300"/>
      <c r="AJ300"/>
      <c r="AK300"/>
      <c r="AL300"/>
      <c r="AM300"/>
      <c r="AN300"/>
      <c r="AO300"/>
      <c r="AP300"/>
      <c r="AQ300"/>
      <c r="AR300"/>
      <c r="AS300"/>
      <c r="AT300"/>
      <c r="AU300"/>
      <c r="AV300"/>
      <c r="AW300"/>
      <c r="AX300" t="inlineStr">
        <is>
          <t>Accumulation</t>
        </is>
      </c>
      <c r="AY300" t="inlineStr">
        <is>
          <t>Residue</t>
        </is>
      </c>
      <c r="AZ300" t="inlineStr">
        <is>
          <t>LOEL</t>
        </is>
      </c>
      <c r="BA300"/>
      <c r="BB300" t="n">
        <v>0.28</v>
      </c>
      <c r="BC300"/>
      <c r="BD300"/>
      <c r="BE300"/>
      <c r="BF300"/>
      <c r="BG300"/>
      <c r="BH300"/>
      <c r="BI300" t="inlineStr">
        <is>
          <t>mg/kg bdwt/d</t>
        </is>
      </c>
      <c r="BJ300" t="inlineStr">
        <is>
          <t>Yolk</t>
        </is>
      </c>
      <c r="BK300"/>
      <c r="BL300"/>
      <c r="BM300"/>
      <c r="BN300" t="n">
        <v>77.0</v>
      </c>
      <c r="BO300"/>
      <c r="BP300" t="n">
        <v>84.0</v>
      </c>
      <c r="BQ300" t="inlineStr">
        <is>
          <t>Day(s)</t>
        </is>
      </c>
      <c r="BR300" t="inlineStr">
        <is>
          <t>Bursian,S.J., J.E. Link, M. Mccarty, K. Harr, J. Roberts, and M.F. Simcik</t>
        </is>
      </c>
      <c r="BS300" t="n">
        <v>187171.0</v>
      </c>
      <c r="BT300" t="inlineStr">
        <is>
          <t>Dietary Exposure of Japanese Quail (Coturnix japonica) to Perfluorooctane Sulfonate (PFOS) and a Legacy Aqueous Film Forming Foam (AFFF) Containing PFOS: Effects on Reproduction and Chick Survivability and Growth</t>
        </is>
      </c>
      <c r="BU300" t="inlineStr">
        <is>
          <t>Environ. Toxicol. Chem.40(9): 2521-2537</t>
        </is>
      </c>
      <c r="BV300" t="n">
        <v>2021.0</v>
      </c>
      <c r="BW300"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1">
      <c r="A301" t="n">
        <v>2795393.0</v>
      </c>
      <c r="B301" t="inlineStr">
        <is>
          <t>1,1,2,2,3,3,4,4,5,5,6,6,7,7,8,8,8-Heptadecafluoro-1-octanesulfonic acid potassium salt</t>
        </is>
      </c>
      <c r="C301"/>
      <c r="D301" t="inlineStr">
        <is>
          <t>Measured</t>
        </is>
      </c>
      <c r="E301" t="inlineStr">
        <is>
          <t>&gt;=</t>
        </is>
      </c>
      <c r="F301" t="n">
        <v>98.0</v>
      </c>
      <c r="G301"/>
      <c r="H301"/>
      <c r="I301"/>
      <c r="J301"/>
      <c r="K301" t="inlineStr">
        <is>
          <t>Coturnix japonica</t>
        </is>
      </c>
      <c r="L301" t="inlineStr">
        <is>
          <t>Japanese Quail</t>
        </is>
      </c>
      <c r="M301" t="inlineStr">
        <is>
          <t>Birds; Standard Test Species</t>
        </is>
      </c>
      <c r="N301" t="inlineStr">
        <is>
          <t>Juvenile</t>
        </is>
      </c>
      <c r="O301"/>
      <c r="P301" t="n">
        <v>1.0</v>
      </c>
      <c r="Q301"/>
      <c r="R301"/>
      <c r="S301"/>
      <c r="T301"/>
      <c r="U301" t="inlineStr">
        <is>
          <t>Day(s)</t>
        </is>
      </c>
      <c r="V301" t="inlineStr">
        <is>
          <t>Food</t>
        </is>
      </c>
      <c r="W301" t="inlineStr">
        <is>
          <t>No substrate</t>
        </is>
      </c>
      <c r="X301" t="inlineStr">
        <is>
          <t>Lab</t>
        </is>
      </c>
      <c r="Y301" t="n">
        <v>6.0</v>
      </c>
      <c r="Z301" t="inlineStr">
        <is>
          <t>Active ingredient</t>
        </is>
      </c>
      <c r="AA301"/>
      <c r="AB301" t="n">
        <v>0.28</v>
      </c>
      <c r="AC301"/>
      <c r="AD301"/>
      <c r="AE301"/>
      <c r="AF301"/>
      <c r="AG301" t="inlineStr">
        <is>
          <t>mg/kg bdwt/d</t>
        </is>
      </c>
      <c r="AH301"/>
      <c r="AI301"/>
      <c r="AJ301"/>
      <c r="AK301"/>
      <c r="AL301"/>
      <c r="AM301"/>
      <c r="AN301"/>
      <c r="AO301"/>
      <c r="AP301"/>
      <c r="AQ301"/>
      <c r="AR301"/>
      <c r="AS301"/>
      <c r="AT301"/>
      <c r="AU301"/>
      <c r="AV301"/>
      <c r="AW301"/>
      <c r="AX301" t="inlineStr">
        <is>
          <t>Accumulation</t>
        </is>
      </c>
      <c r="AY301" t="inlineStr">
        <is>
          <t>Residue</t>
        </is>
      </c>
      <c r="AZ301" t="inlineStr">
        <is>
          <t>LOEL</t>
        </is>
      </c>
      <c r="BA301"/>
      <c r="BB301" t="n">
        <v>0.28</v>
      </c>
      <c r="BC301"/>
      <c r="BD301"/>
      <c r="BE301"/>
      <c r="BF301"/>
      <c r="BG301"/>
      <c r="BH301"/>
      <c r="BI301" t="inlineStr">
        <is>
          <t>mg/kg bdwt/d</t>
        </is>
      </c>
      <c r="BJ301" t="inlineStr">
        <is>
          <t>Serum</t>
        </is>
      </c>
      <c r="BK301"/>
      <c r="BL301" t="n">
        <v>140.0</v>
      </c>
      <c r="BM301"/>
      <c r="BN301"/>
      <c r="BO301"/>
      <c r="BP301"/>
      <c r="BQ301" t="inlineStr">
        <is>
          <t>Day(s)</t>
        </is>
      </c>
      <c r="BR301" t="inlineStr">
        <is>
          <t>Bursian,S.J., J.E. Link, M. Mccarty, K. Harr, J. Roberts, and M.F. Simcik</t>
        </is>
      </c>
      <c r="BS301" t="n">
        <v>187171.0</v>
      </c>
      <c r="BT301" t="inlineStr">
        <is>
          <t>Dietary Exposure of Japanese Quail (Coturnix japonica) to Perfluorooctane Sulfonate (PFOS) and a Legacy Aqueous Film Forming Foam (AFFF) Containing PFOS: Effects on Reproduction and Chick Survivability and Growth</t>
        </is>
      </c>
      <c r="BU301" t="inlineStr">
        <is>
          <t>Environ. Toxicol. Chem.40(9): 2521-2537</t>
        </is>
      </c>
      <c r="BV301" t="n">
        <v>2021.0</v>
      </c>
      <c r="BW301"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2">
      <c r="A302" t="n">
        <v>2795393.0</v>
      </c>
      <c r="B302" t="inlineStr">
        <is>
          <t>1,1,2,2,3,3,4,4,5,5,6,6,7,7,8,8,8-Heptadecafluoro-1-octanesulfonic acid potassium salt</t>
        </is>
      </c>
      <c r="C302"/>
      <c r="D302" t="inlineStr">
        <is>
          <t>Measured</t>
        </is>
      </c>
      <c r="E302" t="inlineStr">
        <is>
          <t>&gt;=</t>
        </is>
      </c>
      <c r="F302" t="n">
        <v>98.0</v>
      </c>
      <c r="G302"/>
      <c r="H302"/>
      <c r="I302"/>
      <c r="J302"/>
      <c r="K302" t="inlineStr">
        <is>
          <t>Coturnix japonica</t>
        </is>
      </c>
      <c r="L302" t="inlineStr">
        <is>
          <t>Japanese Quail</t>
        </is>
      </c>
      <c r="M302" t="inlineStr">
        <is>
          <t>Birds; Standard Test Species</t>
        </is>
      </c>
      <c r="N302" t="inlineStr">
        <is>
          <t>Juvenile</t>
        </is>
      </c>
      <c r="O302"/>
      <c r="P302" t="n">
        <v>1.0</v>
      </c>
      <c r="Q302"/>
      <c r="R302"/>
      <c r="S302"/>
      <c r="T302"/>
      <c r="U302" t="inlineStr">
        <is>
          <t>Day(s)</t>
        </is>
      </c>
      <c r="V302" t="inlineStr">
        <is>
          <t>Food</t>
        </is>
      </c>
      <c r="W302" t="inlineStr">
        <is>
          <t>No substrate</t>
        </is>
      </c>
      <c r="X302" t="inlineStr">
        <is>
          <t>Lab</t>
        </is>
      </c>
      <c r="Y302" t="n">
        <v>6.0</v>
      </c>
      <c r="Z302" t="inlineStr">
        <is>
          <t>Active ingredient</t>
        </is>
      </c>
      <c r="AA302"/>
      <c r="AB302" t="n">
        <v>0.28</v>
      </c>
      <c r="AC302"/>
      <c r="AD302"/>
      <c r="AE302"/>
      <c r="AF302"/>
      <c r="AG302" t="inlineStr">
        <is>
          <t>mg/kg bdwt/d</t>
        </is>
      </c>
      <c r="AH302"/>
      <c r="AI302"/>
      <c r="AJ302"/>
      <c r="AK302"/>
      <c r="AL302"/>
      <c r="AM302"/>
      <c r="AN302"/>
      <c r="AO302"/>
      <c r="AP302"/>
      <c r="AQ302"/>
      <c r="AR302"/>
      <c r="AS302"/>
      <c r="AT302"/>
      <c r="AU302"/>
      <c r="AV302"/>
      <c r="AW302"/>
      <c r="AX302" t="inlineStr">
        <is>
          <t>Accumulation</t>
        </is>
      </c>
      <c r="AY302" t="inlineStr">
        <is>
          <t>Residue</t>
        </is>
      </c>
      <c r="AZ302" t="inlineStr">
        <is>
          <t>LOEL</t>
        </is>
      </c>
      <c r="BA302"/>
      <c r="BB302" t="n">
        <v>0.28</v>
      </c>
      <c r="BC302"/>
      <c r="BD302"/>
      <c r="BE302"/>
      <c r="BF302"/>
      <c r="BG302"/>
      <c r="BH302"/>
      <c r="BI302" t="inlineStr">
        <is>
          <t>mg/kg bdwt/d</t>
        </is>
      </c>
      <c r="BJ302" t="inlineStr">
        <is>
          <t>Yolk</t>
        </is>
      </c>
      <c r="BK302"/>
      <c r="BL302" t="n">
        <v>140.0</v>
      </c>
      <c r="BM302"/>
      <c r="BN302"/>
      <c r="BO302"/>
      <c r="BP302"/>
      <c r="BQ302" t="inlineStr">
        <is>
          <t>Day(s)</t>
        </is>
      </c>
      <c r="BR302" t="inlineStr">
        <is>
          <t>Bursian,S.J., J.E. Link, M. Mccarty, K. Harr, J. Roberts, and M.F. Simcik</t>
        </is>
      </c>
      <c r="BS302" t="n">
        <v>187171.0</v>
      </c>
      <c r="BT302" t="inlineStr">
        <is>
          <t>Dietary Exposure of Japanese Quail (Coturnix japonica) to Perfluorooctane Sulfonate (PFOS) and a Legacy Aqueous Film Forming Foam (AFFF) Containing PFOS: Effects on Reproduction and Chick Survivability and Growth</t>
        </is>
      </c>
      <c r="BU302" t="inlineStr">
        <is>
          <t>Environ. Toxicol. Chem.40(9): 2521-2537</t>
        </is>
      </c>
      <c r="BV302" t="n">
        <v>2021.0</v>
      </c>
      <c r="BW302"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3">
      <c r="A303" t="n">
        <v>2795393.0</v>
      </c>
      <c r="B303" t="inlineStr">
        <is>
          <t>1,1,2,2,3,3,4,4,5,5,6,6,7,7,8,8,8-Heptadecafluoro-1-octanesulfonic acid potassium salt</t>
        </is>
      </c>
      <c r="C303"/>
      <c r="D303" t="inlineStr">
        <is>
          <t>Measured</t>
        </is>
      </c>
      <c r="E303" t="inlineStr">
        <is>
          <t>&gt;=</t>
        </is>
      </c>
      <c r="F303" t="n">
        <v>98.0</v>
      </c>
      <c r="G303"/>
      <c r="H303"/>
      <c r="I303"/>
      <c r="J303"/>
      <c r="K303" t="inlineStr">
        <is>
          <t>Coturnix japonica</t>
        </is>
      </c>
      <c r="L303" t="inlineStr">
        <is>
          <t>Japanese Quail</t>
        </is>
      </c>
      <c r="M303" t="inlineStr">
        <is>
          <t>Birds; Standard Test Species</t>
        </is>
      </c>
      <c r="N303" t="inlineStr">
        <is>
          <t>Juvenile</t>
        </is>
      </c>
      <c r="O303"/>
      <c r="P303" t="n">
        <v>1.0</v>
      </c>
      <c r="Q303"/>
      <c r="R303"/>
      <c r="S303"/>
      <c r="T303"/>
      <c r="U303" t="inlineStr">
        <is>
          <t>Day(s)</t>
        </is>
      </c>
      <c r="V303" t="inlineStr">
        <is>
          <t>Food</t>
        </is>
      </c>
      <c r="W303" t="inlineStr">
        <is>
          <t>No substrate</t>
        </is>
      </c>
      <c r="X303" t="inlineStr">
        <is>
          <t>Lab</t>
        </is>
      </c>
      <c r="Y303" t="n">
        <v>6.0</v>
      </c>
      <c r="Z303" t="inlineStr">
        <is>
          <t>Active ingredient</t>
        </is>
      </c>
      <c r="AA303"/>
      <c r="AB303" t="n">
        <v>0.28</v>
      </c>
      <c r="AC303"/>
      <c r="AD303"/>
      <c r="AE303"/>
      <c r="AF303"/>
      <c r="AG303" t="inlineStr">
        <is>
          <t>mg/kg bdwt/d</t>
        </is>
      </c>
      <c r="AH303"/>
      <c r="AI303"/>
      <c r="AJ303"/>
      <c r="AK303"/>
      <c r="AL303"/>
      <c r="AM303"/>
      <c r="AN303"/>
      <c r="AO303"/>
      <c r="AP303"/>
      <c r="AQ303"/>
      <c r="AR303"/>
      <c r="AS303"/>
      <c r="AT303"/>
      <c r="AU303"/>
      <c r="AV303"/>
      <c r="AW303"/>
      <c r="AX303" t="inlineStr">
        <is>
          <t>Accumulation</t>
        </is>
      </c>
      <c r="AY303" t="inlineStr">
        <is>
          <t>Residue</t>
        </is>
      </c>
      <c r="AZ303" t="inlineStr">
        <is>
          <t>LOEL</t>
        </is>
      </c>
      <c r="BA303"/>
      <c r="BB303" t="n">
        <v>0.28</v>
      </c>
      <c r="BC303"/>
      <c r="BD303"/>
      <c r="BE303"/>
      <c r="BF303"/>
      <c r="BG303"/>
      <c r="BH303"/>
      <c r="BI303" t="inlineStr">
        <is>
          <t>mg/kg bdwt/d</t>
        </is>
      </c>
      <c r="BJ303" t="inlineStr">
        <is>
          <t>Serum</t>
        </is>
      </c>
      <c r="BK303"/>
      <c r="BL303" t="n">
        <v>14.0</v>
      </c>
      <c r="BM303"/>
      <c r="BN303"/>
      <c r="BO303"/>
      <c r="BP303"/>
      <c r="BQ303" t="inlineStr">
        <is>
          <t>Day(s) post-hatch</t>
        </is>
      </c>
      <c r="BR303" t="inlineStr">
        <is>
          <t>Bursian,S.J., J.E. Link, M. Mccarty, K. Harr, J. Roberts, and M.F. Simcik</t>
        </is>
      </c>
      <c r="BS303" t="n">
        <v>187171.0</v>
      </c>
      <c r="BT303" t="inlineStr">
        <is>
          <t>Dietary Exposure of Japanese Quail (Coturnix japonica) to Perfluorooctane Sulfonate (PFOS) and a Legacy Aqueous Film Forming Foam (AFFF) Containing PFOS: Effects on Reproduction and Chick Survivability and Growth</t>
        </is>
      </c>
      <c r="BU303" t="inlineStr">
        <is>
          <t>Environ. Toxicol. Chem.40(9): 2521-2537</t>
        </is>
      </c>
      <c r="BV303" t="n">
        <v>2021.0</v>
      </c>
      <c r="BW303"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4">
      <c r="A304" t="n">
        <v>2795393.0</v>
      </c>
      <c r="B304" t="inlineStr">
        <is>
          <t>1,1,2,2,3,3,4,4,5,5,6,6,7,7,8,8,8-Heptadecafluoro-1-octanesulfonic acid potassium salt</t>
        </is>
      </c>
      <c r="C304"/>
      <c r="D304" t="inlineStr">
        <is>
          <t>Measured</t>
        </is>
      </c>
      <c r="E304" t="inlineStr">
        <is>
          <t>&gt;=</t>
        </is>
      </c>
      <c r="F304" t="n">
        <v>98.0</v>
      </c>
      <c r="G304"/>
      <c r="H304"/>
      <c r="I304"/>
      <c r="J304"/>
      <c r="K304" t="inlineStr">
        <is>
          <t>Coturnix japonica</t>
        </is>
      </c>
      <c r="L304" t="inlineStr">
        <is>
          <t>Japanese Quail</t>
        </is>
      </c>
      <c r="M304" t="inlineStr">
        <is>
          <t>Birds; Standard Test Species</t>
        </is>
      </c>
      <c r="N304" t="inlineStr">
        <is>
          <t>Juvenile</t>
        </is>
      </c>
      <c r="O304"/>
      <c r="P304" t="n">
        <v>1.0</v>
      </c>
      <c r="Q304"/>
      <c r="R304"/>
      <c r="S304"/>
      <c r="T304"/>
      <c r="U304" t="inlineStr">
        <is>
          <t>Day(s)</t>
        </is>
      </c>
      <c r="V304" t="inlineStr">
        <is>
          <t>Food</t>
        </is>
      </c>
      <c r="W304" t="inlineStr">
        <is>
          <t>No substrate</t>
        </is>
      </c>
      <c r="X304" t="inlineStr">
        <is>
          <t>Lab</t>
        </is>
      </c>
      <c r="Y304" t="n">
        <v>6.0</v>
      </c>
      <c r="Z304" t="inlineStr">
        <is>
          <t>Active ingredient</t>
        </is>
      </c>
      <c r="AA304"/>
      <c r="AB304" t="n">
        <v>0.28</v>
      </c>
      <c r="AC304"/>
      <c r="AD304"/>
      <c r="AE304"/>
      <c r="AF304"/>
      <c r="AG304" t="inlineStr">
        <is>
          <t>mg/kg bdwt/d</t>
        </is>
      </c>
      <c r="AH304"/>
      <c r="AI304"/>
      <c r="AJ304"/>
      <c r="AK304"/>
      <c r="AL304"/>
      <c r="AM304"/>
      <c r="AN304"/>
      <c r="AO304"/>
      <c r="AP304"/>
      <c r="AQ304"/>
      <c r="AR304"/>
      <c r="AS304"/>
      <c r="AT304"/>
      <c r="AU304"/>
      <c r="AV304"/>
      <c r="AW304"/>
      <c r="AX304" t="inlineStr">
        <is>
          <t>Accumulation</t>
        </is>
      </c>
      <c r="AY304" t="inlineStr">
        <is>
          <t>Residue</t>
        </is>
      </c>
      <c r="AZ304" t="inlineStr">
        <is>
          <t>LOEL</t>
        </is>
      </c>
      <c r="BA304"/>
      <c r="BB304" t="n">
        <v>0.28</v>
      </c>
      <c r="BC304"/>
      <c r="BD304"/>
      <c r="BE304"/>
      <c r="BF304"/>
      <c r="BG304"/>
      <c r="BH304"/>
      <c r="BI304" t="inlineStr">
        <is>
          <t>mg/kg bdwt/d</t>
        </is>
      </c>
      <c r="BJ304" t="inlineStr">
        <is>
          <t>Liver</t>
        </is>
      </c>
      <c r="BK304"/>
      <c r="BL304" t="n">
        <v>14.0</v>
      </c>
      <c r="BM304"/>
      <c r="BN304"/>
      <c r="BO304"/>
      <c r="BP304"/>
      <c r="BQ304" t="inlineStr">
        <is>
          <t>Day(s) post-hatch</t>
        </is>
      </c>
      <c r="BR304" t="inlineStr">
        <is>
          <t>Bursian,S.J., J.E. Link, M. Mccarty, K. Harr, J. Roberts, and M.F. Simcik</t>
        </is>
      </c>
      <c r="BS304" t="n">
        <v>187171.0</v>
      </c>
      <c r="BT304" t="inlineStr">
        <is>
          <t>Dietary Exposure of Japanese Quail (Coturnix japonica) to Perfluorooctane Sulfonate (PFOS) and a Legacy Aqueous Film Forming Foam (AFFF) Containing PFOS: Effects on Reproduction and Chick Survivability and Growth</t>
        </is>
      </c>
      <c r="BU304" t="inlineStr">
        <is>
          <t>Environ. Toxicol. Chem.40(9): 2521-2537</t>
        </is>
      </c>
      <c r="BV304" t="n">
        <v>2021.0</v>
      </c>
      <c r="BW304"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5">
      <c r="A305" t="n">
        <v>2795393.0</v>
      </c>
      <c r="B305" t="inlineStr">
        <is>
          <t>1,1,2,2,3,3,4,4,5,5,6,6,7,7,8,8,8-Heptadecafluoro-1-octanesulfonic acid potassium salt</t>
        </is>
      </c>
      <c r="C305"/>
      <c r="D305" t="inlineStr">
        <is>
          <t>Measured</t>
        </is>
      </c>
      <c r="E305" t="inlineStr">
        <is>
          <t>&gt;=</t>
        </is>
      </c>
      <c r="F305" t="n">
        <v>98.0</v>
      </c>
      <c r="G305"/>
      <c r="H305"/>
      <c r="I305"/>
      <c r="J305"/>
      <c r="K305" t="inlineStr">
        <is>
          <t>Coturnix japonica</t>
        </is>
      </c>
      <c r="L305" t="inlineStr">
        <is>
          <t>Japanese Quail</t>
        </is>
      </c>
      <c r="M305" t="inlineStr">
        <is>
          <t>Birds; Standard Test Species</t>
        </is>
      </c>
      <c r="N305" t="inlineStr">
        <is>
          <t>Juvenile</t>
        </is>
      </c>
      <c r="O305"/>
      <c r="P305" t="n">
        <v>1.0</v>
      </c>
      <c r="Q305"/>
      <c r="R305"/>
      <c r="S305"/>
      <c r="T305"/>
      <c r="U305" t="inlineStr">
        <is>
          <t>Day(s)</t>
        </is>
      </c>
      <c r="V305" t="inlineStr">
        <is>
          <t>Food</t>
        </is>
      </c>
      <c r="W305" t="inlineStr">
        <is>
          <t>No substrate</t>
        </is>
      </c>
      <c r="X305" t="inlineStr">
        <is>
          <t>Lab</t>
        </is>
      </c>
      <c r="Y305" t="n">
        <v>6.0</v>
      </c>
      <c r="Z305" t="inlineStr">
        <is>
          <t>Active ingredient</t>
        </is>
      </c>
      <c r="AA305"/>
      <c r="AB305" t="n">
        <v>0.28</v>
      </c>
      <c r="AC305"/>
      <c r="AD305"/>
      <c r="AE305"/>
      <c r="AF305"/>
      <c r="AG305" t="inlineStr">
        <is>
          <t>mg/kg bdwt/d</t>
        </is>
      </c>
      <c r="AH305"/>
      <c r="AI305"/>
      <c r="AJ305"/>
      <c r="AK305"/>
      <c r="AL305"/>
      <c r="AM305"/>
      <c r="AN305"/>
      <c r="AO305"/>
      <c r="AP305"/>
      <c r="AQ305"/>
      <c r="AR305"/>
      <c r="AS305"/>
      <c r="AT305"/>
      <c r="AU305"/>
      <c r="AV305"/>
      <c r="AW305"/>
      <c r="AX305" t="inlineStr">
        <is>
          <t>Accumulation</t>
        </is>
      </c>
      <c r="AY305" t="inlineStr">
        <is>
          <t>Residue</t>
        </is>
      </c>
      <c r="AZ305" t="inlineStr">
        <is>
          <t>LOEL</t>
        </is>
      </c>
      <c r="BA305"/>
      <c r="BB305" t="n">
        <v>0.28</v>
      </c>
      <c r="BC305"/>
      <c r="BD305"/>
      <c r="BE305"/>
      <c r="BF305"/>
      <c r="BG305"/>
      <c r="BH305"/>
      <c r="BI305" t="inlineStr">
        <is>
          <t>mg/kg bdwt/d</t>
        </is>
      </c>
      <c r="BJ305" t="inlineStr">
        <is>
          <t>Liver</t>
        </is>
      </c>
      <c r="BK305"/>
      <c r="BL305" t="n">
        <v>140.0</v>
      </c>
      <c r="BM305"/>
      <c r="BN305"/>
      <c r="BO305"/>
      <c r="BP305"/>
      <c r="BQ305" t="inlineStr">
        <is>
          <t>Day(s)</t>
        </is>
      </c>
      <c r="BR305" t="inlineStr">
        <is>
          <t>Bursian,S.J., J.E. Link, M. Mccarty, K. Harr, J. Roberts, and M.F. Simcik</t>
        </is>
      </c>
      <c r="BS305" t="n">
        <v>187171.0</v>
      </c>
      <c r="BT305" t="inlineStr">
        <is>
          <t>Dietary Exposure of Japanese Quail (Coturnix japonica) to Perfluorooctane Sulfonate (PFOS) and a Legacy Aqueous Film Forming Foam (AFFF) Containing PFOS: Effects on Reproduction and Chick Survivability and Growth</t>
        </is>
      </c>
      <c r="BU305" t="inlineStr">
        <is>
          <t>Environ. Toxicol. Chem.40(9): 2521-2537</t>
        </is>
      </c>
      <c r="BV305" t="n">
        <v>2021.0</v>
      </c>
      <c r="BW305"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6">
      <c r="A306" t="n">
        <v>2795393.0</v>
      </c>
      <c r="B306" t="inlineStr">
        <is>
          <t>1,1,2,2,3,3,4,4,5,5,6,6,7,7,8,8,8-Heptadecafluoro-1-octanesulfonic acid potassium salt</t>
        </is>
      </c>
      <c r="C306"/>
      <c r="D306" t="inlineStr">
        <is>
          <t>Measured</t>
        </is>
      </c>
      <c r="E306" t="inlineStr">
        <is>
          <t>&gt;=</t>
        </is>
      </c>
      <c r="F306" t="n">
        <v>98.0</v>
      </c>
      <c r="G306"/>
      <c r="H306"/>
      <c r="I306"/>
      <c r="J306"/>
      <c r="K306" t="inlineStr">
        <is>
          <t>Coturnix japonica</t>
        </is>
      </c>
      <c r="L306" t="inlineStr">
        <is>
          <t>Japanese Quail</t>
        </is>
      </c>
      <c r="M306" t="inlineStr">
        <is>
          <t>Birds; Standard Test Species</t>
        </is>
      </c>
      <c r="N306" t="inlineStr">
        <is>
          <t>Juvenile</t>
        </is>
      </c>
      <c r="O306"/>
      <c r="P306" t="n">
        <v>1.0</v>
      </c>
      <c r="Q306"/>
      <c r="R306"/>
      <c r="S306"/>
      <c r="T306"/>
      <c r="U306" t="inlineStr">
        <is>
          <t>Day(s)</t>
        </is>
      </c>
      <c r="V306" t="inlineStr">
        <is>
          <t>Food</t>
        </is>
      </c>
      <c r="W306" t="inlineStr">
        <is>
          <t>No substrate</t>
        </is>
      </c>
      <c r="X306" t="inlineStr">
        <is>
          <t>Lab</t>
        </is>
      </c>
      <c r="Y306" t="n">
        <v>6.0</v>
      </c>
      <c r="Z306" t="inlineStr">
        <is>
          <t>Active ingredient</t>
        </is>
      </c>
      <c r="AA306"/>
      <c r="AB306" t="n">
        <v>0.28</v>
      </c>
      <c r="AC306"/>
      <c r="AD306"/>
      <c r="AE306"/>
      <c r="AF306"/>
      <c r="AG306" t="inlineStr">
        <is>
          <t>mg/kg bdwt/d</t>
        </is>
      </c>
      <c r="AH306"/>
      <c r="AI306"/>
      <c r="AJ306"/>
      <c r="AK306"/>
      <c r="AL306"/>
      <c r="AM306"/>
      <c r="AN306"/>
      <c r="AO306"/>
      <c r="AP306"/>
      <c r="AQ306"/>
      <c r="AR306"/>
      <c r="AS306"/>
      <c r="AT306"/>
      <c r="AU306"/>
      <c r="AV306"/>
      <c r="AW306"/>
      <c r="AX306" t="inlineStr">
        <is>
          <t>Accumulation</t>
        </is>
      </c>
      <c r="AY306" t="inlineStr">
        <is>
          <t>Residue</t>
        </is>
      </c>
      <c r="AZ306" t="inlineStr">
        <is>
          <t>LOEL</t>
        </is>
      </c>
      <c r="BA306"/>
      <c r="BB306" t="n">
        <v>0.28</v>
      </c>
      <c r="BC306"/>
      <c r="BD306"/>
      <c r="BE306"/>
      <c r="BF306"/>
      <c r="BG306"/>
      <c r="BH306"/>
      <c r="BI306" t="inlineStr">
        <is>
          <t>mg/kg bdwt/d</t>
        </is>
      </c>
      <c r="BJ306" t="inlineStr">
        <is>
          <t>Serum</t>
        </is>
      </c>
      <c r="BK306"/>
      <c r="BL306" t="n">
        <v>140.0</v>
      </c>
      <c r="BM306"/>
      <c r="BN306"/>
      <c r="BO306"/>
      <c r="BP306"/>
      <c r="BQ306" t="inlineStr">
        <is>
          <t>Day(s)</t>
        </is>
      </c>
      <c r="BR306" t="inlineStr">
        <is>
          <t>Bursian,S.J., J.E. Link, M. Mccarty, K. Harr, J. Roberts, and M.F. Simcik</t>
        </is>
      </c>
      <c r="BS306" t="n">
        <v>187171.0</v>
      </c>
      <c r="BT306" t="inlineStr">
        <is>
          <t>Dietary Exposure of Japanese Quail (Coturnix japonica) to Perfluorooctane Sulfonate (PFOS) and a Legacy Aqueous Film Forming Foam (AFFF) Containing PFOS: Effects on Reproduction and Chick Survivability and Growth</t>
        </is>
      </c>
      <c r="BU306" t="inlineStr">
        <is>
          <t>Environ. Toxicol. Chem.40(9): 2521-2537</t>
        </is>
      </c>
      <c r="BV306" t="n">
        <v>2021.0</v>
      </c>
      <c r="BW306"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7">
      <c r="A307" t="n">
        <v>2795393.0</v>
      </c>
      <c r="B307" t="inlineStr">
        <is>
          <t>1,1,2,2,3,3,4,4,5,5,6,6,7,7,8,8,8-Heptadecafluoro-1-octanesulfonic acid potassium salt</t>
        </is>
      </c>
      <c r="C307"/>
      <c r="D307" t="inlineStr">
        <is>
          <t>Measured</t>
        </is>
      </c>
      <c r="E307" t="inlineStr">
        <is>
          <t>&gt;=</t>
        </is>
      </c>
      <c r="F307" t="n">
        <v>98.0</v>
      </c>
      <c r="G307"/>
      <c r="H307"/>
      <c r="I307"/>
      <c r="J307"/>
      <c r="K307" t="inlineStr">
        <is>
          <t>Coturnix japonica</t>
        </is>
      </c>
      <c r="L307" t="inlineStr">
        <is>
          <t>Japanese Quail</t>
        </is>
      </c>
      <c r="M307" t="inlineStr">
        <is>
          <t>Birds; Standard Test Species</t>
        </is>
      </c>
      <c r="N307" t="inlineStr">
        <is>
          <t>Juvenile</t>
        </is>
      </c>
      <c r="O307"/>
      <c r="P307" t="n">
        <v>1.0</v>
      </c>
      <c r="Q307"/>
      <c r="R307"/>
      <c r="S307"/>
      <c r="T307"/>
      <c r="U307" t="inlineStr">
        <is>
          <t>Day(s)</t>
        </is>
      </c>
      <c r="V307" t="inlineStr">
        <is>
          <t>Food</t>
        </is>
      </c>
      <c r="W307" t="inlineStr">
        <is>
          <t>No substrate</t>
        </is>
      </c>
      <c r="X307" t="inlineStr">
        <is>
          <t>Lab</t>
        </is>
      </c>
      <c r="Y307" t="n">
        <v>6.0</v>
      </c>
      <c r="Z307" t="inlineStr">
        <is>
          <t>Active ingredient</t>
        </is>
      </c>
      <c r="AA307"/>
      <c r="AB307" t="n">
        <v>0.28</v>
      </c>
      <c r="AC307"/>
      <c r="AD307"/>
      <c r="AE307"/>
      <c r="AF307"/>
      <c r="AG307" t="inlineStr">
        <is>
          <t>mg/kg bdwt/d</t>
        </is>
      </c>
      <c r="AH307"/>
      <c r="AI307"/>
      <c r="AJ307"/>
      <c r="AK307"/>
      <c r="AL307"/>
      <c r="AM307"/>
      <c r="AN307"/>
      <c r="AO307"/>
      <c r="AP307"/>
      <c r="AQ307"/>
      <c r="AR307"/>
      <c r="AS307"/>
      <c r="AT307"/>
      <c r="AU307"/>
      <c r="AV307"/>
      <c r="AW307"/>
      <c r="AX307" t="inlineStr">
        <is>
          <t>Accumulation</t>
        </is>
      </c>
      <c r="AY307" t="inlineStr">
        <is>
          <t>Residue</t>
        </is>
      </c>
      <c r="AZ307" t="inlineStr">
        <is>
          <t>LOEL</t>
        </is>
      </c>
      <c r="BA307"/>
      <c r="BB307" t="n">
        <v>0.28</v>
      </c>
      <c r="BC307"/>
      <c r="BD307"/>
      <c r="BE307"/>
      <c r="BF307"/>
      <c r="BG307"/>
      <c r="BH307"/>
      <c r="BI307" t="inlineStr">
        <is>
          <t>mg/kg bdwt/d</t>
        </is>
      </c>
      <c r="BJ307" t="inlineStr">
        <is>
          <t>Liver</t>
        </is>
      </c>
      <c r="BK307"/>
      <c r="BL307" t="n">
        <v>140.0</v>
      </c>
      <c r="BM307"/>
      <c r="BN307"/>
      <c r="BO307"/>
      <c r="BP307"/>
      <c r="BQ307" t="inlineStr">
        <is>
          <t>Day(s)</t>
        </is>
      </c>
      <c r="BR307" t="inlineStr">
        <is>
          <t>Bursian,S.J., J.E. Link, M. Mccarty, K. Harr, J. Roberts, and M.F. Simcik</t>
        </is>
      </c>
      <c r="BS307" t="n">
        <v>187171.0</v>
      </c>
      <c r="BT307" t="inlineStr">
        <is>
          <t>Dietary Exposure of Japanese Quail (Coturnix japonica) to Perfluorooctane Sulfonate (PFOS) and a Legacy Aqueous Film Forming Foam (AFFF) Containing PFOS: Effects on Reproduction and Chick Survivability and Growth</t>
        </is>
      </c>
      <c r="BU307" t="inlineStr">
        <is>
          <t>Environ. Toxicol. Chem.40(9): 2521-2537</t>
        </is>
      </c>
      <c r="BV307" t="n">
        <v>2021.0</v>
      </c>
      <c r="BW307"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row>
    <row r="308">
      <c r="A308" t="n">
        <v>2795393.0</v>
      </c>
      <c r="B308" t="inlineStr">
        <is>
          <t>1,1,2,2,3,3,4,4,5,5,6,6,7,7,8,8,8-Heptadecafluoro-1-octanesulfonic acid potassium salt</t>
        </is>
      </c>
      <c r="C308"/>
      <c r="D308" t="inlineStr">
        <is>
          <t>Measured</t>
        </is>
      </c>
      <c r="E308" t="inlineStr">
        <is>
          <t>&gt;=</t>
        </is>
      </c>
      <c r="F308" t="n">
        <v>98.0</v>
      </c>
      <c r="G308"/>
      <c r="H308"/>
      <c r="I308"/>
      <c r="J308"/>
      <c r="K308" t="inlineStr">
        <is>
          <t>Coturnix japonica</t>
        </is>
      </c>
      <c r="L308" t="inlineStr">
        <is>
          <t>Japanese Quail</t>
        </is>
      </c>
      <c r="M308" t="inlineStr">
        <is>
          <t>Birds; Standard Test Species</t>
        </is>
      </c>
      <c r="N308" t="inlineStr">
        <is>
          <t>Juvenile</t>
        </is>
      </c>
      <c r="O308"/>
      <c r="P308" t="n">
        <v>10.0</v>
      </c>
      <c r="Q308"/>
      <c r="R308"/>
      <c r="S308"/>
      <c r="T308"/>
      <c r="U308" t="inlineStr">
        <is>
          <t>Day(s)</t>
        </is>
      </c>
      <c r="V308" t="inlineStr">
        <is>
          <t>Food</t>
        </is>
      </c>
      <c r="W308" t="inlineStr">
        <is>
          <t>No substrate</t>
        </is>
      </c>
      <c r="X308" t="inlineStr">
        <is>
          <t>Lab</t>
        </is>
      </c>
      <c r="Y308" t="n">
        <v>9.0</v>
      </c>
      <c r="Z308" t="inlineStr">
        <is>
          <t>Active ingredient</t>
        </is>
      </c>
      <c r="AA308"/>
      <c r="AB308" t="n">
        <v>62.0</v>
      </c>
      <c r="AC308"/>
      <c r="AD308"/>
      <c r="AE308"/>
      <c r="AF308"/>
      <c r="AG308" t="inlineStr">
        <is>
          <t>mg/kg diet</t>
        </is>
      </c>
      <c r="AH308"/>
      <c r="AI308"/>
      <c r="AJ308"/>
      <c r="AK308"/>
      <c r="AL308"/>
      <c r="AM308"/>
      <c r="AN308"/>
      <c r="AO308"/>
      <c r="AP308"/>
      <c r="AQ308"/>
      <c r="AR308"/>
      <c r="AS308"/>
      <c r="AT308"/>
      <c r="AU308"/>
      <c r="AV308"/>
      <c r="AW308"/>
      <c r="AX308" t="inlineStr">
        <is>
          <t>Accumulation</t>
        </is>
      </c>
      <c r="AY308" t="inlineStr">
        <is>
          <t>Residue</t>
        </is>
      </c>
      <c r="AZ308" t="inlineStr">
        <is>
          <t>LOEL</t>
        </is>
      </c>
      <c r="BA308"/>
      <c r="BB308" t="n">
        <v>62.0</v>
      </c>
      <c r="BC308"/>
      <c r="BD308"/>
      <c r="BE308"/>
      <c r="BF308"/>
      <c r="BG308"/>
      <c r="BH308"/>
      <c r="BI308" t="inlineStr">
        <is>
          <t>mg/kg diet</t>
        </is>
      </c>
      <c r="BJ308" t="inlineStr">
        <is>
          <t>Liver</t>
        </is>
      </c>
      <c r="BK308"/>
      <c r="BL308" t="n">
        <v>23.0</v>
      </c>
      <c r="BM308"/>
      <c r="BN308"/>
      <c r="BO308"/>
      <c r="BP308"/>
      <c r="BQ308" t="inlineStr">
        <is>
          <t>Day(s)</t>
        </is>
      </c>
      <c r="BR308" t="inlineStr">
        <is>
          <t>Bursian,S.J., J.E. Link, M. McCarty, and M.F. Simcik</t>
        </is>
      </c>
      <c r="BS308" t="n">
        <v>182175.0</v>
      </c>
      <c r="BT308" t="inlineStr">
        <is>
          <t>The Subacute Toxicity of Perfluorooctane Sulfonate and/or Perfluorooctanoic Acid and Legacy Aqueous Film-Forming Foams to Japanese Quail (Coturnix japonica) Chicks</t>
        </is>
      </c>
      <c r="BU308" t="inlineStr">
        <is>
          <t>Environ. Toxicol. Chem.40(3): 695-710</t>
        </is>
      </c>
      <c r="BV308" t="n">
        <v>2021.0</v>
      </c>
      <c r="BW308"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309">
      <c r="A309" t="n">
        <v>2795393.0</v>
      </c>
      <c r="B309" t="inlineStr">
        <is>
          <t>1,1,2,2,3,3,4,4,5,5,6,6,7,7,8,8,8-Heptadecafluoro-1-octanesulfonic acid potassium salt</t>
        </is>
      </c>
      <c r="C309"/>
      <c r="D309" t="inlineStr">
        <is>
          <t>Measured</t>
        </is>
      </c>
      <c r="E309" t="inlineStr">
        <is>
          <t>&gt;=</t>
        </is>
      </c>
      <c r="F309" t="n">
        <v>98.0</v>
      </c>
      <c r="G309"/>
      <c r="H309"/>
      <c r="I309"/>
      <c r="J309"/>
      <c r="K309" t="inlineStr">
        <is>
          <t>Coturnix japonica</t>
        </is>
      </c>
      <c r="L309" t="inlineStr">
        <is>
          <t>Japanese Quail</t>
        </is>
      </c>
      <c r="M309" t="inlineStr">
        <is>
          <t>Birds; Standard Test Species</t>
        </is>
      </c>
      <c r="N309" t="inlineStr">
        <is>
          <t>Juvenile</t>
        </is>
      </c>
      <c r="O309"/>
      <c r="P309" t="n">
        <v>10.0</v>
      </c>
      <c r="Q309"/>
      <c r="R309"/>
      <c r="S309"/>
      <c r="T309"/>
      <c r="U309" t="inlineStr">
        <is>
          <t>Day(s)</t>
        </is>
      </c>
      <c r="V309" t="inlineStr">
        <is>
          <t>Food</t>
        </is>
      </c>
      <c r="W309" t="inlineStr">
        <is>
          <t>No substrate</t>
        </is>
      </c>
      <c r="X309" t="inlineStr">
        <is>
          <t>Lab</t>
        </is>
      </c>
      <c r="Y309" t="n">
        <v>9.0</v>
      </c>
      <c r="Z309" t="inlineStr">
        <is>
          <t>Active ingredient</t>
        </is>
      </c>
      <c r="AA309"/>
      <c r="AB309" t="n">
        <v>62.0</v>
      </c>
      <c r="AC309"/>
      <c r="AD309"/>
      <c r="AE309"/>
      <c r="AF309"/>
      <c r="AG309" t="inlineStr">
        <is>
          <t>mg/kg diet</t>
        </is>
      </c>
      <c r="AH309"/>
      <c r="AI309"/>
      <c r="AJ309"/>
      <c r="AK309"/>
      <c r="AL309"/>
      <c r="AM309"/>
      <c r="AN309"/>
      <c r="AO309"/>
      <c r="AP309"/>
      <c r="AQ309"/>
      <c r="AR309"/>
      <c r="AS309"/>
      <c r="AT309"/>
      <c r="AU309"/>
      <c r="AV309"/>
      <c r="AW309"/>
      <c r="AX309" t="inlineStr">
        <is>
          <t>Accumulation</t>
        </is>
      </c>
      <c r="AY309" t="inlineStr">
        <is>
          <t>Residue</t>
        </is>
      </c>
      <c r="AZ309" t="inlineStr">
        <is>
          <t>LOEL</t>
        </is>
      </c>
      <c r="BA309"/>
      <c r="BB309" t="n">
        <v>62.0</v>
      </c>
      <c r="BC309"/>
      <c r="BD309"/>
      <c r="BE309"/>
      <c r="BF309"/>
      <c r="BG309"/>
      <c r="BH309"/>
      <c r="BI309" t="inlineStr">
        <is>
          <t>mg/kg diet</t>
        </is>
      </c>
      <c r="BJ309" t="inlineStr">
        <is>
          <t>Serum</t>
        </is>
      </c>
      <c r="BK309"/>
      <c r="BL309" t="n">
        <v>8.0</v>
      </c>
      <c r="BM309"/>
      <c r="BN309"/>
      <c r="BO309"/>
      <c r="BP309"/>
      <c r="BQ309" t="inlineStr">
        <is>
          <t>Day(s)</t>
        </is>
      </c>
      <c r="BR309" t="inlineStr">
        <is>
          <t>Bursian,S.J., J.E. Link, M. McCarty, and M.F. Simcik</t>
        </is>
      </c>
      <c r="BS309" t="n">
        <v>182175.0</v>
      </c>
      <c r="BT309" t="inlineStr">
        <is>
          <t>The Subacute Toxicity of Perfluorooctane Sulfonate and/or Perfluorooctanoic Acid and Legacy Aqueous Film-Forming Foams to Japanese Quail (Coturnix japonica) Chicks</t>
        </is>
      </c>
      <c r="BU309" t="inlineStr">
        <is>
          <t>Environ. Toxicol. Chem.40(3): 695-710</t>
        </is>
      </c>
      <c r="BV309" t="n">
        <v>2021.0</v>
      </c>
      <c r="BW309"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310">
      <c r="A310" t="n">
        <v>2795393.0</v>
      </c>
      <c r="B310" t="inlineStr">
        <is>
          <t>1,1,2,2,3,3,4,4,5,5,6,6,7,7,8,8,8-Heptadecafluoro-1-octanesulfonic acid potassium salt</t>
        </is>
      </c>
      <c r="C310"/>
      <c r="D310" t="inlineStr">
        <is>
          <t>Measured</t>
        </is>
      </c>
      <c r="E310" t="inlineStr">
        <is>
          <t>&gt;=</t>
        </is>
      </c>
      <c r="F310" t="n">
        <v>98.0</v>
      </c>
      <c r="G310"/>
      <c r="H310"/>
      <c r="I310"/>
      <c r="J310"/>
      <c r="K310" t="inlineStr">
        <is>
          <t>Coturnix japonica</t>
        </is>
      </c>
      <c r="L310" t="inlineStr">
        <is>
          <t>Japanese Quail</t>
        </is>
      </c>
      <c r="M310" t="inlineStr">
        <is>
          <t>Birds; Standard Test Species</t>
        </is>
      </c>
      <c r="N310" t="inlineStr">
        <is>
          <t>Juvenile</t>
        </is>
      </c>
      <c r="O310"/>
      <c r="P310" t="n">
        <v>10.0</v>
      </c>
      <c r="Q310"/>
      <c r="R310"/>
      <c r="S310"/>
      <c r="T310"/>
      <c r="U310" t="inlineStr">
        <is>
          <t>Day(s)</t>
        </is>
      </c>
      <c r="V310" t="inlineStr">
        <is>
          <t>Food</t>
        </is>
      </c>
      <c r="W310" t="inlineStr">
        <is>
          <t>No substrate</t>
        </is>
      </c>
      <c r="X310" t="inlineStr">
        <is>
          <t>Lab</t>
        </is>
      </c>
      <c r="Y310" t="n">
        <v>9.0</v>
      </c>
      <c r="Z310" t="inlineStr">
        <is>
          <t>Active ingredient</t>
        </is>
      </c>
      <c r="AA310"/>
      <c r="AB310" t="n">
        <v>62.0</v>
      </c>
      <c r="AC310"/>
      <c r="AD310"/>
      <c r="AE310"/>
      <c r="AF310"/>
      <c r="AG310" t="inlineStr">
        <is>
          <t>mg/kg diet</t>
        </is>
      </c>
      <c r="AH310"/>
      <c r="AI310"/>
      <c r="AJ310"/>
      <c r="AK310"/>
      <c r="AL310"/>
      <c r="AM310"/>
      <c r="AN310"/>
      <c r="AO310"/>
      <c r="AP310"/>
      <c r="AQ310"/>
      <c r="AR310"/>
      <c r="AS310"/>
      <c r="AT310"/>
      <c r="AU310"/>
      <c r="AV310"/>
      <c r="AW310"/>
      <c r="AX310" t="inlineStr">
        <is>
          <t>Accumulation</t>
        </is>
      </c>
      <c r="AY310" t="inlineStr">
        <is>
          <t>Residue</t>
        </is>
      </c>
      <c r="AZ310" t="inlineStr">
        <is>
          <t>LOEL</t>
        </is>
      </c>
      <c r="BA310"/>
      <c r="BB310" t="n">
        <v>62.0</v>
      </c>
      <c r="BC310"/>
      <c r="BD310"/>
      <c r="BE310"/>
      <c r="BF310"/>
      <c r="BG310"/>
      <c r="BH310"/>
      <c r="BI310" t="inlineStr">
        <is>
          <t>mg/kg diet</t>
        </is>
      </c>
      <c r="BJ310" t="inlineStr">
        <is>
          <t>Serum</t>
        </is>
      </c>
      <c r="BK310"/>
      <c r="BL310" t="n">
        <v>23.0</v>
      </c>
      <c r="BM310"/>
      <c r="BN310"/>
      <c r="BO310"/>
      <c r="BP310"/>
      <c r="BQ310" t="inlineStr">
        <is>
          <t>Day(s)</t>
        </is>
      </c>
      <c r="BR310" t="inlineStr">
        <is>
          <t>Bursian,S.J., J.E. Link, M. McCarty, and M.F. Simcik</t>
        </is>
      </c>
      <c r="BS310" t="n">
        <v>182175.0</v>
      </c>
      <c r="BT310" t="inlineStr">
        <is>
          <t>The Subacute Toxicity of Perfluorooctane Sulfonate and/or Perfluorooctanoic Acid and Legacy Aqueous Film-Forming Foams to Japanese Quail (Coturnix japonica) Chicks</t>
        </is>
      </c>
      <c r="BU310" t="inlineStr">
        <is>
          <t>Environ. Toxicol. Chem.40(3): 695-710</t>
        </is>
      </c>
      <c r="BV310" t="n">
        <v>2021.0</v>
      </c>
      <c r="BW310"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311">
      <c r="A311" t="n">
        <v>2795393.0</v>
      </c>
      <c r="B311" t="inlineStr">
        <is>
          <t>1,1,2,2,3,3,4,4,5,5,6,6,7,7,8,8,8-Heptadecafluoro-1-octanesulfonic acid potassium salt</t>
        </is>
      </c>
      <c r="C311"/>
      <c r="D311" t="inlineStr">
        <is>
          <t>Measured</t>
        </is>
      </c>
      <c r="E311" t="inlineStr">
        <is>
          <t>&gt;=</t>
        </is>
      </c>
      <c r="F311" t="n">
        <v>98.0</v>
      </c>
      <c r="G311"/>
      <c r="H311"/>
      <c r="I311"/>
      <c r="J311"/>
      <c r="K311" t="inlineStr">
        <is>
          <t>Coturnix japonica</t>
        </is>
      </c>
      <c r="L311" t="inlineStr">
        <is>
          <t>Japanese Quail</t>
        </is>
      </c>
      <c r="M311" t="inlineStr">
        <is>
          <t>Birds; Standard Test Species</t>
        </is>
      </c>
      <c r="N311" t="inlineStr">
        <is>
          <t>Juvenile</t>
        </is>
      </c>
      <c r="O311"/>
      <c r="P311" t="n">
        <v>10.0</v>
      </c>
      <c r="Q311"/>
      <c r="R311"/>
      <c r="S311"/>
      <c r="T311"/>
      <c r="U311" t="inlineStr">
        <is>
          <t>Day(s)</t>
        </is>
      </c>
      <c r="V311" t="inlineStr">
        <is>
          <t>Food</t>
        </is>
      </c>
      <c r="W311" t="inlineStr">
        <is>
          <t>No substrate</t>
        </is>
      </c>
      <c r="X311" t="inlineStr">
        <is>
          <t>Lab</t>
        </is>
      </c>
      <c r="Y311" t="n">
        <v>9.0</v>
      </c>
      <c r="Z311" t="inlineStr">
        <is>
          <t>Active ingredient</t>
        </is>
      </c>
      <c r="AA311"/>
      <c r="AB311" t="n">
        <v>62.0</v>
      </c>
      <c r="AC311"/>
      <c r="AD311"/>
      <c r="AE311"/>
      <c r="AF311"/>
      <c r="AG311" t="inlineStr">
        <is>
          <t>mg/kg diet</t>
        </is>
      </c>
      <c r="AH311"/>
      <c r="AI311"/>
      <c r="AJ311"/>
      <c r="AK311"/>
      <c r="AL311"/>
      <c r="AM311"/>
      <c r="AN311"/>
      <c r="AO311"/>
      <c r="AP311"/>
      <c r="AQ311"/>
      <c r="AR311"/>
      <c r="AS311"/>
      <c r="AT311"/>
      <c r="AU311"/>
      <c r="AV311"/>
      <c r="AW311"/>
      <c r="AX311" t="inlineStr">
        <is>
          <t>Accumulation</t>
        </is>
      </c>
      <c r="AY311" t="inlineStr">
        <is>
          <t>Residue</t>
        </is>
      </c>
      <c r="AZ311" t="inlineStr">
        <is>
          <t>LOEL</t>
        </is>
      </c>
      <c r="BA311"/>
      <c r="BB311" t="n">
        <v>62.0</v>
      </c>
      <c r="BC311"/>
      <c r="BD311"/>
      <c r="BE311"/>
      <c r="BF311"/>
      <c r="BG311"/>
      <c r="BH311"/>
      <c r="BI311" t="inlineStr">
        <is>
          <t>mg/kg diet</t>
        </is>
      </c>
      <c r="BJ311" t="inlineStr">
        <is>
          <t>Liver</t>
        </is>
      </c>
      <c r="BK311"/>
      <c r="BL311" t="n">
        <v>8.0</v>
      </c>
      <c r="BM311"/>
      <c r="BN311"/>
      <c r="BO311"/>
      <c r="BP311"/>
      <c r="BQ311" t="inlineStr">
        <is>
          <t>Day(s)</t>
        </is>
      </c>
      <c r="BR311" t="inlineStr">
        <is>
          <t>Bursian,S.J., J.E. Link, M. McCarty, and M.F. Simcik</t>
        </is>
      </c>
      <c r="BS311" t="n">
        <v>182175.0</v>
      </c>
      <c r="BT311" t="inlineStr">
        <is>
          <t>The Subacute Toxicity of Perfluorooctane Sulfonate and/or Perfluorooctanoic Acid and Legacy Aqueous Film-Forming Foams to Japanese Quail (Coturnix japonica) Chicks</t>
        </is>
      </c>
      <c r="BU311" t="inlineStr">
        <is>
          <t>Environ. Toxicol. Chem.40(3): 695-710</t>
        </is>
      </c>
      <c r="BV311" t="n">
        <v>2021.0</v>
      </c>
      <c r="BW311"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312">
      <c r="A312" t="n">
        <v>2795393.0</v>
      </c>
      <c r="B312" t="inlineStr">
        <is>
          <t>1,1,2,2,3,3,4,4,5,5,6,6,7,7,8,8,8-Heptadecafluoro-1-octanesulfonic acid potassium salt</t>
        </is>
      </c>
      <c r="C312"/>
      <c r="D312" t="inlineStr">
        <is>
          <t>Unmeasured</t>
        </is>
      </c>
      <c r="E312" t="inlineStr">
        <is>
          <t>&gt;</t>
        </is>
      </c>
      <c r="F312" t="n">
        <v>98.0</v>
      </c>
      <c r="G312"/>
      <c r="H312"/>
      <c r="I312"/>
      <c r="J312"/>
      <c r="K312" t="inlineStr">
        <is>
          <t>Cucurbita maxima</t>
        </is>
      </c>
      <c r="L312" t="inlineStr">
        <is>
          <t>Winter Squash</t>
        </is>
      </c>
      <c r="M312" t="inlineStr">
        <is>
          <t>Flowers, Trees, Shrubs, Ferns</t>
        </is>
      </c>
      <c r="N312" t="inlineStr">
        <is>
          <t>Seedling</t>
        </is>
      </c>
      <c r="O312"/>
      <c r="P312" t="n">
        <v>7.0</v>
      </c>
      <c r="Q312"/>
      <c r="R312"/>
      <c r="S312"/>
      <c r="T312"/>
      <c r="U312" t="inlineStr">
        <is>
          <t>Day(s)</t>
        </is>
      </c>
      <c r="V312" t="inlineStr">
        <is>
          <t>Hydroponic</t>
        </is>
      </c>
      <c r="W312" t="inlineStr">
        <is>
          <t>Hydroponic</t>
        </is>
      </c>
      <c r="X312" t="inlineStr">
        <is>
          <t>Lab</t>
        </is>
      </c>
      <c r="Y312" t="n">
        <v>3.0</v>
      </c>
      <c r="Z312" t="inlineStr">
        <is>
          <t>Active ingredient</t>
        </is>
      </c>
      <c r="AA312"/>
      <c r="AB312"/>
      <c r="AC312"/>
      <c r="AD312" t="n">
        <v>0.05</v>
      </c>
      <c r="AE312"/>
      <c r="AF312" t="n">
        <v>0.5</v>
      </c>
      <c r="AG312" t="inlineStr">
        <is>
          <t>mg/L</t>
        </is>
      </c>
      <c r="AH312"/>
      <c r="AI312"/>
      <c r="AJ312"/>
      <c r="AK312"/>
      <c r="AL312"/>
      <c r="AM312"/>
      <c r="AN312"/>
      <c r="AO312"/>
      <c r="AP312"/>
      <c r="AQ312"/>
      <c r="AR312"/>
      <c r="AS312"/>
      <c r="AT312"/>
      <c r="AU312"/>
      <c r="AV312"/>
      <c r="AW312"/>
      <c r="AX312" t="inlineStr">
        <is>
          <t>Accumulation</t>
        </is>
      </c>
      <c r="AY312" t="inlineStr">
        <is>
          <t>Residue</t>
        </is>
      </c>
      <c r="AZ312"/>
      <c r="BA312"/>
      <c r="BB312"/>
      <c r="BC312"/>
      <c r="BD312" t="n">
        <v>0.05</v>
      </c>
      <c r="BE312"/>
      <c r="BF312" t="n">
        <v>0.5</v>
      </c>
      <c r="BG312"/>
      <c r="BH312"/>
      <c r="BI312" t="inlineStr">
        <is>
          <t>mg/L</t>
        </is>
      </c>
      <c r="BJ312" t="inlineStr">
        <is>
          <t>Multiple entries</t>
        </is>
      </c>
      <c r="BK312"/>
      <c r="BL312"/>
      <c r="BM312"/>
      <c r="BN312" t="n">
        <v>0.0</v>
      </c>
      <c r="BO312"/>
      <c r="BP312" t="n">
        <v>8.0</v>
      </c>
      <c r="BQ312" t="inlineStr">
        <is>
          <t>Day(s)</t>
        </is>
      </c>
      <c r="BR312" t="inlineStr">
        <is>
          <t>Xu,Z., T. Tang, H. Cheng, Q. Bao, J. Yu, C. Zhang, T. Wu, X. Zhao, K.W. Schramm, and Y. Wang</t>
        </is>
      </c>
      <c r="BS312" t="n">
        <v>180253.0</v>
      </c>
      <c r="BT312" t="inlineStr">
        <is>
          <t xml:space="preserve">Negligible Effects of TiO2 Nanoparticles at Environmentally Relevant Concentrations on the Translocation and Accumulation of Perfluorooctanoic Acid and Perfluorooctanesulfonate in Hydroponically Grown Pumpkin Seedlings </t>
        </is>
      </c>
      <c r="BU312" t="inlineStr">
        <is>
          <t>Sci. Total Environ.686:171-178</t>
        </is>
      </c>
      <c r="BV312" t="n">
        <v>2019.0</v>
      </c>
      <c r="BW312" t="inlineStr">
        <is>
          <t>Xu,Z., T. Tang, H. Cheng, Q. Bao, J. Yu, C. Zhang, T. Wu, X. Zhao, K.W. Schramm, and Y. Wang (2019). Negligible Effects of TiO2 Nanoparticles at Environmentally Relevant Concentrations on the Translocation and Accumulation of Perfluorooctanoic Acid and Perfluorooctanesulfonate in Hydroponically Grown Pumpkin Seedlings . Sci. Total Environ., 686, 171-178. doi:10.1016/j.scitotenv.2019.05.473. ECOREF#:180253</t>
        </is>
      </c>
    </row>
    <row r="313">
      <c r="A313" t="n">
        <v>2795393.0</v>
      </c>
      <c r="B313" t="inlineStr">
        <is>
          <t>1,1,2,2,3,3,4,4,5,5,6,6,7,7,8,8,8-Heptadecafluoro-1-octanesulfonic acid potassium salt</t>
        </is>
      </c>
      <c r="C313"/>
      <c r="D313" t="inlineStr">
        <is>
          <t>Unmeasured</t>
        </is>
      </c>
      <c r="E313" t="inlineStr">
        <is>
          <t>&gt;=</t>
        </is>
      </c>
      <c r="F313" t="n">
        <v>98.0</v>
      </c>
      <c r="G313"/>
      <c r="H313"/>
      <c r="I313"/>
      <c r="J313"/>
      <c r="K313" t="inlineStr">
        <is>
          <t>Cucurbita pepo</t>
        </is>
      </c>
      <c r="L313" t="inlineStr">
        <is>
          <t>Vegetable Marrow</t>
        </is>
      </c>
      <c r="M313" t="inlineStr">
        <is>
          <t>Flowers, Trees, Shrubs, Ferns</t>
        </is>
      </c>
      <c r="N313" t="inlineStr">
        <is>
          <t>Seedling</t>
        </is>
      </c>
      <c r="O313"/>
      <c r="P313" t="n">
        <v>8.0</v>
      </c>
      <c r="Q313"/>
      <c r="R313"/>
      <c r="S313"/>
      <c r="T313"/>
      <c r="U313" t="inlineStr">
        <is>
          <t>Days post planting/sowing</t>
        </is>
      </c>
      <c r="V313" t="inlineStr">
        <is>
          <t>Hydroponic</t>
        </is>
      </c>
      <c r="W313" t="inlineStr">
        <is>
          <t>Culture</t>
        </is>
      </c>
      <c r="X313" t="inlineStr">
        <is>
          <t>Lab</t>
        </is>
      </c>
      <c r="Y313" t="n">
        <v>5.0</v>
      </c>
      <c r="Z313" t="inlineStr">
        <is>
          <t>Active ingredient</t>
        </is>
      </c>
      <c r="AA313"/>
      <c r="AB313"/>
      <c r="AC313"/>
      <c r="AD313" t="n">
        <v>10.0</v>
      </c>
      <c r="AE313"/>
      <c r="AF313" t="n">
        <v>1000.0</v>
      </c>
      <c r="AG313" t="inlineStr">
        <is>
          <t>ng/L</t>
        </is>
      </c>
      <c r="AH313"/>
      <c r="AI313"/>
      <c r="AJ313"/>
      <c r="AK313"/>
      <c r="AL313"/>
      <c r="AM313"/>
      <c r="AN313"/>
      <c r="AO313"/>
      <c r="AP313"/>
      <c r="AQ313"/>
      <c r="AR313"/>
      <c r="AS313"/>
      <c r="AT313"/>
      <c r="AU313"/>
      <c r="AV313"/>
      <c r="AW313"/>
      <c r="AX313" t="inlineStr">
        <is>
          <t>Accumulation</t>
        </is>
      </c>
      <c r="AY313" t="inlineStr">
        <is>
          <t>Residue</t>
        </is>
      </c>
      <c r="AZ313" t="inlineStr">
        <is>
          <t>BCF</t>
        </is>
      </c>
      <c r="BA313"/>
      <c r="BB313"/>
      <c r="BC313"/>
      <c r="BD313" t="n">
        <v>10.0</v>
      </c>
      <c r="BE313"/>
      <c r="BF313" t="n">
        <v>20.0</v>
      </c>
      <c r="BG313"/>
      <c r="BH313"/>
      <c r="BI313" t="inlineStr">
        <is>
          <t>ml/g</t>
        </is>
      </c>
      <c r="BJ313" t="inlineStr">
        <is>
          <t>Leafneedle</t>
        </is>
      </c>
      <c r="BK313"/>
      <c r="BL313"/>
      <c r="BM313"/>
      <c r="BN313" t="n">
        <v>55.0</v>
      </c>
      <c r="BO313"/>
      <c r="BP313" t="n">
        <v>72.0</v>
      </c>
      <c r="BQ313" t="inlineStr">
        <is>
          <t>Day(s)</t>
        </is>
      </c>
      <c r="BR313" t="inlineStr">
        <is>
          <t>Felizeter,S., M.S. McLachlan, and P. De Voogt</t>
        </is>
      </c>
      <c r="BS313" t="n">
        <v>176914.0</v>
      </c>
      <c r="BT313" t="inlineStr">
        <is>
          <t>Root Uptake and Translocation of Perfluorinated Alkyl Acids by Three Hydroponically Grown Crops</t>
        </is>
      </c>
      <c r="BU313" t="inlineStr">
        <is>
          <t>J. Agric. Food Chem.62(15): 3334-3342</t>
        </is>
      </c>
      <c r="BV313" t="n">
        <v>2014.0</v>
      </c>
      <c r="BW313" t="inlineStr">
        <is>
          <t>Felizeter,S., M.S. McLachlan, and P. De Voogt (2014). Root Uptake and Translocation of Perfluorinated Alkyl Acids by Three Hydroponically Grown Crops. J. Agric. Food Chem., 62, (15), 3334-3342. doi:10.1021/jf500674j. ECOREF#:176914</t>
        </is>
      </c>
    </row>
    <row r="314">
      <c r="A314" t="n">
        <v>2795393.0</v>
      </c>
      <c r="B314" t="inlineStr">
        <is>
          <t>1,1,2,2,3,3,4,4,5,5,6,6,7,7,8,8,8-Heptadecafluoro-1-octanesulfonic acid potassium salt</t>
        </is>
      </c>
      <c r="C314"/>
      <c r="D314" t="inlineStr">
        <is>
          <t>Unmeasured</t>
        </is>
      </c>
      <c r="E314" t="inlineStr">
        <is>
          <t>&gt;=</t>
        </is>
      </c>
      <c r="F314" t="n">
        <v>98.0</v>
      </c>
      <c r="G314"/>
      <c r="H314"/>
      <c r="I314"/>
      <c r="J314"/>
      <c r="K314" t="inlineStr">
        <is>
          <t>Cucurbita pepo</t>
        </is>
      </c>
      <c r="L314" t="inlineStr">
        <is>
          <t>Vegetable Marrow</t>
        </is>
      </c>
      <c r="M314" t="inlineStr">
        <is>
          <t>Flowers, Trees, Shrubs, Ferns</t>
        </is>
      </c>
      <c r="N314" t="inlineStr">
        <is>
          <t>Seedling</t>
        </is>
      </c>
      <c r="O314"/>
      <c r="P314" t="n">
        <v>8.0</v>
      </c>
      <c r="Q314"/>
      <c r="R314"/>
      <c r="S314"/>
      <c r="T314"/>
      <c r="U314" t="inlineStr">
        <is>
          <t>Days post planting/sowing</t>
        </is>
      </c>
      <c r="V314" t="inlineStr">
        <is>
          <t>Hydroponic</t>
        </is>
      </c>
      <c r="W314" t="inlineStr">
        <is>
          <t>Culture</t>
        </is>
      </c>
      <c r="X314" t="inlineStr">
        <is>
          <t>Lab</t>
        </is>
      </c>
      <c r="Y314" t="n">
        <v>5.0</v>
      </c>
      <c r="Z314" t="inlineStr">
        <is>
          <t>Active ingredient</t>
        </is>
      </c>
      <c r="AA314"/>
      <c r="AB314"/>
      <c r="AC314"/>
      <c r="AD314" t="n">
        <v>10.0</v>
      </c>
      <c r="AE314"/>
      <c r="AF314" t="n">
        <v>1000.0</v>
      </c>
      <c r="AG314" t="inlineStr">
        <is>
          <t>ng/L</t>
        </is>
      </c>
      <c r="AH314"/>
      <c r="AI314"/>
      <c r="AJ314"/>
      <c r="AK314"/>
      <c r="AL314"/>
      <c r="AM314"/>
      <c r="AN314"/>
      <c r="AO314"/>
      <c r="AP314"/>
      <c r="AQ314"/>
      <c r="AR314"/>
      <c r="AS314"/>
      <c r="AT314"/>
      <c r="AU314"/>
      <c r="AV314"/>
      <c r="AW314"/>
      <c r="AX314" t="inlineStr">
        <is>
          <t>Accumulation</t>
        </is>
      </c>
      <c r="AY314" t="inlineStr">
        <is>
          <t>Residue</t>
        </is>
      </c>
      <c r="AZ314" t="inlineStr">
        <is>
          <t>BCF</t>
        </is>
      </c>
      <c r="BA314"/>
      <c r="BB314"/>
      <c r="BC314"/>
      <c r="BD314" t="n">
        <v>6.0</v>
      </c>
      <c r="BE314"/>
      <c r="BF314" t="n">
        <v>8.0</v>
      </c>
      <c r="BG314"/>
      <c r="BH314"/>
      <c r="BI314" t="inlineStr">
        <is>
          <t>ml/g</t>
        </is>
      </c>
      <c r="BJ314" t="inlineStr">
        <is>
          <t>Stem</t>
        </is>
      </c>
      <c r="BK314"/>
      <c r="BL314"/>
      <c r="BM314"/>
      <c r="BN314" t="n">
        <v>55.0</v>
      </c>
      <c r="BO314"/>
      <c r="BP314" t="n">
        <v>72.0</v>
      </c>
      <c r="BQ314" t="inlineStr">
        <is>
          <t>Day(s)</t>
        </is>
      </c>
      <c r="BR314" t="inlineStr">
        <is>
          <t>Felizeter,S., M.S. McLachlan, and P. De Voogt</t>
        </is>
      </c>
      <c r="BS314" t="n">
        <v>176914.0</v>
      </c>
      <c r="BT314" t="inlineStr">
        <is>
          <t>Root Uptake and Translocation of Perfluorinated Alkyl Acids by Three Hydroponically Grown Crops</t>
        </is>
      </c>
      <c r="BU314" t="inlineStr">
        <is>
          <t>J. Agric. Food Chem.62(15): 3334-3342</t>
        </is>
      </c>
      <c r="BV314" t="n">
        <v>2014.0</v>
      </c>
      <c r="BW314" t="inlineStr">
        <is>
          <t>Felizeter,S., M.S. McLachlan, and P. De Voogt (2014). Root Uptake and Translocation of Perfluorinated Alkyl Acids by Three Hydroponically Grown Crops. J. Agric. Food Chem., 62, (15), 3334-3342. doi:10.1021/jf500674j. ECOREF#:176914</t>
        </is>
      </c>
    </row>
    <row r="315">
      <c r="A315" t="n">
        <v>2795393.0</v>
      </c>
      <c r="B315" t="inlineStr">
        <is>
          <t>1,1,2,2,3,3,4,4,5,5,6,6,7,7,8,8,8-Heptadecafluoro-1-octanesulfonic acid potassium salt</t>
        </is>
      </c>
      <c r="C315"/>
      <c r="D315" t="inlineStr">
        <is>
          <t>Unmeasured</t>
        </is>
      </c>
      <c r="E315" t="inlineStr">
        <is>
          <t>&gt;=</t>
        </is>
      </c>
      <c r="F315" t="n">
        <v>98.0</v>
      </c>
      <c r="G315"/>
      <c r="H315"/>
      <c r="I315"/>
      <c r="J315"/>
      <c r="K315" t="inlineStr">
        <is>
          <t>Cucurbita pepo</t>
        </is>
      </c>
      <c r="L315" t="inlineStr">
        <is>
          <t>Vegetable Marrow</t>
        </is>
      </c>
      <c r="M315" t="inlineStr">
        <is>
          <t>Flowers, Trees, Shrubs, Ferns</t>
        </is>
      </c>
      <c r="N315" t="inlineStr">
        <is>
          <t>Seedling</t>
        </is>
      </c>
      <c r="O315"/>
      <c r="P315" t="n">
        <v>8.0</v>
      </c>
      <c r="Q315"/>
      <c r="R315"/>
      <c r="S315"/>
      <c r="T315"/>
      <c r="U315" t="inlineStr">
        <is>
          <t>Days post planting/sowing</t>
        </is>
      </c>
      <c r="V315" t="inlineStr">
        <is>
          <t>Hydroponic</t>
        </is>
      </c>
      <c r="W315" t="inlineStr">
        <is>
          <t>Culture</t>
        </is>
      </c>
      <c r="X315" t="inlineStr">
        <is>
          <t>Lab</t>
        </is>
      </c>
      <c r="Y315" t="n">
        <v>5.0</v>
      </c>
      <c r="Z315" t="inlineStr">
        <is>
          <t>Active ingredient</t>
        </is>
      </c>
      <c r="AA315"/>
      <c r="AB315"/>
      <c r="AC315"/>
      <c r="AD315" t="n">
        <v>10.0</v>
      </c>
      <c r="AE315"/>
      <c r="AF315" t="n">
        <v>1000.0</v>
      </c>
      <c r="AG315" t="inlineStr">
        <is>
          <t>ng/L</t>
        </is>
      </c>
      <c r="AH315"/>
      <c r="AI315"/>
      <c r="AJ315"/>
      <c r="AK315"/>
      <c r="AL315"/>
      <c r="AM315"/>
      <c r="AN315"/>
      <c r="AO315"/>
      <c r="AP315"/>
      <c r="AQ315"/>
      <c r="AR315"/>
      <c r="AS315"/>
      <c r="AT315"/>
      <c r="AU315"/>
      <c r="AV315"/>
      <c r="AW315"/>
      <c r="AX315" t="inlineStr">
        <is>
          <t>Accumulation</t>
        </is>
      </c>
      <c r="AY315" t="inlineStr">
        <is>
          <t>Residue</t>
        </is>
      </c>
      <c r="AZ315" t="inlineStr">
        <is>
          <t>BCF</t>
        </is>
      </c>
      <c r="BA315"/>
      <c r="BB315"/>
      <c r="BC315"/>
      <c r="BD315" t="n">
        <v>0.1</v>
      </c>
      <c r="BE315"/>
      <c r="BF315" t="n">
        <v>1.0</v>
      </c>
      <c r="BG315"/>
      <c r="BH315"/>
      <c r="BI315" t="inlineStr">
        <is>
          <t>ml/g</t>
        </is>
      </c>
      <c r="BJ315" t="inlineStr">
        <is>
          <t>Edible tissue</t>
        </is>
      </c>
      <c r="BK315"/>
      <c r="BL315"/>
      <c r="BM315"/>
      <c r="BN315" t="n">
        <v>55.0</v>
      </c>
      <c r="BO315"/>
      <c r="BP315" t="n">
        <v>72.0</v>
      </c>
      <c r="BQ315" t="inlineStr">
        <is>
          <t>Day(s)</t>
        </is>
      </c>
      <c r="BR315" t="inlineStr">
        <is>
          <t>Felizeter,S., M.S. McLachlan, and P. De Voogt</t>
        </is>
      </c>
      <c r="BS315" t="n">
        <v>176914.0</v>
      </c>
      <c r="BT315" t="inlineStr">
        <is>
          <t>Root Uptake and Translocation of Perfluorinated Alkyl Acids by Three Hydroponically Grown Crops</t>
        </is>
      </c>
      <c r="BU315" t="inlineStr">
        <is>
          <t>J. Agric. Food Chem.62(15): 3334-3342</t>
        </is>
      </c>
      <c r="BV315" t="n">
        <v>2014.0</v>
      </c>
      <c r="BW315" t="inlineStr">
        <is>
          <t>Felizeter,S., M.S. McLachlan, and P. De Voogt (2014). Root Uptake and Translocation of Perfluorinated Alkyl Acids by Three Hydroponically Grown Crops. J. Agric. Food Chem., 62, (15), 3334-3342. doi:10.1021/jf500674j. ECOREF#:176914</t>
        </is>
      </c>
    </row>
    <row r="316">
      <c r="A316" t="n">
        <v>2795393.0</v>
      </c>
      <c r="B316" t="inlineStr">
        <is>
          <t>1,1,2,2,3,3,4,4,5,5,6,6,7,7,8,8,8-Heptadecafluoro-1-octanesulfonic acid potassium salt</t>
        </is>
      </c>
      <c r="C316"/>
      <c r="D316" t="inlineStr">
        <is>
          <t>Unmeasured</t>
        </is>
      </c>
      <c r="E316" t="inlineStr">
        <is>
          <t>&gt;=</t>
        </is>
      </c>
      <c r="F316" t="n">
        <v>98.0</v>
      </c>
      <c r="G316"/>
      <c r="H316"/>
      <c r="I316"/>
      <c r="J316"/>
      <c r="K316" t="inlineStr">
        <is>
          <t>Cucurbita pepo</t>
        </is>
      </c>
      <c r="L316" t="inlineStr">
        <is>
          <t>Vegetable Marrow</t>
        </is>
      </c>
      <c r="M316" t="inlineStr">
        <is>
          <t>Flowers, Trees, Shrubs, Ferns</t>
        </is>
      </c>
      <c r="N316" t="inlineStr">
        <is>
          <t>Seedling</t>
        </is>
      </c>
      <c r="O316"/>
      <c r="P316" t="n">
        <v>8.0</v>
      </c>
      <c r="Q316"/>
      <c r="R316"/>
      <c r="S316"/>
      <c r="T316"/>
      <c r="U316" t="inlineStr">
        <is>
          <t>Days post planting/sowing</t>
        </is>
      </c>
      <c r="V316" t="inlineStr">
        <is>
          <t>Hydroponic</t>
        </is>
      </c>
      <c r="W316" t="inlineStr">
        <is>
          <t>Culture</t>
        </is>
      </c>
      <c r="X316" t="inlineStr">
        <is>
          <t>Lab</t>
        </is>
      </c>
      <c r="Y316" t="n">
        <v>5.0</v>
      </c>
      <c r="Z316" t="inlineStr">
        <is>
          <t>Active ingredient</t>
        </is>
      </c>
      <c r="AA316"/>
      <c r="AB316"/>
      <c r="AC316"/>
      <c r="AD316" t="n">
        <v>10.0</v>
      </c>
      <c r="AE316"/>
      <c r="AF316" t="n">
        <v>1000.0</v>
      </c>
      <c r="AG316" t="inlineStr">
        <is>
          <t>ng/L</t>
        </is>
      </c>
      <c r="AH316"/>
      <c r="AI316"/>
      <c r="AJ316"/>
      <c r="AK316"/>
      <c r="AL316"/>
      <c r="AM316"/>
      <c r="AN316"/>
      <c r="AO316"/>
      <c r="AP316"/>
      <c r="AQ316"/>
      <c r="AR316"/>
      <c r="AS316"/>
      <c r="AT316"/>
      <c r="AU316"/>
      <c r="AV316"/>
      <c r="AW316"/>
      <c r="AX316" t="inlineStr">
        <is>
          <t>Accumulation</t>
        </is>
      </c>
      <c r="AY316" t="inlineStr">
        <is>
          <t>Residue</t>
        </is>
      </c>
      <c r="AZ316" t="inlineStr">
        <is>
          <t>BCF</t>
        </is>
      </c>
      <c r="BA316"/>
      <c r="BB316"/>
      <c r="BC316"/>
      <c r="BD316" t="n">
        <v>4.0</v>
      </c>
      <c r="BE316"/>
      <c r="BF316" t="n">
        <v>6.0</v>
      </c>
      <c r="BG316"/>
      <c r="BH316"/>
      <c r="BI316" t="inlineStr">
        <is>
          <t>ml/g</t>
        </is>
      </c>
      <c r="BJ316" t="inlineStr">
        <is>
          <t>Stem</t>
        </is>
      </c>
      <c r="BK316"/>
      <c r="BL316"/>
      <c r="BM316"/>
      <c r="BN316" t="n">
        <v>55.0</v>
      </c>
      <c r="BO316"/>
      <c r="BP316" t="n">
        <v>72.0</v>
      </c>
      <c r="BQ316" t="inlineStr">
        <is>
          <t>Day(s)</t>
        </is>
      </c>
      <c r="BR316" t="inlineStr">
        <is>
          <t>Felizeter,S., M.S. McLachlan, and P. De Voogt</t>
        </is>
      </c>
      <c r="BS316" t="n">
        <v>176914.0</v>
      </c>
      <c r="BT316" t="inlineStr">
        <is>
          <t>Root Uptake and Translocation of Perfluorinated Alkyl Acids by Three Hydroponically Grown Crops</t>
        </is>
      </c>
      <c r="BU316" t="inlineStr">
        <is>
          <t>J. Agric. Food Chem.62(15): 3334-3342</t>
        </is>
      </c>
      <c r="BV316" t="n">
        <v>2014.0</v>
      </c>
      <c r="BW316" t="inlineStr">
        <is>
          <t>Felizeter,S., M.S. McLachlan, and P. De Voogt (2014). Root Uptake and Translocation of Perfluorinated Alkyl Acids by Three Hydroponically Grown Crops. J. Agric. Food Chem., 62, (15), 3334-3342. doi:10.1021/jf500674j. ECOREF#:176914</t>
        </is>
      </c>
    </row>
    <row r="317">
      <c r="A317" t="n">
        <v>2795393.0</v>
      </c>
      <c r="B317" t="inlineStr">
        <is>
          <t>1,1,2,2,3,3,4,4,5,5,6,6,7,7,8,8,8-Heptadecafluoro-1-octanesulfonic acid potassium salt</t>
        </is>
      </c>
      <c r="C317"/>
      <c r="D317" t="inlineStr">
        <is>
          <t>Unmeasured</t>
        </is>
      </c>
      <c r="E317" t="inlineStr">
        <is>
          <t>&gt;=</t>
        </is>
      </c>
      <c r="F317" t="n">
        <v>98.0</v>
      </c>
      <c r="G317"/>
      <c r="H317"/>
      <c r="I317"/>
      <c r="J317"/>
      <c r="K317" t="inlineStr">
        <is>
          <t>Cucurbita pepo</t>
        </is>
      </c>
      <c r="L317" t="inlineStr">
        <is>
          <t>Vegetable Marrow</t>
        </is>
      </c>
      <c r="M317" t="inlineStr">
        <is>
          <t>Flowers, Trees, Shrubs, Ferns</t>
        </is>
      </c>
      <c r="N317" t="inlineStr">
        <is>
          <t>Seedling</t>
        </is>
      </c>
      <c r="O317"/>
      <c r="P317" t="n">
        <v>8.0</v>
      </c>
      <c r="Q317"/>
      <c r="R317"/>
      <c r="S317"/>
      <c r="T317"/>
      <c r="U317" t="inlineStr">
        <is>
          <t>Days post planting/sowing</t>
        </is>
      </c>
      <c r="V317" t="inlineStr">
        <is>
          <t>Hydroponic</t>
        </is>
      </c>
      <c r="W317" t="inlineStr">
        <is>
          <t>Culture</t>
        </is>
      </c>
      <c r="X317" t="inlineStr">
        <is>
          <t>Lab</t>
        </is>
      </c>
      <c r="Y317" t="n">
        <v>5.0</v>
      </c>
      <c r="Z317" t="inlineStr">
        <is>
          <t>Active ingredient</t>
        </is>
      </c>
      <c r="AA317"/>
      <c r="AB317"/>
      <c r="AC317"/>
      <c r="AD317" t="n">
        <v>10.0</v>
      </c>
      <c r="AE317"/>
      <c r="AF317" t="n">
        <v>1000.0</v>
      </c>
      <c r="AG317" t="inlineStr">
        <is>
          <t>ng/L</t>
        </is>
      </c>
      <c r="AH317"/>
      <c r="AI317"/>
      <c r="AJ317"/>
      <c r="AK317"/>
      <c r="AL317"/>
      <c r="AM317"/>
      <c r="AN317"/>
      <c r="AO317"/>
      <c r="AP317"/>
      <c r="AQ317"/>
      <c r="AR317"/>
      <c r="AS317"/>
      <c r="AT317"/>
      <c r="AU317"/>
      <c r="AV317"/>
      <c r="AW317"/>
      <c r="AX317" t="inlineStr">
        <is>
          <t>Accumulation</t>
        </is>
      </c>
      <c r="AY317" t="inlineStr">
        <is>
          <t>Residue</t>
        </is>
      </c>
      <c r="AZ317" t="inlineStr">
        <is>
          <t>BCF</t>
        </is>
      </c>
      <c r="BA317"/>
      <c r="BB317"/>
      <c r="BC317"/>
      <c r="BD317" t="n">
        <v>0.05</v>
      </c>
      <c r="BE317"/>
      <c r="BF317" t="n">
        <v>0.1</v>
      </c>
      <c r="BG317"/>
      <c r="BH317"/>
      <c r="BI317" t="inlineStr">
        <is>
          <t>ml/g</t>
        </is>
      </c>
      <c r="BJ317" t="inlineStr">
        <is>
          <t>Sap</t>
        </is>
      </c>
      <c r="BK317"/>
      <c r="BL317"/>
      <c r="BM317"/>
      <c r="BN317" t="n">
        <v>55.0</v>
      </c>
      <c r="BO317"/>
      <c r="BP317" t="n">
        <v>72.0</v>
      </c>
      <c r="BQ317" t="inlineStr">
        <is>
          <t>Day(s)</t>
        </is>
      </c>
      <c r="BR317" t="inlineStr">
        <is>
          <t>Felizeter,S., M.S. McLachlan, and P. De Voogt</t>
        </is>
      </c>
      <c r="BS317" t="n">
        <v>176914.0</v>
      </c>
      <c r="BT317" t="inlineStr">
        <is>
          <t>Root Uptake and Translocation of Perfluorinated Alkyl Acids by Three Hydroponically Grown Crops</t>
        </is>
      </c>
      <c r="BU317" t="inlineStr">
        <is>
          <t>J. Agric. Food Chem.62(15): 3334-3342</t>
        </is>
      </c>
      <c r="BV317" t="n">
        <v>2014.0</v>
      </c>
      <c r="BW317" t="inlineStr">
        <is>
          <t>Felizeter,S., M.S. McLachlan, and P. De Voogt (2014). Root Uptake and Translocation of Perfluorinated Alkyl Acids by Three Hydroponically Grown Crops. J. Agric. Food Chem., 62, (15), 3334-3342. doi:10.1021/jf500674j. ECOREF#:176914</t>
        </is>
      </c>
    </row>
    <row r="318">
      <c r="A318" t="n">
        <v>2795393.0</v>
      </c>
      <c r="B318" t="inlineStr">
        <is>
          <t>1,1,2,2,3,3,4,4,5,5,6,6,7,7,8,8,8-Heptadecafluoro-1-octanesulfonic acid potassium salt</t>
        </is>
      </c>
      <c r="C318"/>
      <c r="D318" t="inlineStr">
        <is>
          <t>Unmeasured</t>
        </is>
      </c>
      <c r="E318" t="inlineStr">
        <is>
          <t>&gt;=</t>
        </is>
      </c>
      <c r="F318" t="n">
        <v>98.0</v>
      </c>
      <c r="G318"/>
      <c r="H318"/>
      <c r="I318"/>
      <c r="J318"/>
      <c r="K318" t="inlineStr">
        <is>
          <t>Cucurbita pepo</t>
        </is>
      </c>
      <c r="L318" t="inlineStr">
        <is>
          <t>Vegetable Marrow</t>
        </is>
      </c>
      <c r="M318" t="inlineStr">
        <is>
          <t>Flowers, Trees, Shrubs, Ferns</t>
        </is>
      </c>
      <c r="N318" t="inlineStr">
        <is>
          <t>Seedling</t>
        </is>
      </c>
      <c r="O318"/>
      <c r="P318" t="n">
        <v>8.0</v>
      </c>
      <c r="Q318"/>
      <c r="R318"/>
      <c r="S318"/>
      <c r="T318"/>
      <c r="U318" t="inlineStr">
        <is>
          <t>Days post planting/sowing</t>
        </is>
      </c>
      <c r="V318" t="inlineStr">
        <is>
          <t>Hydroponic</t>
        </is>
      </c>
      <c r="W318" t="inlineStr">
        <is>
          <t>Culture</t>
        </is>
      </c>
      <c r="X318" t="inlineStr">
        <is>
          <t>Lab</t>
        </is>
      </c>
      <c r="Y318" t="n">
        <v>5.0</v>
      </c>
      <c r="Z318" t="inlineStr">
        <is>
          <t>Active ingredient</t>
        </is>
      </c>
      <c r="AA318"/>
      <c r="AB318"/>
      <c r="AC318"/>
      <c r="AD318" t="n">
        <v>10.0</v>
      </c>
      <c r="AE318"/>
      <c r="AF318" t="n">
        <v>1000.0</v>
      </c>
      <c r="AG318" t="inlineStr">
        <is>
          <t>ng/L</t>
        </is>
      </c>
      <c r="AH318"/>
      <c r="AI318"/>
      <c r="AJ318"/>
      <c r="AK318"/>
      <c r="AL318"/>
      <c r="AM318"/>
      <c r="AN318"/>
      <c r="AO318"/>
      <c r="AP318"/>
      <c r="AQ318"/>
      <c r="AR318"/>
      <c r="AS318"/>
      <c r="AT318"/>
      <c r="AU318"/>
      <c r="AV318"/>
      <c r="AW318"/>
      <c r="AX318" t="inlineStr">
        <is>
          <t>Accumulation</t>
        </is>
      </c>
      <c r="AY318" t="inlineStr">
        <is>
          <t>Residue</t>
        </is>
      </c>
      <c r="AZ318" t="inlineStr">
        <is>
          <t>BCF</t>
        </is>
      </c>
      <c r="BA318"/>
      <c r="BB318"/>
      <c r="BC318"/>
      <c r="BD318" t="n">
        <v>2.0</v>
      </c>
      <c r="BE318"/>
      <c r="BF318" t="n">
        <v>4.0</v>
      </c>
      <c r="BG318"/>
      <c r="BH318"/>
      <c r="BI318" t="inlineStr">
        <is>
          <t>ml/g</t>
        </is>
      </c>
      <c r="BJ318" t="inlineStr">
        <is>
          <t>Petiole</t>
        </is>
      </c>
      <c r="BK318"/>
      <c r="BL318"/>
      <c r="BM318"/>
      <c r="BN318" t="n">
        <v>55.0</v>
      </c>
      <c r="BO318"/>
      <c r="BP318" t="n">
        <v>72.0</v>
      </c>
      <c r="BQ318" t="inlineStr">
        <is>
          <t>Day(s)</t>
        </is>
      </c>
      <c r="BR318" t="inlineStr">
        <is>
          <t>Felizeter,S., M.S. McLachlan, and P. De Voogt</t>
        </is>
      </c>
      <c r="BS318" t="n">
        <v>176914.0</v>
      </c>
      <c r="BT318" t="inlineStr">
        <is>
          <t>Root Uptake and Translocation of Perfluorinated Alkyl Acids by Three Hydroponically Grown Crops</t>
        </is>
      </c>
      <c r="BU318" t="inlineStr">
        <is>
          <t>J. Agric. Food Chem.62(15): 3334-3342</t>
        </is>
      </c>
      <c r="BV318" t="n">
        <v>2014.0</v>
      </c>
      <c r="BW318" t="inlineStr">
        <is>
          <t>Felizeter,S., M.S. McLachlan, and P. De Voogt (2014). Root Uptake and Translocation of Perfluorinated Alkyl Acids by Three Hydroponically Grown Crops. J. Agric. Food Chem., 62, (15), 3334-3342. doi:10.1021/jf500674j. ECOREF#:176914</t>
        </is>
      </c>
    </row>
    <row r="319">
      <c r="A319" t="n">
        <v>2795393.0</v>
      </c>
      <c r="B319" t="inlineStr">
        <is>
          <t>1,1,2,2,3,3,4,4,5,5,6,6,7,7,8,8,8-Heptadecafluoro-1-octanesulfonic acid potassium salt</t>
        </is>
      </c>
      <c r="C319"/>
      <c r="D319" t="inlineStr">
        <is>
          <t>Unmeasured</t>
        </is>
      </c>
      <c r="E319" t="inlineStr">
        <is>
          <t>&gt;=</t>
        </is>
      </c>
      <c r="F319" t="n">
        <v>98.0</v>
      </c>
      <c r="G319"/>
      <c r="H319"/>
      <c r="I319"/>
      <c r="J319"/>
      <c r="K319" t="inlineStr">
        <is>
          <t>Cucurbita pepo</t>
        </is>
      </c>
      <c r="L319" t="inlineStr">
        <is>
          <t>Vegetable Marrow</t>
        </is>
      </c>
      <c r="M319" t="inlineStr">
        <is>
          <t>Flowers, Trees, Shrubs, Ferns</t>
        </is>
      </c>
      <c r="N319" t="inlineStr">
        <is>
          <t>Seedling</t>
        </is>
      </c>
      <c r="O319"/>
      <c r="P319" t="n">
        <v>8.0</v>
      </c>
      <c r="Q319"/>
      <c r="R319"/>
      <c r="S319"/>
      <c r="T319"/>
      <c r="U319" t="inlineStr">
        <is>
          <t>Days post planting/sowing</t>
        </is>
      </c>
      <c r="V319" t="inlineStr">
        <is>
          <t>Hydroponic</t>
        </is>
      </c>
      <c r="W319" t="inlineStr">
        <is>
          <t>Culture</t>
        </is>
      </c>
      <c r="X319" t="inlineStr">
        <is>
          <t>Lab</t>
        </is>
      </c>
      <c r="Y319" t="n">
        <v>5.0</v>
      </c>
      <c r="Z319" t="inlineStr">
        <is>
          <t>Active ingredient</t>
        </is>
      </c>
      <c r="AA319"/>
      <c r="AB319"/>
      <c r="AC319"/>
      <c r="AD319" t="n">
        <v>10.0</v>
      </c>
      <c r="AE319"/>
      <c r="AF319" t="n">
        <v>1000.0</v>
      </c>
      <c r="AG319" t="inlineStr">
        <is>
          <t>ng/L</t>
        </is>
      </c>
      <c r="AH319"/>
      <c r="AI319"/>
      <c r="AJ319"/>
      <c r="AK319"/>
      <c r="AL319"/>
      <c r="AM319"/>
      <c r="AN319"/>
      <c r="AO319"/>
      <c r="AP319"/>
      <c r="AQ319"/>
      <c r="AR319"/>
      <c r="AS319"/>
      <c r="AT319"/>
      <c r="AU319"/>
      <c r="AV319"/>
      <c r="AW319"/>
      <c r="AX319" t="inlineStr">
        <is>
          <t>Accumulation</t>
        </is>
      </c>
      <c r="AY319" t="inlineStr">
        <is>
          <t>Residue</t>
        </is>
      </c>
      <c r="AZ319" t="inlineStr">
        <is>
          <t>BCF</t>
        </is>
      </c>
      <c r="BA319"/>
      <c r="BB319"/>
      <c r="BC319"/>
      <c r="BD319" t="n">
        <v>10.0</v>
      </c>
      <c r="BE319"/>
      <c r="BF319" t="n">
        <v>20.0</v>
      </c>
      <c r="BG319"/>
      <c r="BH319"/>
      <c r="BI319" t="inlineStr">
        <is>
          <t>ml/g</t>
        </is>
      </c>
      <c r="BJ319" t="inlineStr">
        <is>
          <t>Leafneedle</t>
        </is>
      </c>
      <c r="BK319"/>
      <c r="BL319"/>
      <c r="BM319"/>
      <c r="BN319" t="n">
        <v>55.0</v>
      </c>
      <c r="BO319"/>
      <c r="BP319" t="n">
        <v>72.0</v>
      </c>
      <c r="BQ319" t="inlineStr">
        <is>
          <t>Day(s)</t>
        </is>
      </c>
      <c r="BR319" t="inlineStr">
        <is>
          <t>Felizeter,S., M.S. McLachlan, and P. De Voogt</t>
        </is>
      </c>
      <c r="BS319" t="n">
        <v>176914.0</v>
      </c>
      <c r="BT319" t="inlineStr">
        <is>
          <t>Root Uptake and Translocation of Perfluorinated Alkyl Acids by Three Hydroponically Grown Crops</t>
        </is>
      </c>
      <c r="BU319" t="inlineStr">
        <is>
          <t>J. Agric. Food Chem.62(15): 3334-3342</t>
        </is>
      </c>
      <c r="BV319" t="n">
        <v>2014.0</v>
      </c>
      <c r="BW319" t="inlineStr">
        <is>
          <t>Felizeter,S., M.S. McLachlan, and P. De Voogt (2014). Root Uptake and Translocation of Perfluorinated Alkyl Acids by Three Hydroponically Grown Crops. J. Agric. Food Chem., 62, (15), 3334-3342. doi:10.1021/jf500674j. ECOREF#:176914</t>
        </is>
      </c>
    </row>
    <row r="320">
      <c r="A320" t="n">
        <v>2795393.0</v>
      </c>
      <c r="B320" t="inlineStr">
        <is>
          <t>1,1,2,2,3,3,4,4,5,5,6,6,7,7,8,8,8-Heptadecafluoro-1-octanesulfonic acid potassium salt</t>
        </is>
      </c>
      <c r="C320"/>
      <c r="D320" t="inlineStr">
        <is>
          <t>Unmeasured</t>
        </is>
      </c>
      <c r="E320" t="inlineStr">
        <is>
          <t>&gt;=</t>
        </is>
      </c>
      <c r="F320" t="n">
        <v>98.0</v>
      </c>
      <c r="G320"/>
      <c r="H320"/>
      <c r="I320"/>
      <c r="J320"/>
      <c r="K320" t="inlineStr">
        <is>
          <t>Cucurbita pepo</t>
        </is>
      </c>
      <c r="L320" t="inlineStr">
        <is>
          <t>Vegetable Marrow</t>
        </is>
      </c>
      <c r="M320" t="inlineStr">
        <is>
          <t>Flowers, Trees, Shrubs, Ferns</t>
        </is>
      </c>
      <c r="N320" t="inlineStr">
        <is>
          <t>Seedling</t>
        </is>
      </c>
      <c r="O320"/>
      <c r="P320" t="n">
        <v>8.0</v>
      </c>
      <c r="Q320"/>
      <c r="R320"/>
      <c r="S320"/>
      <c r="T320"/>
      <c r="U320" t="inlineStr">
        <is>
          <t>Days post planting/sowing</t>
        </is>
      </c>
      <c r="V320" t="inlineStr">
        <is>
          <t>Hydroponic</t>
        </is>
      </c>
      <c r="W320" t="inlineStr">
        <is>
          <t>Culture</t>
        </is>
      </c>
      <c r="X320" t="inlineStr">
        <is>
          <t>Lab</t>
        </is>
      </c>
      <c r="Y320" t="n">
        <v>5.0</v>
      </c>
      <c r="Z320" t="inlineStr">
        <is>
          <t>Active ingredient</t>
        </is>
      </c>
      <c r="AA320"/>
      <c r="AB320"/>
      <c r="AC320"/>
      <c r="AD320" t="n">
        <v>10.0</v>
      </c>
      <c r="AE320"/>
      <c r="AF320" t="n">
        <v>1000.0</v>
      </c>
      <c r="AG320" t="inlineStr">
        <is>
          <t>ng/L</t>
        </is>
      </c>
      <c r="AH320"/>
      <c r="AI320"/>
      <c r="AJ320"/>
      <c r="AK320"/>
      <c r="AL320"/>
      <c r="AM320"/>
      <c r="AN320"/>
      <c r="AO320"/>
      <c r="AP320"/>
      <c r="AQ320"/>
      <c r="AR320"/>
      <c r="AS320"/>
      <c r="AT320"/>
      <c r="AU320"/>
      <c r="AV320"/>
      <c r="AW320"/>
      <c r="AX320" t="inlineStr">
        <is>
          <t>Accumulation</t>
        </is>
      </c>
      <c r="AY320" t="inlineStr">
        <is>
          <t>Residue</t>
        </is>
      </c>
      <c r="AZ320" t="inlineStr">
        <is>
          <t>BCF</t>
        </is>
      </c>
      <c r="BA320"/>
      <c r="BB320"/>
      <c r="BC320"/>
      <c r="BD320" t="n">
        <v>100.0</v>
      </c>
      <c r="BE320"/>
      <c r="BF320" t="n">
        <v>1000.0</v>
      </c>
      <c r="BG320"/>
      <c r="BH320"/>
      <c r="BI320" t="inlineStr">
        <is>
          <t>ml/g</t>
        </is>
      </c>
      <c r="BJ320" t="inlineStr">
        <is>
          <t>Root</t>
        </is>
      </c>
      <c r="BK320"/>
      <c r="BL320"/>
      <c r="BM320"/>
      <c r="BN320" t="n">
        <v>55.0</v>
      </c>
      <c r="BO320"/>
      <c r="BP320" t="n">
        <v>72.0</v>
      </c>
      <c r="BQ320" t="inlineStr">
        <is>
          <t>Day(s)</t>
        </is>
      </c>
      <c r="BR320" t="inlineStr">
        <is>
          <t>Felizeter,S., M.S. McLachlan, and P. De Voogt</t>
        </is>
      </c>
      <c r="BS320" t="n">
        <v>176914.0</v>
      </c>
      <c r="BT320" t="inlineStr">
        <is>
          <t>Root Uptake and Translocation of Perfluorinated Alkyl Acids by Three Hydroponically Grown Crops</t>
        </is>
      </c>
      <c r="BU320" t="inlineStr">
        <is>
          <t>J. Agric. Food Chem.62(15): 3334-3342</t>
        </is>
      </c>
      <c r="BV320" t="n">
        <v>2014.0</v>
      </c>
      <c r="BW320" t="inlineStr">
        <is>
          <t>Felizeter,S., M.S. McLachlan, and P. De Voogt (2014). Root Uptake and Translocation of Perfluorinated Alkyl Acids by Three Hydroponically Grown Crops. J. Agric. Food Chem., 62, (15), 3334-3342. doi:10.1021/jf500674j. ECOREF#:176914</t>
        </is>
      </c>
    </row>
    <row r="321">
      <c r="A321" t="n">
        <v>2795393.0</v>
      </c>
      <c r="B321" t="inlineStr">
        <is>
          <t>1,1,2,2,3,3,4,4,5,5,6,6,7,7,8,8,8-Heptadecafluoro-1-octanesulfonic acid potassium salt</t>
        </is>
      </c>
      <c r="C321"/>
      <c r="D321" t="inlineStr">
        <is>
          <t>Unmeasured</t>
        </is>
      </c>
      <c r="E321" t="inlineStr">
        <is>
          <t>&gt;=</t>
        </is>
      </c>
      <c r="F321" t="n">
        <v>98.0</v>
      </c>
      <c r="G321"/>
      <c r="H321"/>
      <c r="I321"/>
      <c r="J321"/>
      <c r="K321" t="inlineStr">
        <is>
          <t>Cucurbita pepo</t>
        </is>
      </c>
      <c r="L321" t="inlineStr">
        <is>
          <t>Vegetable Marrow</t>
        </is>
      </c>
      <c r="M321" t="inlineStr">
        <is>
          <t>Flowers, Trees, Shrubs, Ferns</t>
        </is>
      </c>
      <c r="N321" t="inlineStr">
        <is>
          <t>Seedling</t>
        </is>
      </c>
      <c r="O321"/>
      <c r="P321" t="n">
        <v>8.0</v>
      </c>
      <c r="Q321"/>
      <c r="R321"/>
      <c r="S321"/>
      <c r="T321"/>
      <c r="U321" t="inlineStr">
        <is>
          <t>Days post planting/sowing</t>
        </is>
      </c>
      <c r="V321" t="inlineStr">
        <is>
          <t>Hydroponic</t>
        </is>
      </c>
      <c r="W321" t="inlineStr">
        <is>
          <t>Culture</t>
        </is>
      </c>
      <c r="X321" t="inlineStr">
        <is>
          <t>Lab</t>
        </is>
      </c>
      <c r="Y321" t="n">
        <v>5.0</v>
      </c>
      <c r="Z321" t="inlineStr">
        <is>
          <t>Active ingredient</t>
        </is>
      </c>
      <c r="AA321"/>
      <c r="AB321"/>
      <c r="AC321"/>
      <c r="AD321" t="n">
        <v>10.0</v>
      </c>
      <c r="AE321"/>
      <c r="AF321" t="n">
        <v>1000.0</v>
      </c>
      <c r="AG321" t="inlineStr">
        <is>
          <t>ng/L</t>
        </is>
      </c>
      <c r="AH321"/>
      <c r="AI321"/>
      <c r="AJ321"/>
      <c r="AK321"/>
      <c r="AL321"/>
      <c r="AM321"/>
      <c r="AN321"/>
      <c r="AO321"/>
      <c r="AP321"/>
      <c r="AQ321"/>
      <c r="AR321"/>
      <c r="AS321"/>
      <c r="AT321"/>
      <c r="AU321"/>
      <c r="AV321"/>
      <c r="AW321"/>
      <c r="AX321" t="inlineStr">
        <is>
          <t>Accumulation</t>
        </is>
      </c>
      <c r="AY321" t="inlineStr">
        <is>
          <t>Residue</t>
        </is>
      </c>
      <c r="AZ321" t="inlineStr">
        <is>
          <t>BCF</t>
        </is>
      </c>
      <c r="BA321"/>
      <c r="BB321"/>
      <c r="BC321"/>
      <c r="BD321" t="n">
        <v>0.0</v>
      </c>
      <c r="BE321"/>
      <c r="BF321" t="n">
        <v>2.0</v>
      </c>
      <c r="BG321"/>
      <c r="BH321"/>
      <c r="BI321" t="inlineStr">
        <is>
          <t>ml/g</t>
        </is>
      </c>
      <c r="BJ321" t="inlineStr">
        <is>
          <t>Petiole</t>
        </is>
      </c>
      <c r="BK321"/>
      <c r="BL321"/>
      <c r="BM321"/>
      <c r="BN321" t="n">
        <v>55.0</v>
      </c>
      <c r="BO321"/>
      <c r="BP321" t="n">
        <v>72.0</v>
      </c>
      <c r="BQ321" t="inlineStr">
        <is>
          <t>Day(s)</t>
        </is>
      </c>
      <c r="BR321" t="inlineStr">
        <is>
          <t>Felizeter,S., M.S. McLachlan, and P. De Voogt</t>
        </is>
      </c>
      <c r="BS321" t="n">
        <v>176914.0</v>
      </c>
      <c r="BT321" t="inlineStr">
        <is>
          <t>Root Uptake and Translocation of Perfluorinated Alkyl Acids by Three Hydroponically Grown Crops</t>
        </is>
      </c>
      <c r="BU321" t="inlineStr">
        <is>
          <t>J. Agric. Food Chem.62(15): 3334-3342</t>
        </is>
      </c>
      <c r="BV321" t="n">
        <v>2014.0</v>
      </c>
      <c r="BW321" t="inlineStr">
        <is>
          <t>Felizeter,S., M.S. McLachlan, and P. De Voogt (2014). Root Uptake and Translocation of Perfluorinated Alkyl Acids by Three Hydroponically Grown Crops. J. Agric. Food Chem., 62, (15), 3334-3342. doi:10.1021/jf500674j. ECOREF#:176914</t>
        </is>
      </c>
    </row>
    <row r="322">
      <c r="A322" t="n">
        <v>2795393.0</v>
      </c>
      <c r="B322" t="inlineStr">
        <is>
          <t>1,1,2,2,3,3,4,4,5,5,6,6,7,7,8,8,8-Heptadecafluoro-1-octanesulfonic acid potassium salt</t>
        </is>
      </c>
      <c r="C322"/>
      <c r="D322" t="inlineStr">
        <is>
          <t>Unmeasured</t>
        </is>
      </c>
      <c r="E322" t="inlineStr">
        <is>
          <t>&gt;=</t>
        </is>
      </c>
      <c r="F322" t="n">
        <v>98.0</v>
      </c>
      <c r="G322"/>
      <c r="H322"/>
      <c r="I322"/>
      <c r="J322"/>
      <c r="K322" t="inlineStr">
        <is>
          <t>Cucurbita pepo</t>
        </is>
      </c>
      <c r="L322" t="inlineStr">
        <is>
          <t>Vegetable Marrow</t>
        </is>
      </c>
      <c r="M322" t="inlineStr">
        <is>
          <t>Flowers, Trees, Shrubs, Ferns</t>
        </is>
      </c>
      <c r="N322" t="inlineStr">
        <is>
          <t>Seedling</t>
        </is>
      </c>
      <c r="O322"/>
      <c r="P322" t="n">
        <v>8.0</v>
      </c>
      <c r="Q322"/>
      <c r="R322"/>
      <c r="S322"/>
      <c r="T322"/>
      <c r="U322" t="inlineStr">
        <is>
          <t>Days post planting/sowing</t>
        </is>
      </c>
      <c r="V322" t="inlineStr">
        <is>
          <t>Hydroponic</t>
        </is>
      </c>
      <c r="W322" t="inlineStr">
        <is>
          <t>Culture</t>
        </is>
      </c>
      <c r="X322" t="inlineStr">
        <is>
          <t>Lab</t>
        </is>
      </c>
      <c r="Y322" t="n">
        <v>5.0</v>
      </c>
      <c r="Z322" t="inlineStr">
        <is>
          <t>Active ingredient</t>
        </is>
      </c>
      <c r="AA322"/>
      <c r="AB322"/>
      <c r="AC322"/>
      <c r="AD322" t="n">
        <v>10.0</v>
      </c>
      <c r="AE322"/>
      <c r="AF322" t="n">
        <v>1000.0</v>
      </c>
      <c r="AG322" t="inlineStr">
        <is>
          <t>ng/L</t>
        </is>
      </c>
      <c r="AH322"/>
      <c r="AI322"/>
      <c r="AJ322"/>
      <c r="AK322"/>
      <c r="AL322"/>
      <c r="AM322"/>
      <c r="AN322"/>
      <c r="AO322"/>
      <c r="AP322"/>
      <c r="AQ322"/>
      <c r="AR322"/>
      <c r="AS322"/>
      <c r="AT322"/>
      <c r="AU322"/>
      <c r="AV322"/>
      <c r="AW322"/>
      <c r="AX322" t="inlineStr">
        <is>
          <t>Accumulation</t>
        </is>
      </c>
      <c r="AY322" t="inlineStr">
        <is>
          <t>Residue</t>
        </is>
      </c>
      <c r="AZ322" t="inlineStr">
        <is>
          <t>BCF</t>
        </is>
      </c>
      <c r="BA322"/>
      <c r="BB322"/>
      <c r="BC322"/>
      <c r="BD322" t="n">
        <v>0.05</v>
      </c>
      <c r="BE322"/>
      <c r="BF322" t="n">
        <v>0.1</v>
      </c>
      <c r="BG322"/>
      <c r="BH322"/>
      <c r="BI322" t="inlineStr">
        <is>
          <t>ml/g</t>
        </is>
      </c>
      <c r="BJ322" t="inlineStr">
        <is>
          <t>Sap</t>
        </is>
      </c>
      <c r="BK322"/>
      <c r="BL322"/>
      <c r="BM322"/>
      <c r="BN322" t="n">
        <v>55.0</v>
      </c>
      <c r="BO322"/>
      <c r="BP322" t="n">
        <v>72.0</v>
      </c>
      <c r="BQ322" t="inlineStr">
        <is>
          <t>Day(s)</t>
        </is>
      </c>
      <c r="BR322" t="inlineStr">
        <is>
          <t>Felizeter,S., M.S. McLachlan, and P. De Voogt</t>
        </is>
      </c>
      <c r="BS322" t="n">
        <v>176914.0</v>
      </c>
      <c r="BT322" t="inlineStr">
        <is>
          <t>Root Uptake and Translocation of Perfluorinated Alkyl Acids by Three Hydroponically Grown Crops</t>
        </is>
      </c>
      <c r="BU322" t="inlineStr">
        <is>
          <t>J. Agric. Food Chem.62(15): 3334-3342</t>
        </is>
      </c>
      <c r="BV322" t="n">
        <v>2014.0</v>
      </c>
      <c r="BW322" t="inlineStr">
        <is>
          <t>Felizeter,S., M.S. McLachlan, and P. De Voogt (2014). Root Uptake and Translocation of Perfluorinated Alkyl Acids by Three Hydroponically Grown Crops. J. Agric. Food Chem., 62, (15), 3334-3342. doi:10.1021/jf500674j. ECOREF#:176914</t>
        </is>
      </c>
    </row>
    <row r="323">
      <c r="A323" t="n">
        <v>2795393.0</v>
      </c>
      <c r="B323" t="inlineStr">
        <is>
          <t>1,1,2,2,3,3,4,4,5,5,6,6,7,7,8,8,8-Heptadecafluoro-1-octanesulfonic acid potassium salt</t>
        </is>
      </c>
      <c r="C323"/>
      <c r="D323" t="inlineStr">
        <is>
          <t>Unmeasured</t>
        </is>
      </c>
      <c r="E323" t="inlineStr">
        <is>
          <t>&gt;=</t>
        </is>
      </c>
      <c r="F323" t="n">
        <v>98.0</v>
      </c>
      <c r="G323"/>
      <c r="H323"/>
      <c r="I323"/>
      <c r="J323"/>
      <c r="K323" t="inlineStr">
        <is>
          <t>Cucurbita pepo</t>
        </is>
      </c>
      <c r="L323" t="inlineStr">
        <is>
          <t>Vegetable Marrow</t>
        </is>
      </c>
      <c r="M323" t="inlineStr">
        <is>
          <t>Flowers, Trees, Shrubs, Ferns</t>
        </is>
      </c>
      <c r="N323" t="inlineStr">
        <is>
          <t>Seedling</t>
        </is>
      </c>
      <c r="O323"/>
      <c r="P323" t="n">
        <v>8.0</v>
      </c>
      <c r="Q323"/>
      <c r="R323"/>
      <c r="S323"/>
      <c r="T323"/>
      <c r="U323" t="inlineStr">
        <is>
          <t>Days post planting/sowing</t>
        </is>
      </c>
      <c r="V323" t="inlineStr">
        <is>
          <t>Hydroponic</t>
        </is>
      </c>
      <c r="W323" t="inlineStr">
        <is>
          <t>Culture</t>
        </is>
      </c>
      <c r="X323" t="inlineStr">
        <is>
          <t>Lab</t>
        </is>
      </c>
      <c r="Y323" t="n">
        <v>5.0</v>
      </c>
      <c r="Z323" t="inlineStr">
        <is>
          <t>Active ingredient</t>
        </is>
      </c>
      <c r="AA323"/>
      <c r="AB323"/>
      <c r="AC323"/>
      <c r="AD323" t="n">
        <v>10.0</v>
      </c>
      <c r="AE323"/>
      <c r="AF323" t="n">
        <v>1000.0</v>
      </c>
      <c r="AG323" t="inlineStr">
        <is>
          <t>ng/L</t>
        </is>
      </c>
      <c r="AH323"/>
      <c r="AI323"/>
      <c r="AJ323"/>
      <c r="AK323"/>
      <c r="AL323"/>
      <c r="AM323"/>
      <c r="AN323"/>
      <c r="AO323"/>
      <c r="AP323"/>
      <c r="AQ323"/>
      <c r="AR323"/>
      <c r="AS323"/>
      <c r="AT323"/>
      <c r="AU323"/>
      <c r="AV323"/>
      <c r="AW323"/>
      <c r="AX323" t="inlineStr">
        <is>
          <t>Accumulation</t>
        </is>
      </c>
      <c r="AY323" t="inlineStr">
        <is>
          <t>Residue</t>
        </is>
      </c>
      <c r="AZ323" t="inlineStr">
        <is>
          <t>BCF</t>
        </is>
      </c>
      <c r="BA323"/>
      <c r="BB323"/>
      <c r="BC323"/>
      <c r="BD323" t="n">
        <v>0.1</v>
      </c>
      <c r="BE323"/>
      <c r="BF323" t="n">
        <v>1.0</v>
      </c>
      <c r="BG323"/>
      <c r="BH323"/>
      <c r="BI323" t="inlineStr">
        <is>
          <t>ml/g</t>
        </is>
      </c>
      <c r="BJ323" t="inlineStr">
        <is>
          <t>Edible tissue</t>
        </is>
      </c>
      <c r="BK323"/>
      <c r="BL323"/>
      <c r="BM323"/>
      <c r="BN323" t="n">
        <v>55.0</v>
      </c>
      <c r="BO323"/>
      <c r="BP323" t="n">
        <v>72.0</v>
      </c>
      <c r="BQ323" t="inlineStr">
        <is>
          <t>Day(s)</t>
        </is>
      </c>
      <c r="BR323" t="inlineStr">
        <is>
          <t>Felizeter,S., M.S. McLachlan, and P. De Voogt</t>
        </is>
      </c>
      <c r="BS323" t="n">
        <v>176914.0</v>
      </c>
      <c r="BT323" t="inlineStr">
        <is>
          <t>Root Uptake and Translocation of Perfluorinated Alkyl Acids by Three Hydroponically Grown Crops</t>
        </is>
      </c>
      <c r="BU323" t="inlineStr">
        <is>
          <t>J. Agric. Food Chem.62(15): 3334-3342</t>
        </is>
      </c>
      <c r="BV323" t="n">
        <v>2014.0</v>
      </c>
      <c r="BW323" t="inlineStr">
        <is>
          <t>Felizeter,S., M.S. McLachlan, and P. De Voogt (2014). Root Uptake and Translocation of Perfluorinated Alkyl Acids by Three Hydroponically Grown Crops. J. Agric. Food Chem., 62, (15), 3334-3342. doi:10.1021/jf500674j. ECOREF#:176914</t>
        </is>
      </c>
    </row>
    <row r="324">
      <c r="A324" t="n">
        <v>2795393.0</v>
      </c>
      <c r="B324" t="inlineStr">
        <is>
          <t>1,1,2,2,3,3,4,4,5,5,6,6,7,7,8,8,8-Heptadecafluoro-1-octanesulfonic acid potassium salt</t>
        </is>
      </c>
      <c r="C324"/>
      <c r="D324" t="inlineStr">
        <is>
          <t>Unmeasured</t>
        </is>
      </c>
      <c r="E324" t="inlineStr">
        <is>
          <t>&gt;=</t>
        </is>
      </c>
      <c r="F324" t="n">
        <v>98.0</v>
      </c>
      <c r="G324"/>
      <c r="H324"/>
      <c r="I324"/>
      <c r="J324"/>
      <c r="K324" t="inlineStr">
        <is>
          <t>Cucurbita pepo</t>
        </is>
      </c>
      <c r="L324" t="inlineStr">
        <is>
          <t>Vegetable Marrow</t>
        </is>
      </c>
      <c r="M324" t="inlineStr">
        <is>
          <t>Flowers, Trees, Shrubs, Ferns</t>
        </is>
      </c>
      <c r="N324" t="inlineStr">
        <is>
          <t>Seedling</t>
        </is>
      </c>
      <c r="O324"/>
      <c r="P324" t="n">
        <v>8.0</v>
      </c>
      <c r="Q324"/>
      <c r="R324"/>
      <c r="S324"/>
      <c r="T324"/>
      <c r="U324" t="inlineStr">
        <is>
          <t>Days post planting/sowing</t>
        </is>
      </c>
      <c r="V324" t="inlineStr">
        <is>
          <t>Hydroponic</t>
        </is>
      </c>
      <c r="W324" t="inlineStr">
        <is>
          <t>Culture</t>
        </is>
      </c>
      <c r="X324" t="inlineStr">
        <is>
          <t>Lab</t>
        </is>
      </c>
      <c r="Y324" t="n">
        <v>5.0</v>
      </c>
      <c r="Z324" t="inlineStr">
        <is>
          <t>Active ingredient</t>
        </is>
      </c>
      <c r="AA324"/>
      <c r="AB324"/>
      <c r="AC324"/>
      <c r="AD324" t="n">
        <v>10.0</v>
      </c>
      <c r="AE324"/>
      <c r="AF324" t="n">
        <v>1000.0</v>
      </c>
      <c r="AG324" t="inlineStr">
        <is>
          <t>ng/L</t>
        </is>
      </c>
      <c r="AH324"/>
      <c r="AI324"/>
      <c r="AJ324"/>
      <c r="AK324"/>
      <c r="AL324"/>
      <c r="AM324"/>
      <c r="AN324"/>
      <c r="AO324"/>
      <c r="AP324"/>
      <c r="AQ324"/>
      <c r="AR324"/>
      <c r="AS324"/>
      <c r="AT324"/>
      <c r="AU324"/>
      <c r="AV324"/>
      <c r="AW324"/>
      <c r="AX324" t="inlineStr">
        <is>
          <t>Accumulation</t>
        </is>
      </c>
      <c r="AY324" t="inlineStr">
        <is>
          <t>Residue</t>
        </is>
      </c>
      <c r="AZ324" t="inlineStr">
        <is>
          <t>BCF</t>
        </is>
      </c>
      <c r="BA324"/>
      <c r="BB324"/>
      <c r="BC324"/>
      <c r="BD324" t="n">
        <v>10.0</v>
      </c>
      <c r="BE324"/>
      <c r="BF324" t="n">
        <v>100.0</v>
      </c>
      <c r="BG324"/>
      <c r="BH324"/>
      <c r="BI324" t="inlineStr">
        <is>
          <t>ml/g</t>
        </is>
      </c>
      <c r="BJ324" t="inlineStr">
        <is>
          <t>Root</t>
        </is>
      </c>
      <c r="BK324"/>
      <c r="BL324"/>
      <c r="BM324"/>
      <c r="BN324" t="n">
        <v>55.0</v>
      </c>
      <c r="BO324"/>
      <c r="BP324" t="n">
        <v>72.0</v>
      </c>
      <c r="BQ324" t="inlineStr">
        <is>
          <t>Day(s)</t>
        </is>
      </c>
      <c r="BR324" t="inlineStr">
        <is>
          <t>Felizeter,S., M.S. McLachlan, and P. De Voogt</t>
        </is>
      </c>
      <c r="BS324" t="n">
        <v>176914.0</v>
      </c>
      <c r="BT324" t="inlineStr">
        <is>
          <t>Root Uptake and Translocation of Perfluorinated Alkyl Acids by Three Hydroponically Grown Crops</t>
        </is>
      </c>
      <c r="BU324" t="inlineStr">
        <is>
          <t>J. Agric. Food Chem.62(15): 3334-3342</t>
        </is>
      </c>
      <c r="BV324" t="n">
        <v>2014.0</v>
      </c>
      <c r="BW324" t="inlineStr">
        <is>
          <t>Felizeter,S., M.S. McLachlan, and P. De Voogt (2014). Root Uptake and Translocation of Perfluorinated Alkyl Acids by Three Hydroponically Grown Crops. J. Agric. Food Chem., 62, (15), 3334-3342. doi:10.1021/jf500674j. ECOREF#:176914</t>
        </is>
      </c>
    </row>
    <row r="325">
      <c r="A325" t="n">
        <v>2795393.0</v>
      </c>
      <c r="B325" t="inlineStr">
        <is>
          <t>1,1,2,2,3,3,4,4,5,5,6,6,7,7,8,8,8-Heptadecafluoro-1-octanesulfonic acid potassium salt</t>
        </is>
      </c>
      <c r="C325"/>
      <c r="D325" t="inlineStr">
        <is>
          <t>Unmeasured</t>
        </is>
      </c>
      <c r="E325"/>
      <c r="F325" t="n">
        <v>98.0</v>
      </c>
      <c r="G325"/>
      <c r="H325"/>
      <c r="I325"/>
      <c r="J325"/>
      <c r="K325" t="inlineStr">
        <is>
          <t>Drosophila melanogaster</t>
        </is>
      </c>
      <c r="L325" t="inlineStr">
        <is>
          <t>Fruit Fly</t>
        </is>
      </c>
      <c r="M325" t="inlineStr">
        <is>
          <t>Insects/Spiders</t>
        </is>
      </c>
      <c r="N325" t="inlineStr">
        <is>
          <t>Virgin</t>
        </is>
      </c>
      <c r="O325"/>
      <c r="P325"/>
      <c r="Q325"/>
      <c r="R325" t="n">
        <v>1.0</v>
      </c>
      <c r="S325"/>
      <c r="T325" t="n">
        <v>5.0</v>
      </c>
      <c r="U325" t="inlineStr">
        <is>
          <t>Day(s)</t>
        </is>
      </c>
      <c r="V325" t="inlineStr">
        <is>
          <t>Topical, unspecified</t>
        </is>
      </c>
      <c r="W325" t="inlineStr">
        <is>
          <t>Not reported</t>
        </is>
      </c>
      <c r="X325" t="inlineStr">
        <is>
          <t>Lab</t>
        </is>
      </c>
      <c r="Y325" t="n">
        <v>2.0</v>
      </c>
      <c r="Z325" t="inlineStr">
        <is>
          <t>Active ingredient</t>
        </is>
      </c>
      <c r="AA325"/>
      <c r="AB325" t="n">
        <v>2.0</v>
      </c>
      <c r="AC325"/>
      <c r="AD325"/>
      <c r="AE325"/>
      <c r="AF325"/>
      <c r="AG325" t="inlineStr">
        <is>
          <t>ng/org</t>
        </is>
      </c>
      <c r="AH325"/>
      <c r="AI325"/>
      <c r="AJ325"/>
      <c r="AK325"/>
      <c r="AL325"/>
      <c r="AM325"/>
      <c r="AN325"/>
      <c r="AO325"/>
      <c r="AP325"/>
      <c r="AQ325"/>
      <c r="AR325"/>
      <c r="AS325"/>
      <c r="AT325"/>
      <c r="AU325"/>
      <c r="AV325"/>
      <c r="AW325"/>
      <c r="AX325" t="inlineStr">
        <is>
          <t>Accumulation</t>
        </is>
      </c>
      <c r="AY325" t="inlineStr">
        <is>
          <t>Residue</t>
        </is>
      </c>
      <c r="AZ325"/>
      <c r="BA325"/>
      <c r="BB325" t="n">
        <v>2.0</v>
      </c>
      <c r="BC325"/>
      <c r="BD325"/>
      <c r="BE325"/>
      <c r="BF325"/>
      <c r="BG325"/>
      <c r="BH325"/>
      <c r="BI325" t="inlineStr">
        <is>
          <t>ng/org</t>
        </is>
      </c>
      <c r="BJ325" t="inlineStr">
        <is>
          <t>Egg</t>
        </is>
      </c>
      <c r="BK325"/>
      <c r="BL325"/>
      <c r="BM325"/>
      <c r="BN325" t="n">
        <v>1.0</v>
      </c>
      <c r="BO325"/>
      <c r="BP325" t="n">
        <v>4.0</v>
      </c>
      <c r="BQ325" t="inlineStr">
        <is>
          <t>Day(s)</t>
        </is>
      </c>
      <c r="BR325" t="inlineStr">
        <is>
          <t>Kim,J.H., B. Barbagallo, K. Annunziato, R. Farias-Pereira, J.J. Doherty, J. Lee, J. Zina, C. Tindal, C. Mcvey, R. Aresc</t>
        </is>
      </c>
      <c r="BS325" t="n">
        <v>185958.0</v>
      </c>
      <c r="BT325" t="inlineStr">
        <is>
          <t>Maternal Preconception PFOS Exposure of Drosophila melanogaster Alters Reproductive Capacity, Development, Morphology and Nutrient Regulation</t>
        </is>
      </c>
      <c r="BU325" t="inlineStr">
        <is>
          <t>Food Chem. Toxicol.151:12 p.</t>
        </is>
      </c>
      <c r="BV325" t="n">
        <v>2021.0</v>
      </c>
      <c r="BW325" t="inlineStr">
        <is>
          <t>Kim,J.H., B. Barbagallo, K. Annunziato, R. Farias-Pereira, J.J. Doherty, J. Lee, J. Zina, C. Tindal, C. Mcvey, R. Aresc (2021). Maternal Preconception PFOS Exposure of Drosophila melanogaster Alters Reproductive Capacity, Development, Morphology and Nutrient Regulation. Food Chem. Toxicol., 151, 12 p. doi:10.1016/j.fct.2021.112153. ECOREF#:185958</t>
        </is>
      </c>
    </row>
    <row r="326">
      <c r="A326" t="n">
        <v>2795393.0</v>
      </c>
      <c r="B326" t="inlineStr">
        <is>
          <t>1,1,2,2,3,3,4,4,5,5,6,6,7,7,8,8,8-Heptadecafluoro-1-octanesulfonic acid potassium salt</t>
        </is>
      </c>
      <c r="C326"/>
      <c r="D326" t="inlineStr">
        <is>
          <t>Unmeasured</t>
        </is>
      </c>
      <c r="E326"/>
      <c r="F326" t="n">
        <v>98.0</v>
      </c>
      <c r="G326"/>
      <c r="H326"/>
      <c r="I326"/>
      <c r="J326"/>
      <c r="K326" t="inlineStr">
        <is>
          <t>Drosophila melanogaster</t>
        </is>
      </c>
      <c r="L326" t="inlineStr">
        <is>
          <t>Fruit Fly</t>
        </is>
      </c>
      <c r="M326" t="inlineStr">
        <is>
          <t>Insects/Spiders</t>
        </is>
      </c>
      <c r="N326" t="inlineStr">
        <is>
          <t>Virgin</t>
        </is>
      </c>
      <c r="O326"/>
      <c r="P326"/>
      <c r="Q326"/>
      <c r="R326" t="n">
        <v>1.0</v>
      </c>
      <c r="S326"/>
      <c r="T326" t="n">
        <v>5.0</v>
      </c>
      <c r="U326" t="inlineStr">
        <is>
          <t>Day(s)</t>
        </is>
      </c>
      <c r="V326" t="inlineStr">
        <is>
          <t>Topical, unspecified</t>
        </is>
      </c>
      <c r="W326" t="inlineStr">
        <is>
          <t>Not reported</t>
        </is>
      </c>
      <c r="X326" t="inlineStr">
        <is>
          <t>Lab</t>
        </is>
      </c>
      <c r="Y326" t="n">
        <v>2.0</v>
      </c>
      <c r="Z326" t="inlineStr">
        <is>
          <t>Active ingredient</t>
        </is>
      </c>
      <c r="AA326"/>
      <c r="AB326" t="n">
        <v>2.0</v>
      </c>
      <c r="AC326"/>
      <c r="AD326"/>
      <c r="AE326"/>
      <c r="AF326"/>
      <c r="AG326" t="inlineStr">
        <is>
          <t>ng/org</t>
        </is>
      </c>
      <c r="AH326"/>
      <c r="AI326"/>
      <c r="AJ326"/>
      <c r="AK326"/>
      <c r="AL326"/>
      <c r="AM326"/>
      <c r="AN326"/>
      <c r="AO326"/>
      <c r="AP326"/>
      <c r="AQ326"/>
      <c r="AR326"/>
      <c r="AS326"/>
      <c r="AT326"/>
      <c r="AU326"/>
      <c r="AV326"/>
      <c r="AW326"/>
      <c r="AX326" t="inlineStr">
        <is>
          <t>Accumulation</t>
        </is>
      </c>
      <c r="AY326" t="inlineStr">
        <is>
          <t>Residue</t>
        </is>
      </c>
      <c r="AZ326"/>
      <c r="BA326"/>
      <c r="BB326" t="n">
        <v>2.0</v>
      </c>
      <c r="BC326"/>
      <c r="BD326"/>
      <c r="BE326"/>
      <c r="BF326"/>
      <c r="BG326"/>
      <c r="BH326"/>
      <c r="BI326" t="inlineStr">
        <is>
          <t>ng/org</t>
        </is>
      </c>
      <c r="BJ326" t="inlineStr">
        <is>
          <t>Egg</t>
        </is>
      </c>
      <c r="BK326"/>
      <c r="BL326"/>
      <c r="BM326"/>
      <c r="BN326" t="n">
        <v>1.0</v>
      </c>
      <c r="BO326"/>
      <c r="BP326" t="n">
        <v>4.0</v>
      </c>
      <c r="BQ326" t="inlineStr">
        <is>
          <t>Day(s)</t>
        </is>
      </c>
      <c r="BR326" t="inlineStr">
        <is>
          <t>Kim,J.H., B. Barbagallo, K. Annunziato, R. Farias-Pereira, J.J. Doherty, J. Lee, J. Zina, C. Tindal, C. Mcvey, R. Aresc</t>
        </is>
      </c>
      <c r="BS326" t="n">
        <v>185958.0</v>
      </c>
      <c r="BT326" t="inlineStr">
        <is>
          <t>Maternal Preconception PFOS Exposure of Drosophila melanogaster Alters Reproductive Capacity, Development, Morphology and Nutrient Regulation</t>
        </is>
      </c>
      <c r="BU326" t="inlineStr">
        <is>
          <t>Food Chem. Toxicol.151:12 p.</t>
        </is>
      </c>
      <c r="BV326" t="n">
        <v>2021.0</v>
      </c>
      <c r="BW326" t="inlineStr">
        <is>
          <t>Kim,J.H., B. Barbagallo, K. Annunziato, R. Farias-Pereira, J.J. Doherty, J. Lee, J. Zina, C. Tindal, C. Mcvey, R. Aresc (2021). Maternal Preconception PFOS Exposure of Drosophila melanogaster Alters Reproductive Capacity, Development, Morphology and Nutrient Regulation. Food Chem. Toxicol., 151, 12 p. doi:10.1016/j.fct.2021.112153. ECOREF#:185958</t>
        </is>
      </c>
    </row>
    <row r="327">
      <c r="A327" t="n">
        <v>2795393.0</v>
      </c>
      <c r="B327" t="inlineStr">
        <is>
          <t>1,1,2,2,3,3,4,4,5,5,6,6,7,7,8,8,8-Heptadecafluoro-1-octanesulfonic acid potassium salt</t>
        </is>
      </c>
      <c r="C327"/>
      <c r="D327" t="inlineStr">
        <is>
          <t>Unmeasured</t>
        </is>
      </c>
      <c r="E327"/>
      <c r="F327" t="n">
        <v>98.0</v>
      </c>
      <c r="G327"/>
      <c r="H327"/>
      <c r="I327"/>
      <c r="J327"/>
      <c r="K327" t="inlineStr">
        <is>
          <t>Drosophila melanogaster</t>
        </is>
      </c>
      <c r="L327" t="inlineStr">
        <is>
          <t>Fruit Fly</t>
        </is>
      </c>
      <c r="M327" t="inlineStr">
        <is>
          <t>Insects/Spiders</t>
        </is>
      </c>
      <c r="N327" t="inlineStr">
        <is>
          <t>Virgin</t>
        </is>
      </c>
      <c r="O327"/>
      <c r="P327"/>
      <c r="Q327"/>
      <c r="R327" t="n">
        <v>1.0</v>
      </c>
      <c r="S327"/>
      <c r="T327" t="n">
        <v>5.0</v>
      </c>
      <c r="U327" t="inlineStr">
        <is>
          <t>Day(s)</t>
        </is>
      </c>
      <c r="V327" t="inlineStr">
        <is>
          <t>Topical, unspecified</t>
        </is>
      </c>
      <c r="W327" t="inlineStr">
        <is>
          <t>Not reported</t>
        </is>
      </c>
      <c r="X327" t="inlineStr">
        <is>
          <t>Lab</t>
        </is>
      </c>
      <c r="Y327" t="n">
        <v>2.0</v>
      </c>
      <c r="Z327" t="inlineStr">
        <is>
          <t>Active ingredient</t>
        </is>
      </c>
      <c r="AA327"/>
      <c r="AB327" t="n">
        <v>2.0</v>
      </c>
      <c r="AC327"/>
      <c r="AD327"/>
      <c r="AE327"/>
      <c r="AF327"/>
      <c r="AG327" t="inlineStr">
        <is>
          <t>ng/org</t>
        </is>
      </c>
      <c r="AH327"/>
      <c r="AI327"/>
      <c r="AJ327"/>
      <c r="AK327"/>
      <c r="AL327"/>
      <c r="AM327"/>
      <c r="AN327"/>
      <c r="AO327"/>
      <c r="AP327"/>
      <c r="AQ327"/>
      <c r="AR327"/>
      <c r="AS327"/>
      <c r="AT327"/>
      <c r="AU327"/>
      <c r="AV327"/>
      <c r="AW327"/>
      <c r="AX327" t="inlineStr">
        <is>
          <t>Accumulation</t>
        </is>
      </c>
      <c r="AY327" t="inlineStr">
        <is>
          <t>Residue</t>
        </is>
      </c>
      <c r="AZ327"/>
      <c r="BA327"/>
      <c r="BB327" t="n">
        <v>2.0</v>
      </c>
      <c r="BC327"/>
      <c r="BD327"/>
      <c r="BE327"/>
      <c r="BF327"/>
      <c r="BG327"/>
      <c r="BH327"/>
      <c r="BI327" t="inlineStr">
        <is>
          <t>ng/org</t>
        </is>
      </c>
      <c r="BJ327" t="inlineStr">
        <is>
          <t>Multiple entries</t>
        </is>
      </c>
      <c r="BK327"/>
      <c r="BL327"/>
      <c r="BM327"/>
      <c r="BN327" t="n">
        <v>1.0</v>
      </c>
      <c r="BO327"/>
      <c r="BP327" t="n">
        <v>4.0</v>
      </c>
      <c r="BQ327" t="inlineStr">
        <is>
          <t>Day(s)</t>
        </is>
      </c>
      <c r="BR327" t="inlineStr">
        <is>
          <t>Kim,J.H., B. Barbagallo, K. Annunziato, R. Farias-Pereira, J.J. Doherty, J. Lee, J. Zina, C. Tindal, C. Mcvey, R. Aresc</t>
        </is>
      </c>
      <c r="BS327" t="n">
        <v>185958.0</v>
      </c>
      <c r="BT327" t="inlineStr">
        <is>
          <t>Maternal Preconception PFOS Exposure of Drosophila melanogaster Alters Reproductive Capacity, Development, Morphology and Nutrient Regulation</t>
        </is>
      </c>
      <c r="BU327" t="inlineStr">
        <is>
          <t>Food Chem. Toxicol.151:12 p.</t>
        </is>
      </c>
      <c r="BV327" t="n">
        <v>2021.0</v>
      </c>
      <c r="BW327" t="inlineStr">
        <is>
          <t>Kim,J.H., B. Barbagallo, K. Annunziato, R. Farias-Pereira, J.J. Doherty, J. Lee, J. Zina, C. Tindal, C. Mcvey, R. Aresc (2021). Maternal Preconception PFOS Exposure of Drosophila melanogaster Alters Reproductive Capacity, Development, Morphology and Nutrient Regulation. Food Chem. Toxicol., 151, 12 p. doi:10.1016/j.fct.2021.112153. ECOREF#:185958</t>
        </is>
      </c>
    </row>
    <row r="328">
      <c r="A328" t="n">
        <v>2795393.0</v>
      </c>
      <c r="B328" t="inlineStr">
        <is>
          <t>1,1,2,2,3,3,4,4,5,5,6,6,7,7,8,8,8-Heptadecafluoro-1-octanesulfonic acid potassium salt</t>
        </is>
      </c>
      <c r="C328"/>
      <c r="D328" t="inlineStr">
        <is>
          <t>Measured</t>
        </is>
      </c>
      <c r="E328"/>
      <c r="F328" t="n">
        <v>98.0</v>
      </c>
      <c r="G328"/>
      <c r="H328"/>
      <c r="I328"/>
      <c r="J328"/>
      <c r="K328" t="inlineStr">
        <is>
          <t>Eisenia fetida</t>
        </is>
      </c>
      <c r="L328" t="inlineStr">
        <is>
          <t>Earthworm</t>
        </is>
      </c>
      <c r="M328" t="inlineStr">
        <is>
          <t>Worms; Standard Test Species</t>
        </is>
      </c>
      <c r="N328" t="inlineStr">
        <is>
          <t>Sexually mature</t>
        </is>
      </c>
      <c r="O328"/>
      <c r="P328"/>
      <c r="Q328"/>
      <c r="R328"/>
      <c r="S328"/>
      <c r="T328"/>
      <c r="U328"/>
      <c r="V328" t="inlineStr">
        <is>
          <t>Environmental, unspecified</t>
        </is>
      </c>
      <c r="W328" t="inlineStr">
        <is>
          <t>Artificial soil</t>
        </is>
      </c>
      <c r="X328" t="inlineStr">
        <is>
          <t>Lab</t>
        </is>
      </c>
      <c r="Y328" t="n">
        <v>7.0</v>
      </c>
      <c r="Z328" t="inlineStr">
        <is>
          <t>Active ingredient</t>
        </is>
      </c>
      <c r="AA328"/>
      <c r="AB328"/>
      <c r="AC328"/>
      <c r="AD328" t="n">
        <v>4.36</v>
      </c>
      <c r="AE328"/>
      <c r="AF328" t="n">
        <v>106.21</v>
      </c>
      <c r="AG328" t="inlineStr">
        <is>
          <t>mg/kg dry soil</t>
        </is>
      </c>
      <c r="AH328"/>
      <c r="AI328"/>
      <c r="AJ328"/>
      <c r="AK328"/>
      <c r="AL328"/>
      <c r="AM328"/>
      <c r="AN328"/>
      <c r="AO328"/>
      <c r="AP328"/>
      <c r="AQ328"/>
      <c r="AR328"/>
      <c r="AS328"/>
      <c r="AT328"/>
      <c r="AU328"/>
      <c r="AV328"/>
      <c r="AW328"/>
      <c r="AX328" t="inlineStr">
        <is>
          <t>Accumulation</t>
        </is>
      </c>
      <c r="AY328" t="inlineStr">
        <is>
          <t>Residue</t>
        </is>
      </c>
      <c r="AZ328"/>
      <c r="BA328"/>
      <c r="BB328"/>
      <c r="BC328"/>
      <c r="BD328" t="n">
        <v>4.36</v>
      </c>
      <c r="BE328"/>
      <c r="BF328" t="n">
        <v>106.21</v>
      </c>
      <c r="BG328"/>
      <c r="BH328"/>
      <c r="BI328" t="inlineStr">
        <is>
          <t>mg/kg dry soil</t>
        </is>
      </c>
      <c r="BJ328" t="inlineStr">
        <is>
          <t>Whole organism</t>
        </is>
      </c>
      <c r="BK328"/>
      <c r="BL328" t="n">
        <v>30.0</v>
      </c>
      <c r="BM328"/>
      <c r="BN328"/>
      <c r="BO328"/>
      <c r="BP328"/>
      <c r="BQ328" t="inlineStr">
        <is>
          <t>Day(s)</t>
        </is>
      </c>
      <c r="BR328" t="inlineStr">
        <is>
          <t>Wang,Z., Y. Shi, Z. Zhang, F. Qi, W. Xue, D. Tian, and S. Teng</t>
        </is>
      </c>
      <c r="BS328" t="n">
        <v>191310.0</v>
      </c>
      <c r="BT328" t="inlineStr">
        <is>
          <t>Assessing Joint Toxic Effects of Arsenate and Perfluorooctane Sulfonate on Earthworm by Combining Integrated Biomarker Response and Mixture Toxicity Indices</t>
        </is>
      </c>
      <c r="BU328" t="inlineStr">
        <is>
          <t>Ecol. Indic.144:10 p.</t>
        </is>
      </c>
      <c r="BV328" t="n">
        <v>2022.0</v>
      </c>
      <c r="BW328" t="inlineStr">
        <is>
          <t>Wang,Z., Y. Shi, Z. Zhang, F. Qi, W. Xue, D. Tian, and S. Teng (2022). Assessing Joint Toxic Effects of Arsenate and Perfluorooctane Sulfonate on Earthworm by Combining Integrated Biomarker Response and Mixture Toxicity Indices. Ecol. Indic., 144, 10 p. doi:10.1016/j.ecolind.2022.109521. ECOREF#:191310</t>
        </is>
      </c>
    </row>
    <row r="329">
      <c r="A329" t="n">
        <v>2795393.0</v>
      </c>
      <c r="B329" t="inlineStr">
        <is>
          <t>1,1,2,2,3,3,4,4,5,5,6,6,7,7,8,8,8-Heptadecafluoro-1-octanesulfonic acid potassium salt</t>
        </is>
      </c>
      <c r="C329"/>
      <c r="D329" t="inlineStr">
        <is>
          <t>Measured</t>
        </is>
      </c>
      <c r="E329"/>
      <c r="F329" t="n">
        <v>86.9</v>
      </c>
      <c r="G329"/>
      <c r="H329"/>
      <c r="I329"/>
      <c r="J329"/>
      <c r="K329" t="inlineStr">
        <is>
          <t>Eisenia fetida</t>
        </is>
      </c>
      <c r="L329" t="inlineStr">
        <is>
          <t>Earthworm</t>
        </is>
      </c>
      <c r="M329" t="inlineStr">
        <is>
          <t>Worms; Standard Test Species</t>
        </is>
      </c>
      <c r="N329" t="inlineStr">
        <is>
          <t>Adult</t>
        </is>
      </c>
      <c r="O329"/>
      <c r="P329"/>
      <c r="Q329"/>
      <c r="R329"/>
      <c r="S329"/>
      <c r="T329"/>
      <c r="U329"/>
      <c r="V329" t="inlineStr">
        <is>
          <t>Environmental, unspecified</t>
        </is>
      </c>
      <c r="W329" t="inlineStr">
        <is>
          <t>Artificial soil</t>
        </is>
      </c>
      <c r="X329" t="inlineStr">
        <is>
          <t>Lab</t>
        </is>
      </c>
      <c r="Y329" t="n">
        <v>6.0</v>
      </c>
      <c r="Z329" t="inlineStr">
        <is>
          <t>Active ingredient</t>
        </is>
      </c>
      <c r="AA329"/>
      <c r="AB329"/>
      <c r="AC329"/>
      <c r="AD329" t="n">
        <v>77.0</v>
      </c>
      <c r="AE329"/>
      <c r="AF329" t="n">
        <v>289.0</v>
      </c>
      <c r="AG329" t="inlineStr">
        <is>
          <t>AI mg/kg dry soil</t>
        </is>
      </c>
      <c r="AH329"/>
      <c r="AI329"/>
      <c r="AJ329"/>
      <c r="AK329"/>
      <c r="AL329"/>
      <c r="AM329"/>
      <c r="AN329"/>
      <c r="AO329"/>
      <c r="AP329"/>
      <c r="AQ329"/>
      <c r="AR329"/>
      <c r="AS329"/>
      <c r="AT329"/>
      <c r="AU329"/>
      <c r="AV329"/>
      <c r="AW329"/>
      <c r="AX329" t="inlineStr">
        <is>
          <t>Accumulation</t>
        </is>
      </c>
      <c r="AY329" t="inlineStr">
        <is>
          <t>Residue</t>
        </is>
      </c>
      <c r="AZ329"/>
      <c r="BA329"/>
      <c r="BB329"/>
      <c r="BC329"/>
      <c r="BD329" t="n">
        <v>77.0</v>
      </c>
      <c r="BE329"/>
      <c r="BF329" t="n">
        <v>289.0</v>
      </c>
      <c r="BG329"/>
      <c r="BH329"/>
      <c r="BI329" t="inlineStr">
        <is>
          <t>AI mg/kg dry soil</t>
        </is>
      </c>
      <c r="BJ329" t="inlineStr">
        <is>
          <t>Whole organism</t>
        </is>
      </c>
      <c r="BK329"/>
      <c r="BL329" t="n">
        <v>14.0</v>
      </c>
      <c r="BM329"/>
      <c r="BN329"/>
      <c r="BO329"/>
      <c r="BP329"/>
      <c r="BQ329" t="inlineStr">
        <is>
          <t>Day(s)</t>
        </is>
      </c>
      <c r="BR329" t="inlineStr">
        <is>
          <t>Sindermann,A.B., J.R. Porch, H.O. Krueger, and R.L. Van Hoven</t>
        </is>
      </c>
      <c r="BS329" t="n">
        <v>177116.0</v>
      </c>
      <c r="BT329" t="inlineStr">
        <is>
          <t>PFOS:  An Acute Toxicity Study with the Earthworm in an Artificial Soil Substrate</t>
        </is>
      </c>
      <c r="BU329" t="inlineStr">
        <is>
          <t>Project 454-111, Widlife International Ltd., Easton, MD:58 p.</t>
        </is>
      </c>
      <c r="BV329" t="n">
        <v>2002.0</v>
      </c>
      <c r="BW329" t="inlineStr">
        <is>
          <t>Sindermann,A.B., J.R. Porch, H.O. Krueger, and R.L. Van Hoven (2002). PFOS:  An Acute Toxicity Study with the Earthworm in an Artificial Soil Substrate. Project 454-111, Widlife International Ltd., Easton, MD, 58 p. ECOREF#:177116</t>
        </is>
      </c>
    </row>
    <row r="330">
      <c r="A330" t="n">
        <v>2795393.0</v>
      </c>
      <c r="B330" t="inlineStr">
        <is>
          <t>1,1,2,2,3,3,4,4,5,5,6,6,7,7,8,8,8-Heptadecafluoro-1-octanesulfonic acid potassium salt</t>
        </is>
      </c>
      <c r="C330"/>
      <c r="D330" t="inlineStr">
        <is>
          <t>Unmeasured</t>
        </is>
      </c>
      <c r="E330"/>
      <c r="F330" t="n">
        <v>98.0</v>
      </c>
      <c r="G330"/>
      <c r="H330"/>
      <c r="I330"/>
      <c r="J330"/>
      <c r="K330" t="inlineStr">
        <is>
          <t>Gallus gallus</t>
        </is>
      </c>
      <c r="L330" t="inlineStr">
        <is>
          <t>Chicken</t>
        </is>
      </c>
      <c r="M330" t="inlineStr">
        <is>
          <t>Birds; Standard Test Species</t>
        </is>
      </c>
      <c r="N330" t="inlineStr">
        <is>
          <t>Egg</t>
        </is>
      </c>
      <c r="O330"/>
      <c r="P330" t="n">
        <v>4.0</v>
      </c>
      <c r="Q330"/>
      <c r="R330"/>
      <c r="S330"/>
      <c r="T330"/>
      <c r="U330" t="inlineStr">
        <is>
          <t>Days post egg laying</t>
        </is>
      </c>
      <c r="V330" t="inlineStr">
        <is>
          <t>Air sac injection</t>
        </is>
      </c>
      <c r="W330" t="inlineStr">
        <is>
          <t>Not reported</t>
        </is>
      </c>
      <c r="X330" t="inlineStr">
        <is>
          <t>Lab</t>
        </is>
      </c>
      <c r="Y330" t="n">
        <v>6.0</v>
      </c>
      <c r="Z330" t="inlineStr">
        <is>
          <t>Active ingredient</t>
        </is>
      </c>
      <c r="AA330"/>
      <c r="AB330" t="n">
        <v>3.0</v>
      </c>
      <c r="AC330"/>
      <c r="AD330"/>
      <c r="AE330"/>
      <c r="AF330"/>
      <c r="AG330" t="inlineStr">
        <is>
          <t>ug/g egg</t>
        </is>
      </c>
      <c r="AH330"/>
      <c r="AI330"/>
      <c r="AJ330"/>
      <c r="AK330"/>
      <c r="AL330"/>
      <c r="AM330"/>
      <c r="AN330"/>
      <c r="AO330"/>
      <c r="AP330"/>
      <c r="AQ330"/>
      <c r="AR330"/>
      <c r="AS330"/>
      <c r="AT330"/>
      <c r="AU330"/>
      <c r="AV330"/>
      <c r="AW330"/>
      <c r="AX330" t="inlineStr">
        <is>
          <t>Accumulation</t>
        </is>
      </c>
      <c r="AY330" t="inlineStr">
        <is>
          <t>Residue</t>
        </is>
      </c>
      <c r="AZ330" t="inlineStr">
        <is>
          <t>BCF</t>
        </is>
      </c>
      <c r="BA330"/>
      <c r="BB330" t="n">
        <v>0.96</v>
      </c>
      <c r="BC330"/>
      <c r="BD330"/>
      <c r="BE330"/>
      <c r="BF330"/>
      <c r="BG330"/>
      <c r="BH330"/>
      <c r="BI330" t="inlineStr">
        <is>
          <t>RA</t>
        </is>
      </c>
      <c r="BJ330" t="inlineStr">
        <is>
          <t>Liver</t>
        </is>
      </c>
      <c r="BK330"/>
      <c r="BL330" t="n">
        <v>15.0</v>
      </c>
      <c r="BM330"/>
      <c r="BN330"/>
      <c r="BO330"/>
      <c r="BP330"/>
      <c r="BQ330" t="inlineStr">
        <is>
          <t>Day(s)</t>
        </is>
      </c>
      <c r="BR330" t="inlineStr">
        <is>
          <t>Norden,M., U. Berger, and M. Engwall</t>
        </is>
      </c>
      <c r="BS330" t="n">
        <v>177082.0</v>
      </c>
      <c r="BT330" t="inlineStr">
        <is>
          <t>Developmental Toxicity of PFOS and PFOA in Great Cormorant (Phalacrocorax carbo sinensis), Herring Gull (Larus argentatus) and Chicken (Gallus gallus domesticus)</t>
        </is>
      </c>
      <c r="BU330" t="inlineStr">
        <is>
          <t>Environ. Sci. Pollut. Res. Int.23(11): 10855-10862</t>
        </is>
      </c>
      <c r="BV330" t="n">
        <v>2016.0</v>
      </c>
      <c r="BW330"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31">
      <c r="A331" t="n">
        <v>2795393.0</v>
      </c>
      <c r="B331" t="inlineStr">
        <is>
          <t>1,1,2,2,3,3,4,4,5,5,6,6,7,7,8,8,8-Heptadecafluoro-1-octanesulfonic acid potassium salt</t>
        </is>
      </c>
      <c r="C331"/>
      <c r="D331" t="inlineStr">
        <is>
          <t>Unmeasured</t>
        </is>
      </c>
      <c r="E331"/>
      <c r="F331" t="n">
        <v>98.0</v>
      </c>
      <c r="G331"/>
      <c r="H331"/>
      <c r="I331"/>
      <c r="J331"/>
      <c r="K331" t="inlineStr">
        <is>
          <t>Gallus gallus</t>
        </is>
      </c>
      <c r="L331" t="inlineStr">
        <is>
          <t>Chicken</t>
        </is>
      </c>
      <c r="M331" t="inlineStr">
        <is>
          <t>Birds; Standard Test Species</t>
        </is>
      </c>
      <c r="N331" t="inlineStr">
        <is>
          <t>Egg</t>
        </is>
      </c>
      <c r="O331"/>
      <c r="P331" t="n">
        <v>4.0</v>
      </c>
      <c r="Q331"/>
      <c r="R331"/>
      <c r="S331"/>
      <c r="T331"/>
      <c r="U331" t="inlineStr">
        <is>
          <t>Days post egg laying</t>
        </is>
      </c>
      <c r="V331" t="inlineStr">
        <is>
          <t>Air sac injection</t>
        </is>
      </c>
      <c r="W331" t="inlineStr">
        <is>
          <t>Not reported</t>
        </is>
      </c>
      <c r="X331" t="inlineStr">
        <is>
          <t>Lab</t>
        </is>
      </c>
      <c r="Y331" t="n">
        <v>6.0</v>
      </c>
      <c r="Z331" t="inlineStr">
        <is>
          <t>Active ingredient</t>
        </is>
      </c>
      <c r="AA331"/>
      <c r="AB331" t="n">
        <v>10.0</v>
      </c>
      <c r="AC331"/>
      <c r="AD331"/>
      <c r="AE331"/>
      <c r="AF331"/>
      <c r="AG331" t="inlineStr">
        <is>
          <t>ug/g egg</t>
        </is>
      </c>
      <c r="AH331"/>
      <c r="AI331"/>
      <c r="AJ331"/>
      <c r="AK331"/>
      <c r="AL331"/>
      <c r="AM331"/>
      <c r="AN331"/>
      <c r="AO331"/>
      <c r="AP331"/>
      <c r="AQ331"/>
      <c r="AR331"/>
      <c r="AS331"/>
      <c r="AT331"/>
      <c r="AU331"/>
      <c r="AV331"/>
      <c r="AW331"/>
      <c r="AX331" t="inlineStr">
        <is>
          <t>Accumulation</t>
        </is>
      </c>
      <c r="AY331" t="inlineStr">
        <is>
          <t>Residue</t>
        </is>
      </c>
      <c r="AZ331" t="inlineStr">
        <is>
          <t>BCF</t>
        </is>
      </c>
      <c r="BA331"/>
      <c r="BB331" t="n">
        <v>0.82</v>
      </c>
      <c r="BC331"/>
      <c r="BD331"/>
      <c r="BE331"/>
      <c r="BF331"/>
      <c r="BG331"/>
      <c r="BH331"/>
      <c r="BI331" t="inlineStr">
        <is>
          <t>RA</t>
        </is>
      </c>
      <c r="BJ331" t="inlineStr">
        <is>
          <t>Liver</t>
        </is>
      </c>
      <c r="BK331"/>
      <c r="BL331" t="n">
        <v>15.0</v>
      </c>
      <c r="BM331"/>
      <c r="BN331"/>
      <c r="BO331"/>
      <c r="BP331"/>
      <c r="BQ331" t="inlineStr">
        <is>
          <t>Day(s)</t>
        </is>
      </c>
      <c r="BR331" t="inlineStr">
        <is>
          <t>Norden,M., U. Berger, and M. Engwall</t>
        </is>
      </c>
      <c r="BS331" t="n">
        <v>177082.0</v>
      </c>
      <c r="BT331" t="inlineStr">
        <is>
          <t>Developmental Toxicity of PFOS and PFOA in Great Cormorant (Phalacrocorax carbo sinensis), Herring Gull (Larus argentatus) and Chicken (Gallus gallus domesticus)</t>
        </is>
      </c>
      <c r="BU331" t="inlineStr">
        <is>
          <t>Environ. Sci. Pollut. Res. Int.23(11): 10855-10862</t>
        </is>
      </c>
      <c r="BV331" t="n">
        <v>2016.0</v>
      </c>
      <c r="BW331"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32">
      <c r="A332" t="n">
        <v>2795393.0</v>
      </c>
      <c r="B332" t="inlineStr">
        <is>
          <t>1,1,2,2,3,3,4,4,5,5,6,6,7,7,8,8,8-Heptadecafluoro-1-octanesulfonic acid potassium salt</t>
        </is>
      </c>
      <c r="C332"/>
      <c r="D332" t="inlineStr">
        <is>
          <t>Unmeasured</t>
        </is>
      </c>
      <c r="E332"/>
      <c r="F332" t="n">
        <v>98.0</v>
      </c>
      <c r="G332"/>
      <c r="H332"/>
      <c r="I332"/>
      <c r="J332"/>
      <c r="K332" t="inlineStr">
        <is>
          <t>Gallus gallus</t>
        </is>
      </c>
      <c r="L332" t="inlineStr">
        <is>
          <t>Chicken</t>
        </is>
      </c>
      <c r="M332" t="inlineStr">
        <is>
          <t>Birds; Standard Test Species</t>
        </is>
      </c>
      <c r="N332" t="inlineStr">
        <is>
          <t>Egg</t>
        </is>
      </c>
      <c r="O332"/>
      <c r="P332" t="n">
        <v>4.0</v>
      </c>
      <c r="Q332"/>
      <c r="R332"/>
      <c r="S332"/>
      <c r="T332"/>
      <c r="U332" t="inlineStr">
        <is>
          <t>Days post egg laying</t>
        </is>
      </c>
      <c r="V332" t="inlineStr">
        <is>
          <t>Air sac injection</t>
        </is>
      </c>
      <c r="W332" t="inlineStr">
        <is>
          <t>Not reported</t>
        </is>
      </c>
      <c r="X332" t="inlineStr">
        <is>
          <t>Lab</t>
        </is>
      </c>
      <c r="Y332" t="n">
        <v>6.0</v>
      </c>
      <c r="Z332" t="inlineStr">
        <is>
          <t>Active ingredient</t>
        </is>
      </c>
      <c r="AA332"/>
      <c r="AB332"/>
      <c r="AC332"/>
      <c r="AD332" t="n">
        <v>3.0</v>
      </c>
      <c r="AE332"/>
      <c r="AF332" t="n">
        <v>10.0</v>
      </c>
      <c r="AG332" t="inlineStr">
        <is>
          <t>ug/g egg</t>
        </is>
      </c>
      <c r="AH332"/>
      <c r="AI332"/>
      <c r="AJ332"/>
      <c r="AK332"/>
      <c r="AL332"/>
      <c r="AM332"/>
      <c r="AN332"/>
      <c r="AO332"/>
      <c r="AP332"/>
      <c r="AQ332"/>
      <c r="AR332"/>
      <c r="AS332"/>
      <c r="AT332"/>
      <c r="AU332"/>
      <c r="AV332"/>
      <c r="AW332"/>
      <c r="AX332" t="inlineStr">
        <is>
          <t>Accumulation</t>
        </is>
      </c>
      <c r="AY332" t="inlineStr">
        <is>
          <t>Residue</t>
        </is>
      </c>
      <c r="AZ332"/>
      <c r="BA332"/>
      <c r="BB332"/>
      <c r="BC332"/>
      <c r="BD332" t="n">
        <v>3.0</v>
      </c>
      <c r="BE332"/>
      <c r="BF332" t="n">
        <v>10.0</v>
      </c>
      <c r="BG332"/>
      <c r="BH332"/>
      <c r="BI332" t="inlineStr">
        <is>
          <t>ug/g egg</t>
        </is>
      </c>
      <c r="BJ332" t="inlineStr">
        <is>
          <t>Liver</t>
        </is>
      </c>
      <c r="BK332"/>
      <c r="BL332" t="n">
        <v>15.0</v>
      </c>
      <c r="BM332"/>
      <c r="BN332"/>
      <c r="BO332"/>
      <c r="BP332"/>
      <c r="BQ332" t="inlineStr">
        <is>
          <t>Day(s)</t>
        </is>
      </c>
      <c r="BR332" t="inlineStr">
        <is>
          <t>Norden,M., U. Berger, and M. Engwall</t>
        </is>
      </c>
      <c r="BS332" t="n">
        <v>177082.0</v>
      </c>
      <c r="BT332" t="inlineStr">
        <is>
          <t>Developmental Toxicity of PFOS and PFOA in Great Cormorant (Phalacrocorax carbo sinensis), Herring Gull (Larus argentatus) and Chicken (Gallus gallus domesticus)</t>
        </is>
      </c>
      <c r="BU332" t="inlineStr">
        <is>
          <t>Environ. Sci. Pollut. Res. Int.23(11): 10855-10862</t>
        </is>
      </c>
      <c r="BV332" t="n">
        <v>2016.0</v>
      </c>
      <c r="BW332"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33">
      <c r="A333" t="n">
        <v>2795393.0</v>
      </c>
      <c r="B333" t="inlineStr">
        <is>
          <t>1,1,2,2,3,3,4,4,5,5,6,6,7,7,8,8,8-Heptadecafluoro-1-octanesulfonic acid potassium salt</t>
        </is>
      </c>
      <c r="C333"/>
      <c r="D333" t="inlineStr">
        <is>
          <t>Unmeasured</t>
        </is>
      </c>
      <c r="E333" t="inlineStr">
        <is>
          <t>&gt;</t>
        </is>
      </c>
      <c r="F333" t="n">
        <v>98.0</v>
      </c>
      <c r="G333"/>
      <c r="H333"/>
      <c r="I333"/>
      <c r="J333"/>
      <c r="K333" t="inlineStr">
        <is>
          <t>Gallus gallus</t>
        </is>
      </c>
      <c r="L333" t="inlineStr">
        <is>
          <t>Chicken</t>
        </is>
      </c>
      <c r="M333" t="inlineStr">
        <is>
          <t>Birds; Standard Test Species</t>
        </is>
      </c>
      <c r="N333" t="inlineStr">
        <is>
          <t>Egg</t>
        </is>
      </c>
      <c r="O333"/>
      <c r="P333"/>
      <c r="Q333"/>
      <c r="R333"/>
      <c r="S333"/>
      <c r="T333"/>
      <c r="U333"/>
      <c r="V333" t="inlineStr">
        <is>
          <t>Air sac injection</t>
        </is>
      </c>
      <c r="W333" t="inlineStr">
        <is>
          <t>No substrate</t>
        </is>
      </c>
      <c r="X333" t="inlineStr">
        <is>
          <t>Lab</t>
        </is>
      </c>
      <c r="Y333" t="n">
        <v>4.0</v>
      </c>
      <c r="Z333" t="inlineStr">
        <is>
          <t>Active ingredient</t>
        </is>
      </c>
      <c r="AA333"/>
      <c r="AB333"/>
      <c r="AC333"/>
      <c r="AD333" t="n">
        <v>0.93</v>
      </c>
      <c r="AE333"/>
      <c r="AF333" t="n">
        <v>4.6</v>
      </c>
      <c r="AG333" t="inlineStr">
        <is>
          <t>AI mg/kg egg wt</t>
        </is>
      </c>
      <c r="AH333"/>
      <c r="AI333"/>
      <c r="AJ333"/>
      <c r="AK333"/>
      <c r="AL333"/>
      <c r="AM333"/>
      <c r="AN333"/>
      <c r="AO333"/>
      <c r="AP333"/>
      <c r="AQ333"/>
      <c r="AR333"/>
      <c r="AS333"/>
      <c r="AT333"/>
      <c r="AU333"/>
      <c r="AV333"/>
      <c r="AW333"/>
      <c r="AX333" t="inlineStr">
        <is>
          <t>Accumulation</t>
        </is>
      </c>
      <c r="AY333" t="inlineStr">
        <is>
          <t>Residue</t>
        </is>
      </c>
      <c r="AZ333"/>
      <c r="BA333"/>
      <c r="BB333"/>
      <c r="BC333"/>
      <c r="BD333" t="n">
        <v>0.93</v>
      </c>
      <c r="BE333"/>
      <c r="BF333" t="n">
        <v>4.6</v>
      </c>
      <c r="BG333"/>
      <c r="BH333"/>
      <c r="BI333" t="inlineStr">
        <is>
          <t>AI mg/kg egg wt</t>
        </is>
      </c>
      <c r="BJ333" t="inlineStr">
        <is>
          <t>Serum</t>
        </is>
      </c>
      <c r="BK333"/>
      <c r="BL333" t="n">
        <v>35.0</v>
      </c>
      <c r="BM333"/>
      <c r="BN333"/>
      <c r="BO333"/>
      <c r="BP333"/>
      <c r="BQ333" t="inlineStr">
        <is>
          <t>Day(s)</t>
        </is>
      </c>
      <c r="BR333" t="inlineStr">
        <is>
          <t>Peden-Adams,M.M., J.E. Stuckey, K.M. Gaworecki, J. Berger-Ritchie, K. Bryant, P.G. Jodice, T.R. Scott, J.B. Ferrario, B</t>
        </is>
      </c>
      <c r="BS333" t="n">
        <v>175714.0</v>
      </c>
      <c r="BT333" t="inlineStr">
        <is>
          <t>Developmental Toxicity in White Leghorn Chickens Following In Ovo Exposure to Perfluorooctane Sulfonate (PFOS)</t>
        </is>
      </c>
      <c r="BU333" t="inlineStr">
        <is>
          <t>Reprod. Toxicol.27(3/4): 307-318</t>
        </is>
      </c>
      <c r="BV333" t="n">
        <v>2009.0</v>
      </c>
      <c r="BW333" t="inlineStr">
        <is>
          <t>Peden-Adams,M.M., J.E. Stuckey, K.M. Gaworecki, J. Berger-Ritchie, K. Bryant, P.G. Jodice, T.R. Scott, J.B. Ferrario, B (2009). Developmental Toxicity in White Leghorn Chickens Following In Ovo Exposure to Perfluorooctane Sulfonate (PFOS). Reprod. Toxicol., 27, (3/4), 307-318. doi:10.1016/j.reprotox.2008.10.009. ECOREF#:175714</t>
        </is>
      </c>
    </row>
    <row r="334">
      <c r="A334" t="n">
        <v>2795393.0</v>
      </c>
      <c r="B334" t="inlineStr">
        <is>
          <t>1,1,2,2,3,3,4,4,5,5,6,6,7,7,8,8,8-Heptadecafluoro-1-octanesulfonic acid potassium salt</t>
        </is>
      </c>
      <c r="C334"/>
      <c r="D334" t="inlineStr">
        <is>
          <t>Unmeasured</t>
        </is>
      </c>
      <c r="E334" t="inlineStr">
        <is>
          <t>&gt;</t>
        </is>
      </c>
      <c r="F334" t="n">
        <v>98.0</v>
      </c>
      <c r="G334"/>
      <c r="H334"/>
      <c r="I334"/>
      <c r="J334"/>
      <c r="K334" t="inlineStr">
        <is>
          <t>Gallus gallus</t>
        </is>
      </c>
      <c r="L334" t="inlineStr">
        <is>
          <t>Chicken</t>
        </is>
      </c>
      <c r="M334" t="inlineStr">
        <is>
          <t>Birds; Standard Test Species</t>
        </is>
      </c>
      <c r="N334"/>
      <c r="O334"/>
      <c r="P334" t="n">
        <v>6.0</v>
      </c>
      <c r="Q334"/>
      <c r="R334"/>
      <c r="S334"/>
      <c r="T334"/>
      <c r="U334" t="inlineStr">
        <is>
          <t>Week(s)</t>
        </is>
      </c>
      <c r="V334" t="inlineStr">
        <is>
          <t>Osmotic pump</t>
        </is>
      </c>
      <c r="W334" t="inlineStr">
        <is>
          <t>No substrate</t>
        </is>
      </c>
      <c r="X334" t="inlineStr">
        <is>
          <t>Lab</t>
        </is>
      </c>
      <c r="Y334" t="n">
        <v>3.0</v>
      </c>
      <c r="Z334" t="inlineStr">
        <is>
          <t>Active ingredient</t>
        </is>
      </c>
      <c r="AA334"/>
      <c r="AB334"/>
      <c r="AC334"/>
      <c r="AD334" t="n">
        <v>0.02</v>
      </c>
      <c r="AE334"/>
      <c r="AF334" t="n">
        <v>0.1</v>
      </c>
      <c r="AG334" t="inlineStr">
        <is>
          <t>mg/ml</t>
        </is>
      </c>
      <c r="AH334"/>
      <c r="AI334"/>
      <c r="AJ334"/>
      <c r="AK334"/>
      <c r="AL334"/>
      <c r="AM334"/>
      <c r="AN334"/>
      <c r="AO334"/>
      <c r="AP334"/>
      <c r="AQ334"/>
      <c r="AR334"/>
      <c r="AS334"/>
      <c r="AT334"/>
      <c r="AU334"/>
      <c r="AV334"/>
      <c r="AW334"/>
      <c r="AX334" t="inlineStr">
        <is>
          <t>Accumulation</t>
        </is>
      </c>
      <c r="AY334" t="inlineStr">
        <is>
          <t>Residue</t>
        </is>
      </c>
      <c r="AZ334"/>
      <c r="BA334"/>
      <c r="BB334"/>
      <c r="BC334"/>
      <c r="BD334" t="n">
        <v>0.02</v>
      </c>
      <c r="BE334"/>
      <c r="BF334" t="n">
        <v>0.1</v>
      </c>
      <c r="BG334"/>
      <c r="BH334"/>
      <c r="BI334" t="inlineStr">
        <is>
          <t>mg/ml</t>
        </is>
      </c>
      <c r="BJ334" t="inlineStr">
        <is>
          <t>Multiple entries</t>
        </is>
      </c>
      <c r="BK334"/>
      <c r="BL334" t="n">
        <v>56.0</v>
      </c>
      <c r="BM334"/>
      <c r="BN334"/>
      <c r="BO334"/>
      <c r="BP334"/>
      <c r="BQ334" t="inlineStr">
        <is>
          <t>Day(s)</t>
        </is>
      </c>
      <c r="BR334" t="inlineStr">
        <is>
          <t>Yoo,H., K.S. Guruge, N. Yamanaka, C. Sato, O. Mikami, S. Miyazaki, N. Yamashita, and J.P. Giesy</t>
        </is>
      </c>
      <c r="BS334" t="n">
        <v>112078.0</v>
      </c>
      <c r="BT334" t="inlineStr">
        <is>
          <t>Depuration Kinetics and Tissue Disposition of PFOA and PFOS in White Leghorn Chickens (Gallus gallus) Administered by Subcutaneous Implantation</t>
        </is>
      </c>
      <c r="BU334" t="inlineStr">
        <is>
          <t>Ecotoxicol. Environ. Saf.72(1): 26-36</t>
        </is>
      </c>
      <c r="BV334" t="n">
        <v>2009.0</v>
      </c>
      <c r="BW334" t="inlineStr">
        <is>
          <t>Yoo,H., K.S. Guruge, N. Yamanaka, C. Sato, O. Mikami, S. Miyazaki, N. Yamashita, and J.P. Giesy (2009). Depuration Kinetics and Tissue Disposition of PFOA and PFOS in White Leghorn Chickens (Gallus gallus) Administered by Subcutaneous Implantation. Ecotoxicol. Environ. Saf., 72, (1), 26-36. doi:10.1016/j.ecoenv.2007.09.007. ECOREF#:112078</t>
        </is>
      </c>
    </row>
    <row r="335">
      <c r="A335" t="n">
        <v>2795393.0</v>
      </c>
      <c r="B335" t="inlineStr">
        <is>
          <t>1,1,2,2,3,3,4,4,5,5,6,6,7,7,8,8,8-Heptadecafluoro-1-octanesulfonic acid potassium salt</t>
        </is>
      </c>
      <c r="C335"/>
      <c r="D335" t="inlineStr">
        <is>
          <t>Measured</t>
        </is>
      </c>
      <c r="E335"/>
      <c r="F335" t="n">
        <v>90.0</v>
      </c>
      <c r="G335"/>
      <c r="H335"/>
      <c r="I335"/>
      <c r="J335"/>
      <c r="K335" t="inlineStr">
        <is>
          <t>Gallus gallus</t>
        </is>
      </c>
      <c r="L335" t="inlineStr">
        <is>
          <t>Chicken</t>
        </is>
      </c>
      <c r="M335" t="inlineStr">
        <is>
          <t>Birds; Standard Test Species</t>
        </is>
      </c>
      <c r="N335" t="inlineStr">
        <is>
          <t>Egg</t>
        </is>
      </c>
      <c r="O335"/>
      <c r="P335" t="n">
        <v>0.0</v>
      </c>
      <c r="Q335"/>
      <c r="R335"/>
      <c r="S335"/>
      <c r="T335"/>
      <c r="U335" t="inlineStr">
        <is>
          <t>Day(s)</t>
        </is>
      </c>
      <c r="V335" t="inlineStr">
        <is>
          <t>Yolk</t>
        </is>
      </c>
      <c r="W335" t="inlineStr">
        <is>
          <t>No substrate</t>
        </is>
      </c>
      <c r="X335" t="inlineStr">
        <is>
          <t>Lab</t>
        </is>
      </c>
      <c r="Y335" t="n">
        <v>5.0</v>
      </c>
      <c r="Z335" t="inlineStr">
        <is>
          <t>Active ingredient</t>
        </is>
      </c>
      <c r="AA335"/>
      <c r="AB335"/>
      <c r="AC335"/>
      <c r="AD335" t="n">
        <v>14.0</v>
      </c>
      <c r="AE335"/>
      <c r="AF335" t="n">
        <v>208.0</v>
      </c>
      <c r="AG335" t="inlineStr">
        <is>
          <t>ng/ml</t>
        </is>
      </c>
      <c r="AH335"/>
      <c r="AI335"/>
      <c r="AJ335"/>
      <c r="AK335"/>
      <c r="AL335"/>
      <c r="AM335"/>
      <c r="AN335"/>
      <c r="AO335"/>
      <c r="AP335"/>
      <c r="AQ335"/>
      <c r="AR335"/>
      <c r="AS335"/>
      <c r="AT335"/>
      <c r="AU335"/>
      <c r="AV335"/>
      <c r="AW335"/>
      <c r="AX335" t="inlineStr">
        <is>
          <t>Accumulation</t>
        </is>
      </c>
      <c r="AY335" t="inlineStr">
        <is>
          <t>Residue</t>
        </is>
      </c>
      <c r="AZ335"/>
      <c r="BA335"/>
      <c r="BB335"/>
      <c r="BC335"/>
      <c r="BD335" t="n">
        <v>14.0</v>
      </c>
      <c r="BE335"/>
      <c r="BF335" t="n">
        <v>208.0</v>
      </c>
      <c r="BG335"/>
      <c r="BH335"/>
      <c r="BI335" t="inlineStr">
        <is>
          <t>ng/ml</t>
        </is>
      </c>
      <c r="BJ335" t="inlineStr">
        <is>
          <t>Liver</t>
        </is>
      </c>
      <c r="BK335"/>
      <c r="BL335" t="n">
        <v>20.0</v>
      </c>
      <c r="BM335"/>
      <c r="BN335"/>
      <c r="BO335"/>
      <c r="BP335"/>
      <c r="BQ335" t="inlineStr">
        <is>
          <t>Day(s)</t>
        </is>
      </c>
      <c r="BR335" t="inlineStr">
        <is>
          <t>Briels,N., T.M. Ciesielski, D. Herzke, and V.L.B. Jaspers</t>
        </is>
      </c>
      <c r="BS335" t="n">
        <v>179630.0</v>
      </c>
      <c r="BT335" t="inlineStr">
        <is>
          <t>Developmental Toxicity of Perfluorooctanesulfonate (PFOS) and Its Chlorinated Polyfluoroalkyl Ether Sulfonate Alternative F-53B in the Domestic Chicken</t>
        </is>
      </c>
      <c r="BU335" t="inlineStr">
        <is>
          <t>Environ. Sci. Technol.52(21): 12859-12867</t>
        </is>
      </c>
      <c r="BV335" t="n">
        <v>2018.0</v>
      </c>
      <c r="BW335" t="inlineStr">
        <is>
          <t>Briels,N., T.M. Ciesielski, D. Herzke, and V.L.B. Jaspers (2018). Developmental Toxicity of Perfluorooctanesulfonate (PFOS) and Its Chlorinated Polyfluoroalkyl Ether Sulfonate Alternative F-53B in the Domestic Chicken. Environ. Sci. Technol., 52, (21), 12859-12867. doi:10.1021/acs.est.8b04749. ECOREF#:179630</t>
        </is>
      </c>
    </row>
    <row r="336">
      <c r="A336" t="n">
        <v>2795393.0</v>
      </c>
      <c r="B336" t="inlineStr">
        <is>
          <t>1,1,2,2,3,3,4,4,5,5,6,6,7,7,8,8,8-Heptadecafluoro-1-octanesulfonic acid potassium salt</t>
        </is>
      </c>
      <c r="C336"/>
      <c r="D336" t="inlineStr">
        <is>
          <t>Measured</t>
        </is>
      </c>
      <c r="E336" t="inlineStr">
        <is>
          <t>&gt;=</t>
        </is>
      </c>
      <c r="F336" t="n">
        <v>98.0</v>
      </c>
      <c r="G336"/>
      <c r="H336"/>
      <c r="I336"/>
      <c r="J336"/>
      <c r="K336" t="inlineStr">
        <is>
          <t>Glycine max</t>
        </is>
      </c>
      <c r="L336" t="inlineStr">
        <is>
          <t>Soybean</t>
        </is>
      </c>
      <c r="M336" t="inlineStr">
        <is>
          <t>Flowers, Trees, Shrubs, Ferns; Standard Test Species</t>
        </is>
      </c>
      <c r="N336" t="inlineStr">
        <is>
          <t>Seedling</t>
        </is>
      </c>
      <c r="O336"/>
      <c r="P336" t="n">
        <v>5.0</v>
      </c>
      <c r="Q336"/>
      <c r="R336"/>
      <c r="S336"/>
      <c r="T336"/>
      <c r="U336" t="inlineStr">
        <is>
          <t>Day(s)</t>
        </is>
      </c>
      <c r="V336" t="inlineStr">
        <is>
          <t>Environmental, unspecified</t>
        </is>
      </c>
      <c r="W336" t="inlineStr">
        <is>
          <t>Natural soil</t>
        </is>
      </c>
      <c r="X336" t="inlineStr">
        <is>
          <t>Lab</t>
        </is>
      </c>
      <c r="Y336" t="n">
        <v>3.0</v>
      </c>
      <c r="Z336" t="inlineStr">
        <is>
          <t>Active ingredient</t>
        </is>
      </c>
      <c r="AA336"/>
      <c r="AB336"/>
      <c r="AC336" t="inlineStr">
        <is>
          <t>&gt;</t>
        </is>
      </c>
      <c r="AD336" t="n">
        <v>4.0</v>
      </c>
      <c r="AE336" t="inlineStr">
        <is>
          <t>&lt;</t>
        </is>
      </c>
      <c r="AF336" t="n">
        <v>6.0</v>
      </c>
      <c r="AG336" t="inlineStr">
        <is>
          <t>ug/kg dry soil</t>
        </is>
      </c>
      <c r="AH336"/>
      <c r="AI336"/>
      <c r="AJ336"/>
      <c r="AK336"/>
      <c r="AL336"/>
      <c r="AM336"/>
      <c r="AN336"/>
      <c r="AO336"/>
      <c r="AP336"/>
      <c r="AQ336"/>
      <c r="AR336"/>
      <c r="AS336"/>
      <c r="AT336"/>
      <c r="AU336"/>
      <c r="AV336"/>
      <c r="AW336"/>
      <c r="AX336" t="inlineStr">
        <is>
          <t>Accumulation</t>
        </is>
      </c>
      <c r="AY336" t="inlineStr">
        <is>
          <t>Residue</t>
        </is>
      </c>
      <c r="AZ336" t="inlineStr">
        <is>
          <t>BCF</t>
        </is>
      </c>
      <c r="BA336"/>
      <c r="BB336"/>
      <c r="BC336" t="inlineStr">
        <is>
          <t>&gt;</t>
        </is>
      </c>
      <c r="BD336" t="n">
        <v>4.0</v>
      </c>
      <c r="BE336" t="inlineStr">
        <is>
          <t>&lt;</t>
        </is>
      </c>
      <c r="BF336" t="n">
        <v>6.0</v>
      </c>
      <c r="BG336"/>
      <c r="BH336"/>
      <c r="BI336" t="inlineStr">
        <is>
          <t>%</t>
        </is>
      </c>
      <c r="BJ336" t="inlineStr">
        <is>
          <t>Root</t>
        </is>
      </c>
      <c r="BK336"/>
      <c r="BL336" t="n">
        <v>41.0</v>
      </c>
      <c r="BM336"/>
      <c r="BN336"/>
      <c r="BO336"/>
      <c r="BP336"/>
      <c r="BQ336" t="inlineStr">
        <is>
          <t>Day(s)</t>
        </is>
      </c>
      <c r="BR336" t="inlineStr">
        <is>
          <t>Jiang,T., W. Zhang, and Y. Liang</t>
        </is>
      </c>
      <c r="BS336" t="n">
        <v>191363.0</v>
      </c>
      <c r="BT336" t="inlineStr">
        <is>
          <t>Uptake of Individual and Mixed Per- and Polyfluoroalkyl Substances (PFAS) by Soybean and Their Effects on Functional Genes Related to Nitrification, Denitrification, and Nitrogen Fixation</t>
        </is>
      </c>
      <c r="BU336" t="inlineStr">
        <is>
          <t>Sci. Total Environ.838:10 p.</t>
        </is>
      </c>
      <c r="BV336" t="n">
        <v>2022.0</v>
      </c>
      <c r="BW336" t="inlineStr">
        <is>
          <t>Jiang,T., W. Zhang, and Y. Liang (2022). Uptake of Individual and Mixed Per- and Polyfluoroalkyl Substances (PFAS) by Soybean and Their Effects on Functional Genes Related to Nitrification, Denitrification, and Nitrogen Fixation. Sci. Total Environ., 838, 10 p. ECOREF#:191363</t>
        </is>
      </c>
    </row>
    <row r="337">
      <c r="A337" t="n">
        <v>2795393.0</v>
      </c>
      <c r="B337" t="inlineStr">
        <is>
          <t>1,1,2,2,3,3,4,4,5,5,6,6,7,7,8,8,8-Heptadecafluoro-1-octanesulfonic acid potassium salt</t>
        </is>
      </c>
      <c r="C337"/>
      <c r="D337" t="inlineStr">
        <is>
          <t>Measured</t>
        </is>
      </c>
      <c r="E337" t="inlineStr">
        <is>
          <t>&gt;=</t>
        </is>
      </c>
      <c r="F337" t="n">
        <v>98.0</v>
      </c>
      <c r="G337"/>
      <c r="H337"/>
      <c r="I337"/>
      <c r="J337"/>
      <c r="K337" t="inlineStr">
        <is>
          <t>Glycine max</t>
        </is>
      </c>
      <c r="L337" t="inlineStr">
        <is>
          <t>Soybean</t>
        </is>
      </c>
      <c r="M337" t="inlineStr">
        <is>
          <t>Flowers, Trees, Shrubs, Ferns; Standard Test Species</t>
        </is>
      </c>
      <c r="N337" t="inlineStr">
        <is>
          <t>Seedling</t>
        </is>
      </c>
      <c r="O337"/>
      <c r="P337" t="n">
        <v>5.0</v>
      </c>
      <c r="Q337"/>
      <c r="R337"/>
      <c r="S337"/>
      <c r="T337"/>
      <c r="U337" t="inlineStr">
        <is>
          <t>Day(s)</t>
        </is>
      </c>
      <c r="V337" t="inlineStr">
        <is>
          <t>Environmental, unspecified</t>
        </is>
      </c>
      <c r="W337" t="inlineStr">
        <is>
          <t>Natural soil</t>
        </is>
      </c>
      <c r="X337" t="inlineStr">
        <is>
          <t>Lab</t>
        </is>
      </c>
      <c r="Y337" t="n">
        <v>3.0</v>
      </c>
      <c r="Z337" t="inlineStr">
        <is>
          <t>Active ingredient</t>
        </is>
      </c>
      <c r="AA337" t="inlineStr">
        <is>
          <t>~</t>
        </is>
      </c>
      <c r="AB337" t="n">
        <v>70.0</v>
      </c>
      <c r="AC337"/>
      <c r="AD337"/>
      <c r="AE337"/>
      <c r="AF337"/>
      <c r="AG337" t="inlineStr">
        <is>
          <t>ug/kg dry soil</t>
        </is>
      </c>
      <c r="AH337"/>
      <c r="AI337"/>
      <c r="AJ337"/>
      <c r="AK337"/>
      <c r="AL337"/>
      <c r="AM337"/>
      <c r="AN337"/>
      <c r="AO337"/>
      <c r="AP337"/>
      <c r="AQ337"/>
      <c r="AR337"/>
      <c r="AS337"/>
      <c r="AT337"/>
      <c r="AU337"/>
      <c r="AV337"/>
      <c r="AW337"/>
      <c r="AX337" t="inlineStr">
        <is>
          <t>Accumulation</t>
        </is>
      </c>
      <c r="AY337" t="inlineStr">
        <is>
          <t>Residue</t>
        </is>
      </c>
      <c r="AZ337" t="inlineStr">
        <is>
          <t>BCF</t>
        </is>
      </c>
      <c r="BA337"/>
      <c r="BB337"/>
      <c r="BC337" t="inlineStr">
        <is>
          <t>&gt;</t>
        </is>
      </c>
      <c r="BD337" t="n">
        <v>8.0</v>
      </c>
      <c r="BE337" t="inlineStr">
        <is>
          <t>&lt;</t>
        </is>
      </c>
      <c r="BF337" t="n">
        <v>10.0</v>
      </c>
      <c r="BG337"/>
      <c r="BH337"/>
      <c r="BI337" t="inlineStr">
        <is>
          <t>%</t>
        </is>
      </c>
      <c r="BJ337" t="inlineStr">
        <is>
          <t>Root</t>
        </is>
      </c>
      <c r="BK337"/>
      <c r="BL337" t="n">
        <v>41.0</v>
      </c>
      <c r="BM337"/>
      <c r="BN337"/>
      <c r="BO337"/>
      <c r="BP337"/>
      <c r="BQ337" t="inlineStr">
        <is>
          <t>Day(s)</t>
        </is>
      </c>
      <c r="BR337" t="inlineStr">
        <is>
          <t>Jiang,T., W. Zhang, and Y. Liang</t>
        </is>
      </c>
      <c r="BS337" t="n">
        <v>191363.0</v>
      </c>
      <c r="BT337" t="inlineStr">
        <is>
          <t>Uptake of Individual and Mixed Per- and Polyfluoroalkyl Substances (PFAS) by Soybean and Their Effects on Functional Genes Related to Nitrification, Denitrification, and Nitrogen Fixation</t>
        </is>
      </c>
      <c r="BU337" t="inlineStr">
        <is>
          <t>Sci. Total Environ.838:10 p.</t>
        </is>
      </c>
      <c r="BV337" t="n">
        <v>2022.0</v>
      </c>
      <c r="BW337" t="inlineStr">
        <is>
          <t>Jiang,T., W. Zhang, and Y. Liang (2022). Uptake of Individual and Mixed Per- and Polyfluoroalkyl Substances (PFAS) by Soybean and Their Effects on Functional Genes Related to Nitrification, Denitrification, and Nitrogen Fixation. Sci. Total Environ., 838, 10 p. ECOREF#:191363</t>
        </is>
      </c>
    </row>
    <row r="338">
      <c r="A338" t="n">
        <v>2795393.0</v>
      </c>
      <c r="B338" t="inlineStr">
        <is>
          <t>1,1,2,2,3,3,4,4,5,5,6,6,7,7,8,8,8-Heptadecafluoro-1-octanesulfonic acid potassium salt</t>
        </is>
      </c>
      <c r="C338"/>
      <c r="D338" t="inlineStr">
        <is>
          <t>Chemical analysis reported</t>
        </is>
      </c>
      <c r="E338"/>
      <c r="F338" t="n">
        <v>86.9</v>
      </c>
      <c r="G338"/>
      <c r="H338"/>
      <c r="I338"/>
      <c r="J338"/>
      <c r="K338" t="inlineStr">
        <is>
          <t>Glycine max</t>
        </is>
      </c>
      <c r="L338" t="inlineStr">
        <is>
          <t>Soybean</t>
        </is>
      </c>
      <c r="M338" t="inlineStr">
        <is>
          <t>Flowers, Trees, Shrubs, Ferns; Standard Test Species</t>
        </is>
      </c>
      <c r="N338" t="inlineStr">
        <is>
          <t>Seed</t>
        </is>
      </c>
      <c r="O338"/>
      <c r="P338"/>
      <c r="Q338"/>
      <c r="R338"/>
      <c r="S338"/>
      <c r="T338"/>
      <c r="U338"/>
      <c r="V338" t="inlineStr">
        <is>
          <t>Direct application</t>
        </is>
      </c>
      <c r="W338" t="inlineStr">
        <is>
          <t>Artificial soil</t>
        </is>
      </c>
      <c r="X338" t="inlineStr">
        <is>
          <t>Lab</t>
        </is>
      </c>
      <c r="Y338" t="n">
        <v>6.0</v>
      </c>
      <c r="Z338" t="inlineStr">
        <is>
          <t>Active ingredient</t>
        </is>
      </c>
      <c r="AA338"/>
      <c r="AB338"/>
      <c r="AC338"/>
      <c r="AD338" t="n">
        <v>3.91</v>
      </c>
      <c r="AE338"/>
      <c r="AF338" t="n">
        <v>1000.0</v>
      </c>
      <c r="AG338" t="inlineStr">
        <is>
          <t>AI mg/kg dry soil</t>
        </is>
      </c>
      <c r="AH338"/>
      <c r="AI338"/>
      <c r="AJ338"/>
      <c r="AK338"/>
      <c r="AL338"/>
      <c r="AM338"/>
      <c r="AN338"/>
      <c r="AO338"/>
      <c r="AP338"/>
      <c r="AQ338"/>
      <c r="AR338"/>
      <c r="AS338"/>
      <c r="AT338"/>
      <c r="AU338"/>
      <c r="AV338"/>
      <c r="AW338"/>
      <c r="AX338" t="inlineStr">
        <is>
          <t>Accumulation</t>
        </is>
      </c>
      <c r="AY338" t="inlineStr">
        <is>
          <t>Residue</t>
        </is>
      </c>
      <c r="AZ338"/>
      <c r="BA338"/>
      <c r="BB338"/>
      <c r="BC338"/>
      <c r="BD338" t="n">
        <v>3.91</v>
      </c>
      <c r="BE338"/>
      <c r="BF338" t="n">
        <v>1000.0</v>
      </c>
      <c r="BG338"/>
      <c r="BH338"/>
      <c r="BI338" t="inlineStr">
        <is>
          <t>AI mg/kg dry soil</t>
        </is>
      </c>
      <c r="BJ338" t="inlineStr">
        <is>
          <t>Multiple entries</t>
        </is>
      </c>
      <c r="BK338"/>
      <c r="BL338" t="n">
        <v>67.0</v>
      </c>
      <c r="BM338"/>
      <c r="BN338"/>
      <c r="BO338"/>
      <c r="BP338"/>
      <c r="BQ338" t="inlineStr">
        <is>
          <t>Day(s)</t>
        </is>
      </c>
      <c r="BR338" t="inlineStr">
        <is>
          <t>Brignole,A.J., J.R. Porch, H.O. Krueger, and R.L. Van Hoven</t>
        </is>
      </c>
      <c r="BS338" t="n">
        <v>175361.0</v>
      </c>
      <c r="BT338" t="inlineStr">
        <is>
          <t>PFOS: A Toxicity Test to Determine the Effects of the Test Substance on Seedling Emergence of Seven Species of Plants</t>
        </is>
      </c>
      <c r="BU338" t="inlineStr">
        <is>
          <t>EPA Docket AR226-1369, Wildlife International Ltd., Easton, MD:136 p.</t>
        </is>
      </c>
      <c r="BV338" t="n">
        <v>2003.0</v>
      </c>
      <c r="BW338" t="inlineStr">
        <is>
          <t>Brignole,A.J., J.R. Porch, H.O. Krueger, and R.L. Van Hoven (2003). PFOS: A Toxicity Test to Determine the Effects of the Test Substance on Seedling Emergence of Seven Species of Plants. EPA Docket AR226-1369, Wildlife International Ltd., Easton, MD, 136 p. ECOREF#:175361</t>
        </is>
      </c>
    </row>
    <row r="339">
      <c r="A339" t="n">
        <v>2795393.0</v>
      </c>
      <c r="B339" t="inlineStr">
        <is>
          <t>1,1,2,2,3,3,4,4,5,5,6,6,7,7,8,8,8-Heptadecafluoro-1-octanesulfonic acid potassium salt</t>
        </is>
      </c>
      <c r="C339"/>
      <c r="D339" t="inlineStr">
        <is>
          <t>Unmeasured</t>
        </is>
      </c>
      <c r="E339" t="inlineStr">
        <is>
          <t>&gt;</t>
        </is>
      </c>
      <c r="F339" t="n">
        <v>98.0</v>
      </c>
      <c r="G339"/>
      <c r="H339"/>
      <c r="I339"/>
      <c r="J339"/>
      <c r="K339" t="inlineStr">
        <is>
          <t>Glycine max</t>
        </is>
      </c>
      <c r="L339" t="inlineStr">
        <is>
          <t>Soybean</t>
        </is>
      </c>
      <c r="M339" t="inlineStr">
        <is>
          <t>Flowers, Trees, Shrubs, Ferns; Standard Test Species</t>
        </is>
      </c>
      <c r="N339" t="inlineStr">
        <is>
          <t>Seed</t>
        </is>
      </c>
      <c r="O339"/>
      <c r="P339"/>
      <c r="Q339"/>
      <c r="R339"/>
      <c r="S339"/>
      <c r="T339"/>
      <c r="U339"/>
      <c r="V339" t="inlineStr">
        <is>
          <t>Environmental, unspecified</t>
        </is>
      </c>
      <c r="W339" t="inlineStr">
        <is>
          <t>Filter paper</t>
        </is>
      </c>
      <c r="X339" t="inlineStr">
        <is>
          <t>Lab</t>
        </is>
      </c>
      <c r="Y339" t="n">
        <v>2.0</v>
      </c>
      <c r="Z339" t="inlineStr">
        <is>
          <t>Active ingredient</t>
        </is>
      </c>
      <c r="AA339"/>
      <c r="AB339" t="n">
        <v>20.0</v>
      </c>
      <c r="AC339"/>
      <c r="AD339"/>
      <c r="AE339"/>
      <c r="AF339"/>
      <c r="AG339" t="inlineStr">
        <is>
          <t>ug/ml</t>
        </is>
      </c>
      <c r="AH339"/>
      <c r="AI339"/>
      <c r="AJ339"/>
      <c r="AK339"/>
      <c r="AL339"/>
      <c r="AM339"/>
      <c r="AN339"/>
      <c r="AO339"/>
      <c r="AP339"/>
      <c r="AQ339"/>
      <c r="AR339"/>
      <c r="AS339"/>
      <c r="AT339"/>
      <c r="AU339"/>
      <c r="AV339"/>
      <c r="AW339"/>
      <c r="AX339" t="inlineStr">
        <is>
          <t>Accumulation</t>
        </is>
      </c>
      <c r="AY339" t="inlineStr">
        <is>
          <t>Residue</t>
        </is>
      </c>
      <c r="AZ339"/>
      <c r="BA339"/>
      <c r="BB339" t="n">
        <v>20.0</v>
      </c>
      <c r="BC339"/>
      <c r="BD339"/>
      <c r="BE339"/>
      <c r="BF339"/>
      <c r="BG339"/>
      <c r="BH339"/>
      <c r="BI339" t="inlineStr">
        <is>
          <t>ug/ml</t>
        </is>
      </c>
      <c r="BJ339" t="inlineStr">
        <is>
          <t>Multiple entries</t>
        </is>
      </c>
      <c r="BK339"/>
      <c r="BL339" t="n">
        <v>5.0</v>
      </c>
      <c r="BM339"/>
      <c r="BN339"/>
      <c r="BO339"/>
      <c r="BP339"/>
      <c r="BQ339" t="inlineStr">
        <is>
          <t>Day(s)</t>
        </is>
      </c>
      <c r="BR339" t="inlineStr">
        <is>
          <t>Liu,Y., T. Jin, L. Wang, and J. Tang</t>
        </is>
      </c>
      <c r="BS339" t="n">
        <v>191342.0</v>
      </c>
      <c r="BT339" t="inlineStr">
        <is>
          <t>Polystyrene Micro and Nanoplastics Attenuated the Bioavailability and Toxic Effects of Perfluorooctane Sulfonate (PFOS) on Soybean (Glycine max) Sprouts</t>
        </is>
      </c>
      <c r="BU339" t="inlineStr">
        <is>
          <t>J. Hazard. Mater.448:13 p.</t>
        </is>
      </c>
      <c r="BV339" t="n">
        <v>2023.0</v>
      </c>
      <c r="BW339" t="inlineStr">
        <is>
          <t>Liu,Y., T. Jin, L. Wang, and J. Tang (2023). Polystyrene Micro and Nanoplastics Attenuated the Bioavailability and Toxic Effects of Perfluorooctane Sulfonate (PFOS) on Soybean (Glycine max) Sprouts. J. Hazard. Mater., 448, 13 p. doi:10.1016/j.jhazmat.2023.130911. ECOREF#:191342</t>
        </is>
      </c>
    </row>
    <row r="340">
      <c r="A340" t="n">
        <v>2795393.0</v>
      </c>
      <c r="B340" t="inlineStr">
        <is>
          <t>1,1,2,2,3,3,4,4,5,5,6,6,7,7,8,8,8-Heptadecafluoro-1-octanesulfonic acid potassium salt</t>
        </is>
      </c>
      <c r="C340"/>
      <c r="D340" t="inlineStr">
        <is>
          <t>Chemical analysis reported</t>
        </is>
      </c>
      <c r="E340" t="inlineStr">
        <is>
          <t>&gt;=</t>
        </is>
      </c>
      <c r="F340" t="n">
        <v>98.0</v>
      </c>
      <c r="G340"/>
      <c r="H340"/>
      <c r="I340"/>
      <c r="J340"/>
      <c r="K340" t="inlineStr">
        <is>
          <t>Juncus krausii</t>
        </is>
      </c>
      <c r="L340" t="inlineStr">
        <is>
          <t>Sea Rush</t>
        </is>
      </c>
      <c r="M340" t="inlineStr">
        <is>
          <t>Flowers, Trees, Shrubs, Ferns</t>
        </is>
      </c>
      <c r="N340"/>
      <c r="O340"/>
      <c r="P340"/>
      <c r="Q340"/>
      <c r="R340"/>
      <c r="S340"/>
      <c r="T340"/>
      <c r="U340"/>
      <c r="V340" t="inlineStr">
        <is>
          <t>Hydroponic</t>
        </is>
      </c>
      <c r="W340" t="inlineStr">
        <is>
          <t>Hydroponic</t>
        </is>
      </c>
      <c r="X340" t="inlineStr">
        <is>
          <t>Lab</t>
        </is>
      </c>
      <c r="Y340" t="n">
        <v>5.0</v>
      </c>
      <c r="Z340" t="inlineStr">
        <is>
          <t>Active ingredient</t>
        </is>
      </c>
      <c r="AA340"/>
      <c r="AB340" t="n">
        <v>0.2</v>
      </c>
      <c r="AC340"/>
      <c r="AD340"/>
      <c r="AE340"/>
      <c r="AF340"/>
      <c r="AG340" t="inlineStr">
        <is>
          <t>ug/L</t>
        </is>
      </c>
      <c r="AH340"/>
      <c r="AI340"/>
      <c r="AJ340"/>
      <c r="AK340"/>
      <c r="AL340"/>
      <c r="AM340"/>
      <c r="AN340"/>
      <c r="AO340"/>
      <c r="AP340"/>
      <c r="AQ340"/>
      <c r="AR340"/>
      <c r="AS340"/>
      <c r="AT340"/>
      <c r="AU340"/>
      <c r="AV340"/>
      <c r="AW340"/>
      <c r="AX340" t="inlineStr">
        <is>
          <t>Accumulation</t>
        </is>
      </c>
      <c r="AY340" t="inlineStr">
        <is>
          <t>Residue</t>
        </is>
      </c>
      <c r="AZ340" t="inlineStr">
        <is>
          <t>BAF</t>
        </is>
      </c>
      <c r="BA340"/>
      <c r="BB340" t="n">
        <v>41.5</v>
      </c>
      <c r="BC340"/>
      <c r="BD340"/>
      <c r="BE340"/>
      <c r="BF340"/>
      <c r="BG340"/>
      <c r="BH340"/>
      <c r="BI340" t="inlineStr">
        <is>
          <t>L/kg</t>
        </is>
      </c>
      <c r="BJ340" t="inlineStr">
        <is>
          <t>Root</t>
        </is>
      </c>
      <c r="BK340"/>
      <c r="BL340" t="n">
        <v>14.0</v>
      </c>
      <c r="BM340"/>
      <c r="BN340"/>
      <c r="BO340"/>
      <c r="BP340"/>
      <c r="BQ340" t="inlineStr">
        <is>
          <t>Day(s)</t>
        </is>
      </c>
      <c r="BR340" t="inlineStr">
        <is>
          <t>Awad,J., G. Brunetti, A. Juhasz, M. Williams, D. Navarro, B. Drigo, J. Bougoure, J. Vanderzalm, and S. Beecham</t>
        </is>
      </c>
      <c r="BS340" t="n">
        <v>191324.0</v>
      </c>
      <c r="BT340" t="inlineStr">
        <is>
          <t>Application of Native Plants in Constructed Floating Wetlands as a Passive Remediation Approach for PFAS-Impacted Surface Water</t>
        </is>
      </c>
      <c r="BU340" t="inlineStr">
        <is>
          <t>J. Hazard. Mater.429:11 p.</t>
        </is>
      </c>
      <c r="BV340" t="n">
        <v>2022.0</v>
      </c>
      <c r="BW34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1">
      <c r="A341" t="n">
        <v>2795393.0</v>
      </c>
      <c r="B341" t="inlineStr">
        <is>
          <t>1,1,2,2,3,3,4,4,5,5,6,6,7,7,8,8,8-Heptadecafluoro-1-octanesulfonic acid potassium salt</t>
        </is>
      </c>
      <c r="C341"/>
      <c r="D341" t="inlineStr">
        <is>
          <t>Chemical analysis reported</t>
        </is>
      </c>
      <c r="E341" t="inlineStr">
        <is>
          <t>&gt;=</t>
        </is>
      </c>
      <c r="F341" t="n">
        <v>98.0</v>
      </c>
      <c r="G341"/>
      <c r="H341"/>
      <c r="I341"/>
      <c r="J341"/>
      <c r="K341" t="inlineStr">
        <is>
          <t>Juncus krausii</t>
        </is>
      </c>
      <c r="L341" t="inlineStr">
        <is>
          <t>Sea Rush</t>
        </is>
      </c>
      <c r="M341" t="inlineStr">
        <is>
          <t>Flowers, Trees, Shrubs, Ferns</t>
        </is>
      </c>
      <c r="N341"/>
      <c r="O341"/>
      <c r="P341"/>
      <c r="Q341"/>
      <c r="R341"/>
      <c r="S341"/>
      <c r="T341"/>
      <c r="U341"/>
      <c r="V341" t="inlineStr">
        <is>
          <t>Hydroponic</t>
        </is>
      </c>
      <c r="W341" t="inlineStr">
        <is>
          <t>Hydroponic</t>
        </is>
      </c>
      <c r="X341" t="inlineStr">
        <is>
          <t>Lab</t>
        </is>
      </c>
      <c r="Y341" t="n">
        <v>5.0</v>
      </c>
      <c r="Z341" t="inlineStr">
        <is>
          <t>Active ingredient</t>
        </is>
      </c>
      <c r="AA341"/>
      <c r="AB341" t="n">
        <v>0.2</v>
      </c>
      <c r="AC341"/>
      <c r="AD341"/>
      <c r="AE341"/>
      <c r="AF341"/>
      <c r="AG341" t="inlineStr">
        <is>
          <t>ug/L</t>
        </is>
      </c>
      <c r="AH341"/>
      <c r="AI341"/>
      <c r="AJ341"/>
      <c r="AK341"/>
      <c r="AL341"/>
      <c r="AM341"/>
      <c r="AN341"/>
      <c r="AO341"/>
      <c r="AP341"/>
      <c r="AQ341"/>
      <c r="AR341"/>
      <c r="AS341"/>
      <c r="AT341"/>
      <c r="AU341"/>
      <c r="AV341"/>
      <c r="AW341"/>
      <c r="AX341" t="inlineStr">
        <is>
          <t>Accumulation</t>
        </is>
      </c>
      <c r="AY341" t="inlineStr">
        <is>
          <t>Residue</t>
        </is>
      </c>
      <c r="AZ341" t="inlineStr">
        <is>
          <t>BAF</t>
        </is>
      </c>
      <c r="BA341"/>
      <c r="BB341" t="n">
        <v>39.61</v>
      </c>
      <c r="BC341"/>
      <c r="BD341"/>
      <c r="BE341"/>
      <c r="BF341"/>
      <c r="BG341"/>
      <c r="BH341"/>
      <c r="BI341" t="inlineStr">
        <is>
          <t>L/kg</t>
        </is>
      </c>
      <c r="BJ341" t="inlineStr">
        <is>
          <t>Shoot</t>
        </is>
      </c>
      <c r="BK341"/>
      <c r="BL341" t="n">
        <v>1.0</v>
      </c>
      <c r="BM341"/>
      <c r="BN341"/>
      <c r="BO341"/>
      <c r="BP341"/>
      <c r="BQ341" t="inlineStr">
        <is>
          <t>Day(s)</t>
        </is>
      </c>
      <c r="BR341" t="inlineStr">
        <is>
          <t>Awad,J., G. Brunetti, A. Juhasz, M. Williams, D. Navarro, B. Drigo, J. Bougoure, J. Vanderzalm, and S. Beecham</t>
        </is>
      </c>
      <c r="BS341" t="n">
        <v>191324.0</v>
      </c>
      <c r="BT341" t="inlineStr">
        <is>
          <t>Application of Native Plants in Constructed Floating Wetlands as a Passive Remediation Approach for PFAS-Impacted Surface Water</t>
        </is>
      </c>
      <c r="BU341" t="inlineStr">
        <is>
          <t>J. Hazard. Mater.429:11 p.</t>
        </is>
      </c>
      <c r="BV341" t="n">
        <v>2022.0</v>
      </c>
      <c r="BW34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2">
      <c r="A342" t="n">
        <v>2795393.0</v>
      </c>
      <c r="B342" t="inlineStr">
        <is>
          <t>1,1,2,2,3,3,4,4,5,5,6,6,7,7,8,8,8-Heptadecafluoro-1-octanesulfonic acid potassium salt</t>
        </is>
      </c>
      <c r="C342"/>
      <c r="D342" t="inlineStr">
        <is>
          <t>Chemical analysis reported</t>
        </is>
      </c>
      <c r="E342" t="inlineStr">
        <is>
          <t>&gt;=</t>
        </is>
      </c>
      <c r="F342" t="n">
        <v>98.0</v>
      </c>
      <c r="G342"/>
      <c r="H342"/>
      <c r="I342"/>
      <c r="J342"/>
      <c r="K342" t="inlineStr">
        <is>
          <t>Juncus krausii</t>
        </is>
      </c>
      <c r="L342" t="inlineStr">
        <is>
          <t>Sea Rush</t>
        </is>
      </c>
      <c r="M342" t="inlineStr">
        <is>
          <t>Flowers, Trees, Shrubs, Ferns</t>
        </is>
      </c>
      <c r="N342"/>
      <c r="O342"/>
      <c r="P342"/>
      <c r="Q342"/>
      <c r="R342"/>
      <c r="S342"/>
      <c r="T342"/>
      <c r="U342"/>
      <c r="V342" t="inlineStr">
        <is>
          <t>Hydroponic</t>
        </is>
      </c>
      <c r="W342" t="inlineStr">
        <is>
          <t>Hydroponic</t>
        </is>
      </c>
      <c r="X342" t="inlineStr">
        <is>
          <t>Lab</t>
        </is>
      </c>
      <c r="Y342" t="n">
        <v>5.0</v>
      </c>
      <c r="Z342" t="inlineStr">
        <is>
          <t>Active ingredient</t>
        </is>
      </c>
      <c r="AA342"/>
      <c r="AB342" t="n">
        <v>0.2</v>
      </c>
      <c r="AC342"/>
      <c r="AD342"/>
      <c r="AE342"/>
      <c r="AF342"/>
      <c r="AG342" t="inlineStr">
        <is>
          <t>ug/L</t>
        </is>
      </c>
      <c r="AH342"/>
      <c r="AI342"/>
      <c r="AJ342"/>
      <c r="AK342"/>
      <c r="AL342"/>
      <c r="AM342"/>
      <c r="AN342"/>
      <c r="AO342"/>
      <c r="AP342"/>
      <c r="AQ342"/>
      <c r="AR342"/>
      <c r="AS342"/>
      <c r="AT342"/>
      <c r="AU342"/>
      <c r="AV342"/>
      <c r="AW342"/>
      <c r="AX342" t="inlineStr">
        <is>
          <t>Accumulation</t>
        </is>
      </c>
      <c r="AY342" t="inlineStr">
        <is>
          <t>Residue</t>
        </is>
      </c>
      <c r="AZ342" t="inlineStr">
        <is>
          <t>BAF</t>
        </is>
      </c>
      <c r="BA342"/>
      <c r="BB342" t="n">
        <v>95.33</v>
      </c>
      <c r="BC342"/>
      <c r="BD342"/>
      <c r="BE342"/>
      <c r="BF342"/>
      <c r="BG342"/>
      <c r="BH342"/>
      <c r="BI342" t="inlineStr">
        <is>
          <t>L/kg</t>
        </is>
      </c>
      <c r="BJ342" t="inlineStr">
        <is>
          <t>Root</t>
        </is>
      </c>
      <c r="BK342"/>
      <c r="BL342" t="n">
        <v>1.0</v>
      </c>
      <c r="BM342"/>
      <c r="BN342"/>
      <c r="BO342"/>
      <c r="BP342"/>
      <c r="BQ342" t="inlineStr">
        <is>
          <t>Day(s)</t>
        </is>
      </c>
      <c r="BR342" t="inlineStr">
        <is>
          <t>Awad,J., G. Brunetti, A. Juhasz, M. Williams, D. Navarro, B. Drigo, J. Bougoure, J. Vanderzalm, and S. Beecham</t>
        </is>
      </c>
      <c r="BS342" t="n">
        <v>191324.0</v>
      </c>
      <c r="BT342" t="inlineStr">
        <is>
          <t>Application of Native Plants in Constructed Floating Wetlands as a Passive Remediation Approach for PFAS-Impacted Surface Water</t>
        </is>
      </c>
      <c r="BU342" t="inlineStr">
        <is>
          <t>J. Hazard. Mater.429:11 p.</t>
        </is>
      </c>
      <c r="BV342" t="n">
        <v>2022.0</v>
      </c>
      <c r="BW34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3">
      <c r="A343" t="n">
        <v>2795393.0</v>
      </c>
      <c r="B343" t="inlineStr">
        <is>
          <t>1,1,2,2,3,3,4,4,5,5,6,6,7,7,8,8,8-Heptadecafluoro-1-octanesulfonic acid potassium salt</t>
        </is>
      </c>
      <c r="C343"/>
      <c r="D343" t="inlineStr">
        <is>
          <t>Chemical analysis reported</t>
        </is>
      </c>
      <c r="E343" t="inlineStr">
        <is>
          <t>&gt;=</t>
        </is>
      </c>
      <c r="F343" t="n">
        <v>98.0</v>
      </c>
      <c r="G343"/>
      <c r="H343"/>
      <c r="I343"/>
      <c r="J343"/>
      <c r="K343" t="inlineStr">
        <is>
          <t>Juncus krausii</t>
        </is>
      </c>
      <c r="L343" t="inlineStr">
        <is>
          <t>Sea Rush</t>
        </is>
      </c>
      <c r="M343" t="inlineStr">
        <is>
          <t>Flowers, Trees, Shrubs, Ferns</t>
        </is>
      </c>
      <c r="N343"/>
      <c r="O343"/>
      <c r="P343"/>
      <c r="Q343"/>
      <c r="R343"/>
      <c r="S343"/>
      <c r="T343"/>
      <c r="U343"/>
      <c r="V343" t="inlineStr">
        <is>
          <t>Hydroponic</t>
        </is>
      </c>
      <c r="W343" t="inlineStr">
        <is>
          <t>Hydroponic</t>
        </is>
      </c>
      <c r="X343" t="inlineStr">
        <is>
          <t>Lab</t>
        </is>
      </c>
      <c r="Y343" t="n">
        <v>5.0</v>
      </c>
      <c r="Z343" t="inlineStr">
        <is>
          <t>Active ingredient</t>
        </is>
      </c>
      <c r="AA343"/>
      <c r="AB343" t="n">
        <v>30.0</v>
      </c>
      <c r="AC343"/>
      <c r="AD343"/>
      <c r="AE343"/>
      <c r="AF343"/>
      <c r="AG343" t="inlineStr">
        <is>
          <t>ug/L</t>
        </is>
      </c>
      <c r="AH343"/>
      <c r="AI343"/>
      <c r="AJ343"/>
      <c r="AK343"/>
      <c r="AL343"/>
      <c r="AM343"/>
      <c r="AN343"/>
      <c r="AO343"/>
      <c r="AP343"/>
      <c r="AQ343"/>
      <c r="AR343"/>
      <c r="AS343"/>
      <c r="AT343"/>
      <c r="AU343"/>
      <c r="AV343"/>
      <c r="AW343"/>
      <c r="AX343" t="inlineStr">
        <is>
          <t>Accumulation</t>
        </is>
      </c>
      <c r="AY343" t="inlineStr">
        <is>
          <t>Residue</t>
        </is>
      </c>
      <c r="AZ343" t="inlineStr">
        <is>
          <t>BAF</t>
        </is>
      </c>
      <c r="BA343"/>
      <c r="BB343" t="n">
        <v>3.24</v>
      </c>
      <c r="BC343"/>
      <c r="BD343"/>
      <c r="BE343"/>
      <c r="BF343"/>
      <c r="BG343"/>
      <c r="BH343"/>
      <c r="BI343" t="inlineStr">
        <is>
          <t>L/kg</t>
        </is>
      </c>
      <c r="BJ343" t="inlineStr">
        <is>
          <t>Shoot</t>
        </is>
      </c>
      <c r="BK343"/>
      <c r="BL343" t="n">
        <v>14.0</v>
      </c>
      <c r="BM343"/>
      <c r="BN343"/>
      <c r="BO343"/>
      <c r="BP343"/>
      <c r="BQ343" t="inlineStr">
        <is>
          <t>Day(s)</t>
        </is>
      </c>
      <c r="BR343" t="inlineStr">
        <is>
          <t>Awad,J., G. Brunetti, A. Juhasz, M. Williams, D. Navarro, B. Drigo, J. Bougoure, J. Vanderzalm, and S. Beecham</t>
        </is>
      </c>
      <c r="BS343" t="n">
        <v>191324.0</v>
      </c>
      <c r="BT343" t="inlineStr">
        <is>
          <t>Application of Native Plants in Constructed Floating Wetlands as a Passive Remediation Approach for PFAS-Impacted Surface Water</t>
        </is>
      </c>
      <c r="BU343" t="inlineStr">
        <is>
          <t>J. Hazard. Mater.429:11 p.</t>
        </is>
      </c>
      <c r="BV343" t="n">
        <v>2022.0</v>
      </c>
      <c r="BW34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4">
      <c r="A344" t="n">
        <v>2795393.0</v>
      </c>
      <c r="B344" t="inlineStr">
        <is>
          <t>1,1,2,2,3,3,4,4,5,5,6,6,7,7,8,8,8-Heptadecafluoro-1-octanesulfonic acid potassium salt</t>
        </is>
      </c>
      <c r="C344"/>
      <c r="D344" t="inlineStr">
        <is>
          <t>Chemical analysis reported</t>
        </is>
      </c>
      <c r="E344" t="inlineStr">
        <is>
          <t>&gt;=</t>
        </is>
      </c>
      <c r="F344" t="n">
        <v>98.0</v>
      </c>
      <c r="G344"/>
      <c r="H344"/>
      <c r="I344"/>
      <c r="J344"/>
      <c r="K344" t="inlineStr">
        <is>
          <t>Juncus krausii</t>
        </is>
      </c>
      <c r="L344" t="inlineStr">
        <is>
          <t>Sea Rush</t>
        </is>
      </c>
      <c r="M344" t="inlineStr">
        <is>
          <t>Flowers, Trees, Shrubs, Ferns</t>
        </is>
      </c>
      <c r="N344"/>
      <c r="O344"/>
      <c r="P344"/>
      <c r="Q344"/>
      <c r="R344"/>
      <c r="S344"/>
      <c r="T344"/>
      <c r="U344"/>
      <c r="V344" t="inlineStr">
        <is>
          <t>Hydroponic</t>
        </is>
      </c>
      <c r="W344" t="inlineStr">
        <is>
          <t>Hydroponic</t>
        </is>
      </c>
      <c r="X344" t="inlineStr">
        <is>
          <t>Lab</t>
        </is>
      </c>
      <c r="Y344" t="n">
        <v>5.0</v>
      </c>
      <c r="Z344" t="inlineStr">
        <is>
          <t>Active ingredient</t>
        </is>
      </c>
      <c r="AA344"/>
      <c r="AB344" t="n">
        <v>30.0</v>
      </c>
      <c r="AC344"/>
      <c r="AD344"/>
      <c r="AE344"/>
      <c r="AF344"/>
      <c r="AG344" t="inlineStr">
        <is>
          <t>ug/L</t>
        </is>
      </c>
      <c r="AH344"/>
      <c r="AI344"/>
      <c r="AJ344"/>
      <c r="AK344"/>
      <c r="AL344"/>
      <c r="AM344"/>
      <c r="AN344"/>
      <c r="AO344"/>
      <c r="AP344"/>
      <c r="AQ344"/>
      <c r="AR344"/>
      <c r="AS344"/>
      <c r="AT344"/>
      <c r="AU344"/>
      <c r="AV344"/>
      <c r="AW344"/>
      <c r="AX344" t="inlineStr">
        <is>
          <t>Accumulation</t>
        </is>
      </c>
      <c r="AY344" t="inlineStr">
        <is>
          <t>Residue</t>
        </is>
      </c>
      <c r="AZ344" t="inlineStr">
        <is>
          <t>BAF</t>
        </is>
      </c>
      <c r="BA344"/>
      <c r="BB344" t="n">
        <v>3.4</v>
      </c>
      <c r="BC344"/>
      <c r="BD344"/>
      <c r="BE344"/>
      <c r="BF344"/>
      <c r="BG344"/>
      <c r="BH344"/>
      <c r="BI344" t="inlineStr">
        <is>
          <t>L/kg</t>
        </is>
      </c>
      <c r="BJ344" t="inlineStr">
        <is>
          <t>Whole organism</t>
        </is>
      </c>
      <c r="BK344"/>
      <c r="BL344" t="n">
        <v>7.0</v>
      </c>
      <c r="BM344"/>
      <c r="BN344"/>
      <c r="BO344"/>
      <c r="BP344"/>
      <c r="BQ344" t="inlineStr">
        <is>
          <t>Day(s)</t>
        </is>
      </c>
      <c r="BR344" t="inlineStr">
        <is>
          <t>Awad,J., G. Brunetti, A. Juhasz, M. Williams, D. Navarro, B. Drigo, J. Bougoure, J. Vanderzalm, and S. Beecham</t>
        </is>
      </c>
      <c r="BS344" t="n">
        <v>191324.0</v>
      </c>
      <c r="BT344" t="inlineStr">
        <is>
          <t>Application of Native Plants in Constructed Floating Wetlands as a Passive Remediation Approach for PFAS-Impacted Surface Water</t>
        </is>
      </c>
      <c r="BU344" t="inlineStr">
        <is>
          <t>J. Hazard. Mater.429:11 p.</t>
        </is>
      </c>
      <c r="BV344" t="n">
        <v>2022.0</v>
      </c>
      <c r="BW34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5">
      <c r="A345" t="n">
        <v>2795393.0</v>
      </c>
      <c r="B345" t="inlineStr">
        <is>
          <t>1,1,2,2,3,3,4,4,5,5,6,6,7,7,8,8,8-Heptadecafluoro-1-octanesulfonic acid potassium salt</t>
        </is>
      </c>
      <c r="C345"/>
      <c r="D345" t="inlineStr">
        <is>
          <t>Chemical analysis reported</t>
        </is>
      </c>
      <c r="E345" t="inlineStr">
        <is>
          <t>&gt;=</t>
        </is>
      </c>
      <c r="F345" t="n">
        <v>98.0</v>
      </c>
      <c r="G345"/>
      <c r="H345"/>
      <c r="I345"/>
      <c r="J345"/>
      <c r="K345" t="inlineStr">
        <is>
          <t>Juncus krausii</t>
        </is>
      </c>
      <c r="L345" t="inlineStr">
        <is>
          <t>Sea Rush</t>
        </is>
      </c>
      <c r="M345" t="inlineStr">
        <is>
          <t>Flowers, Trees, Shrubs, Ferns</t>
        </is>
      </c>
      <c r="N345"/>
      <c r="O345"/>
      <c r="P345"/>
      <c r="Q345"/>
      <c r="R345"/>
      <c r="S345"/>
      <c r="T345"/>
      <c r="U345"/>
      <c r="V345" t="inlineStr">
        <is>
          <t>Hydroponic</t>
        </is>
      </c>
      <c r="W345" t="inlineStr">
        <is>
          <t>Hydroponic</t>
        </is>
      </c>
      <c r="X345" t="inlineStr">
        <is>
          <t>Lab</t>
        </is>
      </c>
      <c r="Y345" t="n">
        <v>5.0</v>
      </c>
      <c r="Z345" t="inlineStr">
        <is>
          <t>Active ingredient</t>
        </is>
      </c>
      <c r="AA345"/>
      <c r="AB345" t="n">
        <v>2.0</v>
      </c>
      <c r="AC345"/>
      <c r="AD345"/>
      <c r="AE345"/>
      <c r="AF345"/>
      <c r="AG345" t="inlineStr">
        <is>
          <t>ug/L</t>
        </is>
      </c>
      <c r="AH345"/>
      <c r="AI345"/>
      <c r="AJ345"/>
      <c r="AK345"/>
      <c r="AL345"/>
      <c r="AM345"/>
      <c r="AN345"/>
      <c r="AO345"/>
      <c r="AP345"/>
      <c r="AQ345"/>
      <c r="AR345"/>
      <c r="AS345"/>
      <c r="AT345"/>
      <c r="AU345"/>
      <c r="AV345"/>
      <c r="AW345"/>
      <c r="AX345" t="inlineStr">
        <is>
          <t>Accumulation</t>
        </is>
      </c>
      <c r="AY345" t="inlineStr">
        <is>
          <t>Residue</t>
        </is>
      </c>
      <c r="AZ345" t="inlineStr">
        <is>
          <t>BAF</t>
        </is>
      </c>
      <c r="BA345"/>
      <c r="BB345" t="n">
        <v>9.09</v>
      </c>
      <c r="BC345"/>
      <c r="BD345"/>
      <c r="BE345"/>
      <c r="BF345"/>
      <c r="BG345"/>
      <c r="BH345"/>
      <c r="BI345" t="inlineStr">
        <is>
          <t>L/kg</t>
        </is>
      </c>
      <c r="BJ345" t="inlineStr">
        <is>
          <t>Whole organism</t>
        </is>
      </c>
      <c r="BK345"/>
      <c r="BL345" t="n">
        <v>7.0</v>
      </c>
      <c r="BM345"/>
      <c r="BN345"/>
      <c r="BO345"/>
      <c r="BP345"/>
      <c r="BQ345" t="inlineStr">
        <is>
          <t>Day(s)</t>
        </is>
      </c>
      <c r="BR345" t="inlineStr">
        <is>
          <t>Awad,J., G. Brunetti, A. Juhasz, M. Williams, D. Navarro, B. Drigo, J. Bougoure, J. Vanderzalm, and S. Beecham</t>
        </is>
      </c>
      <c r="BS345" t="n">
        <v>191324.0</v>
      </c>
      <c r="BT345" t="inlineStr">
        <is>
          <t>Application of Native Plants in Constructed Floating Wetlands as a Passive Remediation Approach for PFAS-Impacted Surface Water</t>
        </is>
      </c>
      <c r="BU345" t="inlineStr">
        <is>
          <t>J. Hazard. Mater.429:11 p.</t>
        </is>
      </c>
      <c r="BV345" t="n">
        <v>2022.0</v>
      </c>
      <c r="BW34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6">
      <c r="A346" t="n">
        <v>2795393.0</v>
      </c>
      <c r="B346" t="inlineStr">
        <is>
          <t>1,1,2,2,3,3,4,4,5,5,6,6,7,7,8,8,8-Heptadecafluoro-1-octanesulfonic acid potassium salt</t>
        </is>
      </c>
      <c r="C346"/>
      <c r="D346" t="inlineStr">
        <is>
          <t>Chemical analysis reported</t>
        </is>
      </c>
      <c r="E346" t="inlineStr">
        <is>
          <t>&gt;=</t>
        </is>
      </c>
      <c r="F346" t="n">
        <v>98.0</v>
      </c>
      <c r="G346"/>
      <c r="H346"/>
      <c r="I346"/>
      <c r="J346"/>
      <c r="K346" t="inlineStr">
        <is>
          <t>Juncus krausii</t>
        </is>
      </c>
      <c r="L346" t="inlineStr">
        <is>
          <t>Sea Rush</t>
        </is>
      </c>
      <c r="M346" t="inlineStr">
        <is>
          <t>Flowers, Trees, Shrubs, Ferns</t>
        </is>
      </c>
      <c r="N346"/>
      <c r="O346"/>
      <c r="P346"/>
      <c r="Q346"/>
      <c r="R346"/>
      <c r="S346"/>
      <c r="T346"/>
      <c r="U346"/>
      <c r="V346" t="inlineStr">
        <is>
          <t>Hydroponic</t>
        </is>
      </c>
      <c r="W346" t="inlineStr">
        <is>
          <t>Hydroponic</t>
        </is>
      </c>
      <c r="X346" t="inlineStr">
        <is>
          <t>Lab</t>
        </is>
      </c>
      <c r="Y346" t="n">
        <v>5.0</v>
      </c>
      <c r="Z346" t="inlineStr">
        <is>
          <t>Active ingredient</t>
        </is>
      </c>
      <c r="AA346"/>
      <c r="AB346" t="n">
        <v>10.0</v>
      </c>
      <c r="AC346"/>
      <c r="AD346"/>
      <c r="AE346"/>
      <c r="AF346"/>
      <c r="AG346" t="inlineStr">
        <is>
          <t>ug/L</t>
        </is>
      </c>
      <c r="AH346"/>
      <c r="AI346"/>
      <c r="AJ346"/>
      <c r="AK346"/>
      <c r="AL346"/>
      <c r="AM346"/>
      <c r="AN346"/>
      <c r="AO346"/>
      <c r="AP346"/>
      <c r="AQ346"/>
      <c r="AR346"/>
      <c r="AS346"/>
      <c r="AT346"/>
      <c r="AU346"/>
      <c r="AV346"/>
      <c r="AW346"/>
      <c r="AX346" t="inlineStr">
        <is>
          <t>Accumulation</t>
        </is>
      </c>
      <c r="AY346" t="inlineStr">
        <is>
          <t>Residue</t>
        </is>
      </c>
      <c r="AZ346" t="inlineStr">
        <is>
          <t>BAF</t>
        </is>
      </c>
      <c r="BA346"/>
      <c r="BB346" t="n">
        <v>2.68</v>
      </c>
      <c r="BC346"/>
      <c r="BD346"/>
      <c r="BE346"/>
      <c r="BF346"/>
      <c r="BG346"/>
      <c r="BH346"/>
      <c r="BI346" t="inlineStr">
        <is>
          <t>L/kg</t>
        </is>
      </c>
      <c r="BJ346" t="inlineStr">
        <is>
          <t>Shoot</t>
        </is>
      </c>
      <c r="BK346"/>
      <c r="BL346" t="n">
        <v>14.0</v>
      </c>
      <c r="BM346"/>
      <c r="BN346"/>
      <c r="BO346"/>
      <c r="BP346"/>
      <c r="BQ346" t="inlineStr">
        <is>
          <t>Day(s)</t>
        </is>
      </c>
      <c r="BR346" t="inlineStr">
        <is>
          <t>Awad,J., G. Brunetti, A. Juhasz, M. Williams, D. Navarro, B. Drigo, J. Bougoure, J. Vanderzalm, and S. Beecham</t>
        </is>
      </c>
      <c r="BS346" t="n">
        <v>191324.0</v>
      </c>
      <c r="BT346" t="inlineStr">
        <is>
          <t>Application of Native Plants in Constructed Floating Wetlands as a Passive Remediation Approach for PFAS-Impacted Surface Water</t>
        </is>
      </c>
      <c r="BU346" t="inlineStr">
        <is>
          <t>J. Hazard. Mater.429:11 p.</t>
        </is>
      </c>
      <c r="BV346" t="n">
        <v>2022.0</v>
      </c>
      <c r="BW34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7">
      <c r="A347" t="n">
        <v>2795393.0</v>
      </c>
      <c r="B347" t="inlineStr">
        <is>
          <t>1,1,2,2,3,3,4,4,5,5,6,6,7,7,8,8,8-Heptadecafluoro-1-octanesulfonic acid potassium salt</t>
        </is>
      </c>
      <c r="C347"/>
      <c r="D347" t="inlineStr">
        <is>
          <t>Chemical analysis reported</t>
        </is>
      </c>
      <c r="E347" t="inlineStr">
        <is>
          <t>&gt;=</t>
        </is>
      </c>
      <c r="F347" t="n">
        <v>98.0</v>
      </c>
      <c r="G347"/>
      <c r="H347"/>
      <c r="I347"/>
      <c r="J347"/>
      <c r="K347" t="inlineStr">
        <is>
          <t>Juncus krausii</t>
        </is>
      </c>
      <c r="L347" t="inlineStr">
        <is>
          <t>Sea Rush</t>
        </is>
      </c>
      <c r="M347" t="inlineStr">
        <is>
          <t>Flowers, Trees, Shrubs, Ferns</t>
        </is>
      </c>
      <c r="N347"/>
      <c r="O347"/>
      <c r="P347"/>
      <c r="Q347"/>
      <c r="R347"/>
      <c r="S347"/>
      <c r="T347"/>
      <c r="U347"/>
      <c r="V347" t="inlineStr">
        <is>
          <t>Hydroponic</t>
        </is>
      </c>
      <c r="W347" t="inlineStr">
        <is>
          <t>Hydroponic</t>
        </is>
      </c>
      <c r="X347" t="inlineStr">
        <is>
          <t>Lab</t>
        </is>
      </c>
      <c r="Y347" t="n">
        <v>5.0</v>
      </c>
      <c r="Z347" t="inlineStr">
        <is>
          <t>Active ingredient</t>
        </is>
      </c>
      <c r="AA347"/>
      <c r="AB347" t="n">
        <v>2.0</v>
      </c>
      <c r="AC347"/>
      <c r="AD347"/>
      <c r="AE347"/>
      <c r="AF347"/>
      <c r="AG347" t="inlineStr">
        <is>
          <t>ug/L</t>
        </is>
      </c>
      <c r="AH347"/>
      <c r="AI347"/>
      <c r="AJ347"/>
      <c r="AK347"/>
      <c r="AL347"/>
      <c r="AM347"/>
      <c r="AN347"/>
      <c r="AO347"/>
      <c r="AP347"/>
      <c r="AQ347"/>
      <c r="AR347"/>
      <c r="AS347"/>
      <c r="AT347"/>
      <c r="AU347"/>
      <c r="AV347"/>
      <c r="AW347"/>
      <c r="AX347" t="inlineStr">
        <is>
          <t>Accumulation</t>
        </is>
      </c>
      <c r="AY347" t="inlineStr">
        <is>
          <t>Residue</t>
        </is>
      </c>
      <c r="AZ347" t="inlineStr">
        <is>
          <t>BAF</t>
        </is>
      </c>
      <c r="BA347"/>
      <c r="BB347" t="n">
        <v>14.22</v>
      </c>
      <c r="BC347"/>
      <c r="BD347"/>
      <c r="BE347"/>
      <c r="BF347"/>
      <c r="BG347"/>
      <c r="BH347"/>
      <c r="BI347" t="inlineStr">
        <is>
          <t>L/kg</t>
        </is>
      </c>
      <c r="BJ347" t="inlineStr">
        <is>
          <t>Whole organism</t>
        </is>
      </c>
      <c r="BK347"/>
      <c r="BL347" t="n">
        <v>14.0</v>
      </c>
      <c r="BM347"/>
      <c r="BN347"/>
      <c r="BO347"/>
      <c r="BP347"/>
      <c r="BQ347" t="inlineStr">
        <is>
          <t>Day(s)</t>
        </is>
      </c>
      <c r="BR347" t="inlineStr">
        <is>
          <t>Awad,J., G. Brunetti, A. Juhasz, M. Williams, D. Navarro, B. Drigo, J. Bougoure, J. Vanderzalm, and S. Beecham</t>
        </is>
      </c>
      <c r="BS347" t="n">
        <v>191324.0</v>
      </c>
      <c r="BT347" t="inlineStr">
        <is>
          <t>Application of Native Plants in Constructed Floating Wetlands as a Passive Remediation Approach for PFAS-Impacted Surface Water</t>
        </is>
      </c>
      <c r="BU347" t="inlineStr">
        <is>
          <t>J. Hazard. Mater.429:11 p.</t>
        </is>
      </c>
      <c r="BV347" t="n">
        <v>2022.0</v>
      </c>
      <c r="BW34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8">
      <c r="A348" t="n">
        <v>2795393.0</v>
      </c>
      <c r="B348" t="inlineStr">
        <is>
          <t>1,1,2,2,3,3,4,4,5,5,6,6,7,7,8,8,8-Heptadecafluoro-1-octanesulfonic acid potassium salt</t>
        </is>
      </c>
      <c r="C348"/>
      <c r="D348" t="inlineStr">
        <is>
          <t>Chemical analysis reported</t>
        </is>
      </c>
      <c r="E348" t="inlineStr">
        <is>
          <t>&gt;=</t>
        </is>
      </c>
      <c r="F348" t="n">
        <v>98.0</v>
      </c>
      <c r="G348"/>
      <c r="H348"/>
      <c r="I348"/>
      <c r="J348"/>
      <c r="K348" t="inlineStr">
        <is>
          <t>Juncus krausii</t>
        </is>
      </c>
      <c r="L348" t="inlineStr">
        <is>
          <t>Sea Rush</t>
        </is>
      </c>
      <c r="M348" t="inlineStr">
        <is>
          <t>Flowers, Trees, Shrubs, Ferns</t>
        </is>
      </c>
      <c r="N348"/>
      <c r="O348"/>
      <c r="P348"/>
      <c r="Q348"/>
      <c r="R348"/>
      <c r="S348"/>
      <c r="T348"/>
      <c r="U348"/>
      <c r="V348" t="inlineStr">
        <is>
          <t>Hydroponic</t>
        </is>
      </c>
      <c r="W348" t="inlineStr">
        <is>
          <t>Hydroponic</t>
        </is>
      </c>
      <c r="X348" t="inlineStr">
        <is>
          <t>Lab</t>
        </is>
      </c>
      <c r="Y348" t="n">
        <v>5.0</v>
      </c>
      <c r="Z348" t="inlineStr">
        <is>
          <t>Active ingredient</t>
        </is>
      </c>
      <c r="AA348"/>
      <c r="AB348" t="n">
        <v>30.0</v>
      </c>
      <c r="AC348"/>
      <c r="AD348"/>
      <c r="AE348"/>
      <c r="AF348"/>
      <c r="AG348" t="inlineStr">
        <is>
          <t>ug/L</t>
        </is>
      </c>
      <c r="AH348"/>
      <c r="AI348"/>
      <c r="AJ348"/>
      <c r="AK348"/>
      <c r="AL348"/>
      <c r="AM348"/>
      <c r="AN348"/>
      <c r="AO348"/>
      <c r="AP348"/>
      <c r="AQ348"/>
      <c r="AR348"/>
      <c r="AS348"/>
      <c r="AT348"/>
      <c r="AU348"/>
      <c r="AV348"/>
      <c r="AW348"/>
      <c r="AX348" t="inlineStr">
        <is>
          <t>Accumulation</t>
        </is>
      </c>
      <c r="AY348" t="inlineStr">
        <is>
          <t>Residue</t>
        </is>
      </c>
      <c r="AZ348" t="inlineStr">
        <is>
          <t>BAF</t>
        </is>
      </c>
      <c r="BA348"/>
      <c r="BB348" t="n">
        <v>0.37</v>
      </c>
      <c r="BC348"/>
      <c r="BD348"/>
      <c r="BE348"/>
      <c r="BF348"/>
      <c r="BG348"/>
      <c r="BH348"/>
      <c r="BI348" t="inlineStr">
        <is>
          <t>L/kg</t>
        </is>
      </c>
      <c r="BJ348" t="inlineStr">
        <is>
          <t>Shoot</t>
        </is>
      </c>
      <c r="BK348"/>
      <c r="BL348" t="n">
        <v>1.0</v>
      </c>
      <c r="BM348"/>
      <c r="BN348"/>
      <c r="BO348"/>
      <c r="BP348"/>
      <c r="BQ348" t="inlineStr">
        <is>
          <t>Day(s)</t>
        </is>
      </c>
      <c r="BR348" t="inlineStr">
        <is>
          <t>Awad,J., G. Brunetti, A. Juhasz, M. Williams, D. Navarro, B. Drigo, J. Bougoure, J. Vanderzalm, and S. Beecham</t>
        </is>
      </c>
      <c r="BS348" t="n">
        <v>191324.0</v>
      </c>
      <c r="BT348" t="inlineStr">
        <is>
          <t>Application of Native Plants in Constructed Floating Wetlands as a Passive Remediation Approach for PFAS-Impacted Surface Water</t>
        </is>
      </c>
      <c r="BU348" t="inlineStr">
        <is>
          <t>J. Hazard. Mater.429:11 p.</t>
        </is>
      </c>
      <c r="BV348" t="n">
        <v>2022.0</v>
      </c>
      <c r="BW34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9">
      <c r="A349" t="n">
        <v>2795393.0</v>
      </c>
      <c r="B349" t="inlineStr">
        <is>
          <t>1,1,2,2,3,3,4,4,5,5,6,6,7,7,8,8,8-Heptadecafluoro-1-octanesulfonic acid potassium salt</t>
        </is>
      </c>
      <c r="C349"/>
      <c r="D349" t="inlineStr">
        <is>
          <t>Chemical analysis reported</t>
        </is>
      </c>
      <c r="E349" t="inlineStr">
        <is>
          <t>&gt;=</t>
        </is>
      </c>
      <c r="F349" t="n">
        <v>98.0</v>
      </c>
      <c r="G349"/>
      <c r="H349"/>
      <c r="I349"/>
      <c r="J349"/>
      <c r="K349" t="inlineStr">
        <is>
          <t>Juncus krausii</t>
        </is>
      </c>
      <c r="L349" t="inlineStr">
        <is>
          <t>Sea Rush</t>
        </is>
      </c>
      <c r="M349" t="inlineStr">
        <is>
          <t>Flowers, Trees, Shrubs, Ferns</t>
        </is>
      </c>
      <c r="N349"/>
      <c r="O349"/>
      <c r="P349"/>
      <c r="Q349"/>
      <c r="R349"/>
      <c r="S349"/>
      <c r="T349"/>
      <c r="U349"/>
      <c r="V349" t="inlineStr">
        <is>
          <t>Hydroponic</t>
        </is>
      </c>
      <c r="W349" t="inlineStr">
        <is>
          <t>Hydroponic</t>
        </is>
      </c>
      <c r="X349" t="inlineStr">
        <is>
          <t>Lab</t>
        </is>
      </c>
      <c r="Y349" t="n">
        <v>5.0</v>
      </c>
      <c r="Z349" t="inlineStr">
        <is>
          <t>Active ingredient</t>
        </is>
      </c>
      <c r="AA349"/>
      <c r="AB349" t="n">
        <v>2.0</v>
      </c>
      <c r="AC349"/>
      <c r="AD349"/>
      <c r="AE349"/>
      <c r="AF349"/>
      <c r="AG349" t="inlineStr">
        <is>
          <t>ug/L</t>
        </is>
      </c>
      <c r="AH349"/>
      <c r="AI349"/>
      <c r="AJ349"/>
      <c r="AK349"/>
      <c r="AL349"/>
      <c r="AM349"/>
      <c r="AN349"/>
      <c r="AO349"/>
      <c r="AP349"/>
      <c r="AQ349"/>
      <c r="AR349"/>
      <c r="AS349"/>
      <c r="AT349"/>
      <c r="AU349"/>
      <c r="AV349"/>
      <c r="AW349"/>
      <c r="AX349" t="inlineStr">
        <is>
          <t>Accumulation</t>
        </is>
      </c>
      <c r="AY349" t="inlineStr">
        <is>
          <t>Residue</t>
        </is>
      </c>
      <c r="AZ349" t="inlineStr">
        <is>
          <t>BAF</t>
        </is>
      </c>
      <c r="BA349"/>
      <c r="BB349" t="n">
        <v>2.25</v>
      </c>
      <c r="BC349"/>
      <c r="BD349"/>
      <c r="BE349"/>
      <c r="BF349"/>
      <c r="BG349"/>
      <c r="BH349"/>
      <c r="BI349" t="inlineStr">
        <is>
          <t>L/kg</t>
        </is>
      </c>
      <c r="BJ349" t="inlineStr">
        <is>
          <t>Root</t>
        </is>
      </c>
      <c r="BK349"/>
      <c r="BL349" t="n">
        <v>1.0</v>
      </c>
      <c r="BM349"/>
      <c r="BN349"/>
      <c r="BO349"/>
      <c r="BP349"/>
      <c r="BQ349" t="inlineStr">
        <is>
          <t>Day(s)</t>
        </is>
      </c>
      <c r="BR349" t="inlineStr">
        <is>
          <t>Awad,J., G. Brunetti, A. Juhasz, M. Williams, D. Navarro, B. Drigo, J. Bougoure, J. Vanderzalm, and S. Beecham</t>
        </is>
      </c>
      <c r="BS349" t="n">
        <v>191324.0</v>
      </c>
      <c r="BT349" t="inlineStr">
        <is>
          <t>Application of Native Plants in Constructed Floating Wetlands as a Passive Remediation Approach for PFAS-Impacted Surface Water</t>
        </is>
      </c>
      <c r="BU349" t="inlineStr">
        <is>
          <t>J. Hazard. Mater.429:11 p.</t>
        </is>
      </c>
      <c r="BV349" t="n">
        <v>2022.0</v>
      </c>
      <c r="BW34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0">
      <c r="A350" t="n">
        <v>2795393.0</v>
      </c>
      <c r="B350" t="inlineStr">
        <is>
          <t>1,1,2,2,3,3,4,4,5,5,6,6,7,7,8,8,8-Heptadecafluoro-1-octanesulfonic acid potassium salt</t>
        </is>
      </c>
      <c r="C350"/>
      <c r="D350" t="inlineStr">
        <is>
          <t>Chemical analysis reported</t>
        </is>
      </c>
      <c r="E350" t="inlineStr">
        <is>
          <t>&gt;=</t>
        </is>
      </c>
      <c r="F350" t="n">
        <v>98.0</v>
      </c>
      <c r="G350"/>
      <c r="H350"/>
      <c r="I350"/>
      <c r="J350"/>
      <c r="K350" t="inlineStr">
        <is>
          <t>Juncus krausii</t>
        </is>
      </c>
      <c r="L350" t="inlineStr">
        <is>
          <t>Sea Rush</t>
        </is>
      </c>
      <c r="M350" t="inlineStr">
        <is>
          <t>Flowers, Trees, Shrubs, Ferns</t>
        </is>
      </c>
      <c r="N350"/>
      <c r="O350"/>
      <c r="P350"/>
      <c r="Q350"/>
      <c r="R350"/>
      <c r="S350"/>
      <c r="T350"/>
      <c r="U350"/>
      <c r="V350" t="inlineStr">
        <is>
          <t>Hydroponic</t>
        </is>
      </c>
      <c r="W350" t="inlineStr">
        <is>
          <t>Hydroponic</t>
        </is>
      </c>
      <c r="X350" t="inlineStr">
        <is>
          <t>Lab</t>
        </is>
      </c>
      <c r="Y350" t="n">
        <v>5.0</v>
      </c>
      <c r="Z350" t="inlineStr">
        <is>
          <t>Active ingredient</t>
        </is>
      </c>
      <c r="AA350"/>
      <c r="AB350" t="n">
        <v>2.0</v>
      </c>
      <c r="AC350"/>
      <c r="AD350"/>
      <c r="AE350"/>
      <c r="AF350"/>
      <c r="AG350" t="inlineStr">
        <is>
          <t>ug/L</t>
        </is>
      </c>
      <c r="AH350"/>
      <c r="AI350"/>
      <c r="AJ350"/>
      <c r="AK350"/>
      <c r="AL350"/>
      <c r="AM350"/>
      <c r="AN350"/>
      <c r="AO350"/>
      <c r="AP350"/>
      <c r="AQ350"/>
      <c r="AR350"/>
      <c r="AS350"/>
      <c r="AT350"/>
      <c r="AU350"/>
      <c r="AV350"/>
      <c r="AW350"/>
      <c r="AX350" t="inlineStr">
        <is>
          <t>Accumulation</t>
        </is>
      </c>
      <c r="AY350" t="inlineStr">
        <is>
          <t>Residue</t>
        </is>
      </c>
      <c r="AZ350" t="inlineStr">
        <is>
          <t>BAF</t>
        </is>
      </c>
      <c r="BA350"/>
      <c r="BB350" t="n">
        <v>16.11</v>
      </c>
      <c r="BC350"/>
      <c r="BD350"/>
      <c r="BE350"/>
      <c r="BF350"/>
      <c r="BG350"/>
      <c r="BH350"/>
      <c r="BI350" t="inlineStr">
        <is>
          <t>L/kg</t>
        </is>
      </c>
      <c r="BJ350" t="inlineStr">
        <is>
          <t>Shoot</t>
        </is>
      </c>
      <c r="BK350"/>
      <c r="BL350" t="n">
        <v>14.0</v>
      </c>
      <c r="BM350"/>
      <c r="BN350"/>
      <c r="BO350"/>
      <c r="BP350"/>
      <c r="BQ350" t="inlineStr">
        <is>
          <t>Day(s)</t>
        </is>
      </c>
      <c r="BR350" t="inlineStr">
        <is>
          <t>Awad,J., G. Brunetti, A. Juhasz, M. Williams, D. Navarro, B. Drigo, J. Bougoure, J. Vanderzalm, and S. Beecham</t>
        </is>
      </c>
      <c r="BS350" t="n">
        <v>191324.0</v>
      </c>
      <c r="BT350" t="inlineStr">
        <is>
          <t>Application of Native Plants in Constructed Floating Wetlands as a Passive Remediation Approach for PFAS-Impacted Surface Water</t>
        </is>
      </c>
      <c r="BU350" t="inlineStr">
        <is>
          <t>J. Hazard. Mater.429:11 p.</t>
        </is>
      </c>
      <c r="BV350" t="n">
        <v>2022.0</v>
      </c>
      <c r="BW35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1">
      <c r="A351" t="n">
        <v>2795393.0</v>
      </c>
      <c r="B351" t="inlineStr">
        <is>
          <t>1,1,2,2,3,3,4,4,5,5,6,6,7,7,8,8,8-Heptadecafluoro-1-octanesulfonic acid potassium salt</t>
        </is>
      </c>
      <c r="C351"/>
      <c r="D351" t="inlineStr">
        <is>
          <t>Chemical analysis reported</t>
        </is>
      </c>
      <c r="E351" t="inlineStr">
        <is>
          <t>&gt;=</t>
        </is>
      </c>
      <c r="F351" t="n">
        <v>98.0</v>
      </c>
      <c r="G351"/>
      <c r="H351"/>
      <c r="I351"/>
      <c r="J351"/>
      <c r="K351" t="inlineStr">
        <is>
          <t>Juncus krausii</t>
        </is>
      </c>
      <c r="L351" t="inlineStr">
        <is>
          <t>Sea Rush</t>
        </is>
      </c>
      <c r="M351" t="inlineStr">
        <is>
          <t>Flowers, Trees, Shrubs, Ferns</t>
        </is>
      </c>
      <c r="N351"/>
      <c r="O351"/>
      <c r="P351"/>
      <c r="Q351"/>
      <c r="R351"/>
      <c r="S351"/>
      <c r="T351"/>
      <c r="U351"/>
      <c r="V351" t="inlineStr">
        <is>
          <t>Hydroponic</t>
        </is>
      </c>
      <c r="W351" t="inlineStr">
        <is>
          <t>Hydroponic</t>
        </is>
      </c>
      <c r="X351" t="inlineStr">
        <is>
          <t>Lab</t>
        </is>
      </c>
      <c r="Y351" t="n">
        <v>5.0</v>
      </c>
      <c r="Z351" t="inlineStr">
        <is>
          <t>Active ingredient</t>
        </is>
      </c>
      <c r="AA351"/>
      <c r="AB351" t="n">
        <v>30.0</v>
      </c>
      <c r="AC351"/>
      <c r="AD351"/>
      <c r="AE351"/>
      <c r="AF351"/>
      <c r="AG351" t="inlineStr">
        <is>
          <t>ug/L</t>
        </is>
      </c>
      <c r="AH351"/>
      <c r="AI351"/>
      <c r="AJ351"/>
      <c r="AK351"/>
      <c r="AL351"/>
      <c r="AM351"/>
      <c r="AN351"/>
      <c r="AO351"/>
      <c r="AP351"/>
      <c r="AQ351"/>
      <c r="AR351"/>
      <c r="AS351"/>
      <c r="AT351"/>
      <c r="AU351"/>
      <c r="AV351"/>
      <c r="AW351"/>
      <c r="AX351" t="inlineStr">
        <is>
          <t>Accumulation</t>
        </is>
      </c>
      <c r="AY351" t="inlineStr">
        <is>
          <t>Residue</t>
        </is>
      </c>
      <c r="AZ351" t="inlineStr">
        <is>
          <t>BAF</t>
        </is>
      </c>
      <c r="BA351"/>
      <c r="BB351" t="n">
        <v>5.59</v>
      </c>
      <c r="BC351"/>
      <c r="BD351"/>
      <c r="BE351"/>
      <c r="BF351"/>
      <c r="BG351"/>
      <c r="BH351"/>
      <c r="BI351" t="inlineStr">
        <is>
          <t>L/kg</t>
        </is>
      </c>
      <c r="BJ351" t="inlineStr">
        <is>
          <t>Root</t>
        </is>
      </c>
      <c r="BK351"/>
      <c r="BL351" t="n">
        <v>7.0</v>
      </c>
      <c r="BM351"/>
      <c r="BN351"/>
      <c r="BO351"/>
      <c r="BP351"/>
      <c r="BQ351" t="inlineStr">
        <is>
          <t>Day(s)</t>
        </is>
      </c>
      <c r="BR351" t="inlineStr">
        <is>
          <t>Awad,J., G. Brunetti, A. Juhasz, M. Williams, D. Navarro, B. Drigo, J. Bougoure, J. Vanderzalm, and S. Beecham</t>
        </is>
      </c>
      <c r="BS351" t="n">
        <v>191324.0</v>
      </c>
      <c r="BT351" t="inlineStr">
        <is>
          <t>Application of Native Plants in Constructed Floating Wetlands as a Passive Remediation Approach for PFAS-Impacted Surface Water</t>
        </is>
      </c>
      <c r="BU351" t="inlineStr">
        <is>
          <t>J. Hazard. Mater.429:11 p.</t>
        </is>
      </c>
      <c r="BV351" t="n">
        <v>2022.0</v>
      </c>
      <c r="BW35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2">
      <c r="A352" t="n">
        <v>2795393.0</v>
      </c>
      <c r="B352" t="inlineStr">
        <is>
          <t>1,1,2,2,3,3,4,4,5,5,6,6,7,7,8,8,8-Heptadecafluoro-1-octanesulfonic acid potassium salt</t>
        </is>
      </c>
      <c r="C352"/>
      <c r="D352" t="inlineStr">
        <is>
          <t>Chemical analysis reported</t>
        </is>
      </c>
      <c r="E352" t="inlineStr">
        <is>
          <t>&gt;=</t>
        </is>
      </c>
      <c r="F352" t="n">
        <v>98.0</v>
      </c>
      <c r="G352"/>
      <c r="H352"/>
      <c r="I352"/>
      <c r="J352"/>
      <c r="K352" t="inlineStr">
        <is>
          <t>Juncus krausii</t>
        </is>
      </c>
      <c r="L352" t="inlineStr">
        <is>
          <t>Sea Rush</t>
        </is>
      </c>
      <c r="M352" t="inlineStr">
        <is>
          <t>Flowers, Trees, Shrubs, Ferns</t>
        </is>
      </c>
      <c r="N352"/>
      <c r="O352"/>
      <c r="P352"/>
      <c r="Q352"/>
      <c r="R352"/>
      <c r="S352"/>
      <c r="T352"/>
      <c r="U352"/>
      <c r="V352" t="inlineStr">
        <is>
          <t>Hydroponic</t>
        </is>
      </c>
      <c r="W352" t="inlineStr">
        <is>
          <t>Hydroponic</t>
        </is>
      </c>
      <c r="X352" t="inlineStr">
        <is>
          <t>Lab</t>
        </is>
      </c>
      <c r="Y352" t="n">
        <v>5.0</v>
      </c>
      <c r="Z352" t="inlineStr">
        <is>
          <t>Active ingredient</t>
        </is>
      </c>
      <c r="AA352"/>
      <c r="AB352" t="n">
        <v>30.0</v>
      </c>
      <c r="AC352"/>
      <c r="AD352"/>
      <c r="AE352"/>
      <c r="AF352"/>
      <c r="AG352" t="inlineStr">
        <is>
          <t>ug/L</t>
        </is>
      </c>
      <c r="AH352"/>
      <c r="AI352"/>
      <c r="AJ352"/>
      <c r="AK352"/>
      <c r="AL352"/>
      <c r="AM352"/>
      <c r="AN352"/>
      <c r="AO352"/>
      <c r="AP352"/>
      <c r="AQ352"/>
      <c r="AR352"/>
      <c r="AS352"/>
      <c r="AT352"/>
      <c r="AU352"/>
      <c r="AV352"/>
      <c r="AW352"/>
      <c r="AX352" t="inlineStr">
        <is>
          <t>Accumulation</t>
        </is>
      </c>
      <c r="AY352" t="inlineStr">
        <is>
          <t>Residue</t>
        </is>
      </c>
      <c r="AZ352" t="inlineStr">
        <is>
          <t>BAF</t>
        </is>
      </c>
      <c r="BA352"/>
      <c r="BB352" t="n">
        <v>1.48</v>
      </c>
      <c r="BC352"/>
      <c r="BD352"/>
      <c r="BE352"/>
      <c r="BF352"/>
      <c r="BG352"/>
      <c r="BH352"/>
      <c r="BI352" t="inlineStr">
        <is>
          <t>L/kg</t>
        </is>
      </c>
      <c r="BJ352" t="inlineStr">
        <is>
          <t>Root</t>
        </is>
      </c>
      <c r="BK352"/>
      <c r="BL352" t="n">
        <v>1.0</v>
      </c>
      <c r="BM352"/>
      <c r="BN352"/>
      <c r="BO352"/>
      <c r="BP352"/>
      <c r="BQ352" t="inlineStr">
        <is>
          <t>Day(s)</t>
        </is>
      </c>
      <c r="BR352" t="inlineStr">
        <is>
          <t>Awad,J., G. Brunetti, A. Juhasz, M. Williams, D. Navarro, B. Drigo, J. Bougoure, J. Vanderzalm, and S. Beecham</t>
        </is>
      </c>
      <c r="BS352" t="n">
        <v>191324.0</v>
      </c>
      <c r="BT352" t="inlineStr">
        <is>
          <t>Application of Native Plants in Constructed Floating Wetlands as a Passive Remediation Approach for PFAS-Impacted Surface Water</t>
        </is>
      </c>
      <c r="BU352" t="inlineStr">
        <is>
          <t>J. Hazard. Mater.429:11 p.</t>
        </is>
      </c>
      <c r="BV352" t="n">
        <v>2022.0</v>
      </c>
      <c r="BW35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3">
      <c r="A353" t="n">
        <v>2795393.0</v>
      </c>
      <c r="B353" t="inlineStr">
        <is>
          <t>1,1,2,2,3,3,4,4,5,5,6,6,7,7,8,8,8-Heptadecafluoro-1-octanesulfonic acid potassium salt</t>
        </is>
      </c>
      <c r="C353"/>
      <c r="D353" t="inlineStr">
        <is>
          <t>Chemical analysis reported</t>
        </is>
      </c>
      <c r="E353" t="inlineStr">
        <is>
          <t>&gt;=</t>
        </is>
      </c>
      <c r="F353" t="n">
        <v>98.0</v>
      </c>
      <c r="G353"/>
      <c r="H353"/>
      <c r="I353"/>
      <c r="J353"/>
      <c r="K353" t="inlineStr">
        <is>
          <t>Juncus krausii</t>
        </is>
      </c>
      <c r="L353" t="inlineStr">
        <is>
          <t>Sea Rush</t>
        </is>
      </c>
      <c r="M353" t="inlineStr">
        <is>
          <t>Flowers, Trees, Shrubs, Ferns</t>
        </is>
      </c>
      <c r="N353"/>
      <c r="O353"/>
      <c r="P353"/>
      <c r="Q353"/>
      <c r="R353"/>
      <c r="S353"/>
      <c r="T353"/>
      <c r="U353"/>
      <c r="V353" t="inlineStr">
        <is>
          <t>Hydroponic</t>
        </is>
      </c>
      <c r="W353" t="inlineStr">
        <is>
          <t>Hydroponic</t>
        </is>
      </c>
      <c r="X353" t="inlineStr">
        <is>
          <t>Lab</t>
        </is>
      </c>
      <c r="Y353" t="n">
        <v>5.0</v>
      </c>
      <c r="Z353" t="inlineStr">
        <is>
          <t>Active ingredient</t>
        </is>
      </c>
      <c r="AA353"/>
      <c r="AB353" t="n">
        <v>0.2</v>
      </c>
      <c r="AC353"/>
      <c r="AD353"/>
      <c r="AE353"/>
      <c r="AF353"/>
      <c r="AG353" t="inlineStr">
        <is>
          <t>ug/L</t>
        </is>
      </c>
      <c r="AH353"/>
      <c r="AI353"/>
      <c r="AJ353"/>
      <c r="AK353"/>
      <c r="AL353"/>
      <c r="AM353"/>
      <c r="AN353"/>
      <c r="AO353"/>
      <c r="AP353"/>
      <c r="AQ353"/>
      <c r="AR353"/>
      <c r="AS353"/>
      <c r="AT353"/>
      <c r="AU353"/>
      <c r="AV353"/>
      <c r="AW353"/>
      <c r="AX353" t="inlineStr">
        <is>
          <t>Accumulation</t>
        </is>
      </c>
      <c r="AY353" t="inlineStr">
        <is>
          <t>Residue</t>
        </is>
      </c>
      <c r="AZ353" t="inlineStr">
        <is>
          <t>BAF</t>
        </is>
      </c>
      <c r="BA353"/>
      <c r="BB353" t="n">
        <v>43.45</v>
      </c>
      <c r="BC353"/>
      <c r="BD353"/>
      <c r="BE353"/>
      <c r="BF353"/>
      <c r="BG353"/>
      <c r="BH353"/>
      <c r="BI353" t="inlineStr">
        <is>
          <t>L/kg</t>
        </is>
      </c>
      <c r="BJ353" t="inlineStr">
        <is>
          <t>Root</t>
        </is>
      </c>
      <c r="BK353"/>
      <c r="BL353" t="n">
        <v>7.0</v>
      </c>
      <c r="BM353"/>
      <c r="BN353"/>
      <c r="BO353"/>
      <c r="BP353"/>
      <c r="BQ353" t="inlineStr">
        <is>
          <t>Day(s)</t>
        </is>
      </c>
      <c r="BR353" t="inlineStr">
        <is>
          <t>Awad,J., G. Brunetti, A. Juhasz, M. Williams, D. Navarro, B. Drigo, J. Bougoure, J. Vanderzalm, and S. Beecham</t>
        </is>
      </c>
      <c r="BS353" t="n">
        <v>191324.0</v>
      </c>
      <c r="BT353" t="inlineStr">
        <is>
          <t>Application of Native Plants in Constructed Floating Wetlands as a Passive Remediation Approach for PFAS-Impacted Surface Water</t>
        </is>
      </c>
      <c r="BU353" t="inlineStr">
        <is>
          <t>J. Hazard. Mater.429:11 p.</t>
        </is>
      </c>
      <c r="BV353" t="n">
        <v>2022.0</v>
      </c>
      <c r="BW35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4">
      <c r="A354" t="n">
        <v>2795393.0</v>
      </c>
      <c r="B354" t="inlineStr">
        <is>
          <t>1,1,2,2,3,3,4,4,5,5,6,6,7,7,8,8,8-Heptadecafluoro-1-octanesulfonic acid potassium salt</t>
        </is>
      </c>
      <c r="C354"/>
      <c r="D354" t="inlineStr">
        <is>
          <t>Chemical analysis reported</t>
        </is>
      </c>
      <c r="E354" t="inlineStr">
        <is>
          <t>&gt;=</t>
        </is>
      </c>
      <c r="F354" t="n">
        <v>98.0</v>
      </c>
      <c r="G354"/>
      <c r="H354"/>
      <c r="I354"/>
      <c r="J354"/>
      <c r="K354" t="inlineStr">
        <is>
          <t>Juncus krausii</t>
        </is>
      </c>
      <c r="L354" t="inlineStr">
        <is>
          <t>Sea Rush</t>
        </is>
      </c>
      <c r="M354" t="inlineStr">
        <is>
          <t>Flowers, Trees, Shrubs, Ferns</t>
        </is>
      </c>
      <c r="N354"/>
      <c r="O354"/>
      <c r="P354"/>
      <c r="Q354"/>
      <c r="R354"/>
      <c r="S354"/>
      <c r="T354"/>
      <c r="U354"/>
      <c r="V354" t="inlineStr">
        <is>
          <t>Hydroponic</t>
        </is>
      </c>
      <c r="W354" t="inlineStr">
        <is>
          <t>Hydroponic</t>
        </is>
      </c>
      <c r="X354" t="inlineStr">
        <is>
          <t>Lab</t>
        </is>
      </c>
      <c r="Y354" t="n">
        <v>5.0</v>
      </c>
      <c r="Z354" t="inlineStr">
        <is>
          <t>Active ingredient</t>
        </is>
      </c>
      <c r="AA354"/>
      <c r="AB354" t="n">
        <v>10.0</v>
      </c>
      <c r="AC354"/>
      <c r="AD354"/>
      <c r="AE354"/>
      <c r="AF354"/>
      <c r="AG354" t="inlineStr">
        <is>
          <t>ug/L</t>
        </is>
      </c>
      <c r="AH354"/>
      <c r="AI354"/>
      <c r="AJ354"/>
      <c r="AK354"/>
      <c r="AL354"/>
      <c r="AM354"/>
      <c r="AN354"/>
      <c r="AO354"/>
      <c r="AP354"/>
      <c r="AQ354"/>
      <c r="AR354"/>
      <c r="AS354"/>
      <c r="AT354"/>
      <c r="AU354"/>
      <c r="AV354"/>
      <c r="AW354"/>
      <c r="AX354" t="inlineStr">
        <is>
          <t>Accumulation</t>
        </is>
      </c>
      <c r="AY354" t="inlineStr">
        <is>
          <t>Residue</t>
        </is>
      </c>
      <c r="AZ354" t="inlineStr">
        <is>
          <t>BAF</t>
        </is>
      </c>
      <c r="BA354"/>
      <c r="BB354" t="n">
        <v>0.66</v>
      </c>
      <c r="BC354"/>
      <c r="BD354"/>
      <c r="BE354"/>
      <c r="BF354"/>
      <c r="BG354"/>
      <c r="BH354"/>
      <c r="BI354" t="inlineStr">
        <is>
          <t>L/kg</t>
        </is>
      </c>
      <c r="BJ354" t="inlineStr">
        <is>
          <t>Root</t>
        </is>
      </c>
      <c r="BK354"/>
      <c r="BL354" t="n">
        <v>1.0</v>
      </c>
      <c r="BM354"/>
      <c r="BN354"/>
      <c r="BO354"/>
      <c r="BP354"/>
      <c r="BQ354" t="inlineStr">
        <is>
          <t>Day(s)</t>
        </is>
      </c>
      <c r="BR354" t="inlineStr">
        <is>
          <t>Awad,J., G. Brunetti, A. Juhasz, M. Williams, D. Navarro, B. Drigo, J. Bougoure, J. Vanderzalm, and S. Beecham</t>
        </is>
      </c>
      <c r="BS354" t="n">
        <v>191324.0</v>
      </c>
      <c r="BT354" t="inlineStr">
        <is>
          <t>Application of Native Plants in Constructed Floating Wetlands as a Passive Remediation Approach for PFAS-Impacted Surface Water</t>
        </is>
      </c>
      <c r="BU354" t="inlineStr">
        <is>
          <t>J. Hazard. Mater.429:11 p.</t>
        </is>
      </c>
      <c r="BV354" t="n">
        <v>2022.0</v>
      </c>
      <c r="BW35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5">
      <c r="A355" t="n">
        <v>2795393.0</v>
      </c>
      <c r="B355" t="inlineStr">
        <is>
          <t>1,1,2,2,3,3,4,4,5,5,6,6,7,7,8,8,8-Heptadecafluoro-1-octanesulfonic acid potassium salt</t>
        </is>
      </c>
      <c r="C355"/>
      <c r="D355" t="inlineStr">
        <is>
          <t>Chemical analysis reported</t>
        </is>
      </c>
      <c r="E355" t="inlineStr">
        <is>
          <t>&gt;=</t>
        </is>
      </c>
      <c r="F355" t="n">
        <v>98.0</v>
      </c>
      <c r="G355"/>
      <c r="H355"/>
      <c r="I355"/>
      <c r="J355"/>
      <c r="K355" t="inlineStr">
        <is>
          <t>Juncus krausii</t>
        </is>
      </c>
      <c r="L355" t="inlineStr">
        <is>
          <t>Sea Rush</t>
        </is>
      </c>
      <c r="M355" t="inlineStr">
        <is>
          <t>Flowers, Trees, Shrubs, Ferns</t>
        </is>
      </c>
      <c r="N355"/>
      <c r="O355"/>
      <c r="P355"/>
      <c r="Q355"/>
      <c r="R355"/>
      <c r="S355"/>
      <c r="T355"/>
      <c r="U355"/>
      <c r="V355" t="inlineStr">
        <is>
          <t>Hydroponic</t>
        </is>
      </c>
      <c r="W355" t="inlineStr">
        <is>
          <t>Hydroponic</t>
        </is>
      </c>
      <c r="X355" t="inlineStr">
        <is>
          <t>Lab</t>
        </is>
      </c>
      <c r="Y355" t="n">
        <v>5.0</v>
      </c>
      <c r="Z355" t="inlineStr">
        <is>
          <t>Active ingredient</t>
        </is>
      </c>
      <c r="AA355"/>
      <c r="AB355" t="n">
        <v>10.0</v>
      </c>
      <c r="AC355"/>
      <c r="AD355"/>
      <c r="AE355"/>
      <c r="AF355"/>
      <c r="AG355" t="inlineStr">
        <is>
          <t>ug/L</t>
        </is>
      </c>
      <c r="AH355"/>
      <c r="AI355"/>
      <c r="AJ355"/>
      <c r="AK355"/>
      <c r="AL355"/>
      <c r="AM355"/>
      <c r="AN355"/>
      <c r="AO355"/>
      <c r="AP355"/>
      <c r="AQ355"/>
      <c r="AR355"/>
      <c r="AS355"/>
      <c r="AT355"/>
      <c r="AU355"/>
      <c r="AV355"/>
      <c r="AW355"/>
      <c r="AX355" t="inlineStr">
        <is>
          <t>Accumulation</t>
        </is>
      </c>
      <c r="AY355" t="inlineStr">
        <is>
          <t>Residue</t>
        </is>
      </c>
      <c r="AZ355" t="inlineStr">
        <is>
          <t>BAF</t>
        </is>
      </c>
      <c r="BA355"/>
      <c r="BB355" t="n">
        <v>0.35</v>
      </c>
      <c r="BC355"/>
      <c r="BD355"/>
      <c r="BE355"/>
      <c r="BF355"/>
      <c r="BG355"/>
      <c r="BH355"/>
      <c r="BI355" t="inlineStr">
        <is>
          <t>L/kg</t>
        </is>
      </c>
      <c r="BJ355" t="inlineStr">
        <is>
          <t>Whole organism</t>
        </is>
      </c>
      <c r="BK355"/>
      <c r="BL355" t="n">
        <v>1.0</v>
      </c>
      <c r="BM355"/>
      <c r="BN355"/>
      <c r="BO355"/>
      <c r="BP355"/>
      <c r="BQ355" t="inlineStr">
        <is>
          <t>Day(s)</t>
        </is>
      </c>
      <c r="BR355" t="inlineStr">
        <is>
          <t>Awad,J., G. Brunetti, A. Juhasz, M. Williams, D. Navarro, B. Drigo, J. Bougoure, J. Vanderzalm, and S. Beecham</t>
        </is>
      </c>
      <c r="BS355" t="n">
        <v>191324.0</v>
      </c>
      <c r="BT355" t="inlineStr">
        <is>
          <t>Application of Native Plants in Constructed Floating Wetlands as a Passive Remediation Approach for PFAS-Impacted Surface Water</t>
        </is>
      </c>
      <c r="BU355" t="inlineStr">
        <is>
          <t>J. Hazard. Mater.429:11 p.</t>
        </is>
      </c>
      <c r="BV355" t="n">
        <v>2022.0</v>
      </c>
      <c r="BW35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6">
      <c r="A356" t="n">
        <v>2795393.0</v>
      </c>
      <c r="B356" t="inlineStr">
        <is>
          <t>1,1,2,2,3,3,4,4,5,5,6,6,7,7,8,8,8-Heptadecafluoro-1-octanesulfonic acid potassium salt</t>
        </is>
      </c>
      <c r="C356"/>
      <c r="D356" t="inlineStr">
        <is>
          <t>Chemical analysis reported</t>
        </is>
      </c>
      <c r="E356" t="inlineStr">
        <is>
          <t>&gt;=</t>
        </is>
      </c>
      <c r="F356" t="n">
        <v>98.0</v>
      </c>
      <c r="G356"/>
      <c r="H356"/>
      <c r="I356"/>
      <c r="J356"/>
      <c r="K356" t="inlineStr">
        <is>
          <t>Juncus krausii</t>
        </is>
      </c>
      <c r="L356" t="inlineStr">
        <is>
          <t>Sea Rush</t>
        </is>
      </c>
      <c r="M356" t="inlineStr">
        <is>
          <t>Flowers, Trees, Shrubs, Ferns</t>
        </is>
      </c>
      <c r="N356"/>
      <c r="O356"/>
      <c r="P356"/>
      <c r="Q356"/>
      <c r="R356"/>
      <c r="S356"/>
      <c r="T356"/>
      <c r="U356"/>
      <c r="V356" t="inlineStr">
        <is>
          <t>Hydroponic</t>
        </is>
      </c>
      <c r="W356" t="inlineStr">
        <is>
          <t>Hydroponic</t>
        </is>
      </c>
      <c r="X356" t="inlineStr">
        <is>
          <t>Lab</t>
        </is>
      </c>
      <c r="Y356" t="n">
        <v>5.0</v>
      </c>
      <c r="Z356" t="inlineStr">
        <is>
          <t>Active ingredient</t>
        </is>
      </c>
      <c r="AA356"/>
      <c r="AB356" t="n">
        <v>30.0</v>
      </c>
      <c r="AC356"/>
      <c r="AD356"/>
      <c r="AE356"/>
      <c r="AF356"/>
      <c r="AG356" t="inlineStr">
        <is>
          <t>ug/L</t>
        </is>
      </c>
      <c r="AH356"/>
      <c r="AI356"/>
      <c r="AJ356"/>
      <c r="AK356"/>
      <c r="AL356"/>
      <c r="AM356"/>
      <c r="AN356"/>
      <c r="AO356"/>
      <c r="AP356"/>
      <c r="AQ356"/>
      <c r="AR356"/>
      <c r="AS356"/>
      <c r="AT356"/>
      <c r="AU356"/>
      <c r="AV356"/>
      <c r="AW356"/>
      <c r="AX356" t="inlineStr">
        <is>
          <t>Accumulation</t>
        </is>
      </c>
      <c r="AY356" t="inlineStr">
        <is>
          <t>Residue</t>
        </is>
      </c>
      <c r="AZ356" t="inlineStr">
        <is>
          <t>BAF</t>
        </is>
      </c>
      <c r="BA356"/>
      <c r="BB356" t="n">
        <v>0.68</v>
      </c>
      <c r="BC356"/>
      <c r="BD356"/>
      <c r="BE356"/>
      <c r="BF356"/>
      <c r="BG356"/>
      <c r="BH356"/>
      <c r="BI356" t="inlineStr">
        <is>
          <t>L/kg</t>
        </is>
      </c>
      <c r="BJ356" t="inlineStr">
        <is>
          <t>Whole organism</t>
        </is>
      </c>
      <c r="BK356"/>
      <c r="BL356" t="n">
        <v>1.0</v>
      </c>
      <c r="BM356"/>
      <c r="BN356"/>
      <c r="BO356"/>
      <c r="BP356"/>
      <c r="BQ356" t="inlineStr">
        <is>
          <t>Day(s)</t>
        </is>
      </c>
      <c r="BR356" t="inlineStr">
        <is>
          <t>Awad,J., G. Brunetti, A. Juhasz, M. Williams, D. Navarro, B. Drigo, J. Bougoure, J. Vanderzalm, and S. Beecham</t>
        </is>
      </c>
      <c r="BS356" t="n">
        <v>191324.0</v>
      </c>
      <c r="BT356" t="inlineStr">
        <is>
          <t>Application of Native Plants in Constructed Floating Wetlands as a Passive Remediation Approach for PFAS-Impacted Surface Water</t>
        </is>
      </c>
      <c r="BU356" t="inlineStr">
        <is>
          <t>J. Hazard. Mater.429:11 p.</t>
        </is>
      </c>
      <c r="BV356" t="n">
        <v>2022.0</v>
      </c>
      <c r="BW35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7">
      <c r="A357" t="n">
        <v>2795393.0</v>
      </c>
      <c r="B357" t="inlineStr">
        <is>
          <t>1,1,2,2,3,3,4,4,5,5,6,6,7,7,8,8,8-Heptadecafluoro-1-octanesulfonic acid potassium salt</t>
        </is>
      </c>
      <c r="C357"/>
      <c r="D357" t="inlineStr">
        <is>
          <t>Chemical analysis reported</t>
        </is>
      </c>
      <c r="E357" t="inlineStr">
        <is>
          <t>&gt;=</t>
        </is>
      </c>
      <c r="F357" t="n">
        <v>98.0</v>
      </c>
      <c r="G357"/>
      <c r="H357"/>
      <c r="I357"/>
      <c r="J357"/>
      <c r="K357" t="inlineStr">
        <is>
          <t>Juncus krausii</t>
        </is>
      </c>
      <c r="L357" t="inlineStr">
        <is>
          <t>Sea Rush</t>
        </is>
      </c>
      <c r="M357" t="inlineStr">
        <is>
          <t>Flowers, Trees, Shrubs, Ferns</t>
        </is>
      </c>
      <c r="N357"/>
      <c r="O357"/>
      <c r="P357"/>
      <c r="Q357"/>
      <c r="R357"/>
      <c r="S357"/>
      <c r="T357"/>
      <c r="U357"/>
      <c r="V357" t="inlineStr">
        <is>
          <t>Hydroponic</t>
        </is>
      </c>
      <c r="W357" t="inlineStr">
        <is>
          <t>Hydroponic</t>
        </is>
      </c>
      <c r="X357" t="inlineStr">
        <is>
          <t>Lab</t>
        </is>
      </c>
      <c r="Y357" t="n">
        <v>5.0</v>
      </c>
      <c r="Z357" t="inlineStr">
        <is>
          <t>Active ingredient</t>
        </is>
      </c>
      <c r="AA357"/>
      <c r="AB357" t="n">
        <v>0.2</v>
      </c>
      <c r="AC357"/>
      <c r="AD357"/>
      <c r="AE357"/>
      <c r="AF357"/>
      <c r="AG357" t="inlineStr">
        <is>
          <t>ug/L</t>
        </is>
      </c>
      <c r="AH357"/>
      <c r="AI357"/>
      <c r="AJ357"/>
      <c r="AK357"/>
      <c r="AL357"/>
      <c r="AM357"/>
      <c r="AN357"/>
      <c r="AO357"/>
      <c r="AP357"/>
      <c r="AQ357"/>
      <c r="AR357"/>
      <c r="AS357"/>
      <c r="AT357"/>
      <c r="AU357"/>
      <c r="AV357"/>
      <c r="AW357"/>
      <c r="AX357" t="inlineStr">
        <is>
          <t>Accumulation</t>
        </is>
      </c>
      <c r="AY357" t="inlineStr">
        <is>
          <t>Residue</t>
        </is>
      </c>
      <c r="AZ357" t="inlineStr">
        <is>
          <t>BAF</t>
        </is>
      </c>
      <c r="BA357"/>
      <c r="BB357" t="n">
        <v>38.71</v>
      </c>
      <c r="BC357"/>
      <c r="BD357"/>
      <c r="BE357"/>
      <c r="BF357"/>
      <c r="BG357"/>
      <c r="BH357"/>
      <c r="BI357" t="inlineStr">
        <is>
          <t>L/kg</t>
        </is>
      </c>
      <c r="BJ357" t="inlineStr">
        <is>
          <t>Whole organism</t>
        </is>
      </c>
      <c r="BK357"/>
      <c r="BL357" t="n">
        <v>1.0</v>
      </c>
      <c r="BM357"/>
      <c r="BN357"/>
      <c r="BO357"/>
      <c r="BP357"/>
      <c r="BQ357" t="inlineStr">
        <is>
          <t>Day(s)</t>
        </is>
      </c>
      <c r="BR357" t="inlineStr">
        <is>
          <t>Awad,J., G. Brunetti, A. Juhasz, M. Williams, D. Navarro, B. Drigo, J. Bougoure, J. Vanderzalm, and S. Beecham</t>
        </is>
      </c>
      <c r="BS357" t="n">
        <v>191324.0</v>
      </c>
      <c r="BT357" t="inlineStr">
        <is>
          <t>Application of Native Plants in Constructed Floating Wetlands as a Passive Remediation Approach for PFAS-Impacted Surface Water</t>
        </is>
      </c>
      <c r="BU357" t="inlineStr">
        <is>
          <t>J. Hazard. Mater.429:11 p.</t>
        </is>
      </c>
      <c r="BV357" t="n">
        <v>2022.0</v>
      </c>
      <c r="BW35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8">
      <c r="A358" t="n">
        <v>2795393.0</v>
      </c>
      <c r="B358" t="inlineStr">
        <is>
          <t>1,1,2,2,3,3,4,4,5,5,6,6,7,7,8,8,8-Heptadecafluoro-1-octanesulfonic acid potassium salt</t>
        </is>
      </c>
      <c r="C358"/>
      <c r="D358" t="inlineStr">
        <is>
          <t>Chemical analysis reported</t>
        </is>
      </c>
      <c r="E358" t="inlineStr">
        <is>
          <t>&gt;=</t>
        </is>
      </c>
      <c r="F358" t="n">
        <v>98.0</v>
      </c>
      <c r="G358"/>
      <c r="H358"/>
      <c r="I358"/>
      <c r="J358"/>
      <c r="K358" t="inlineStr">
        <is>
          <t>Juncus krausii</t>
        </is>
      </c>
      <c r="L358" t="inlineStr">
        <is>
          <t>Sea Rush</t>
        </is>
      </c>
      <c r="M358" t="inlineStr">
        <is>
          <t>Flowers, Trees, Shrubs, Ferns</t>
        </is>
      </c>
      <c r="N358"/>
      <c r="O358"/>
      <c r="P358"/>
      <c r="Q358"/>
      <c r="R358"/>
      <c r="S358"/>
      <c r="T358"/>
      <c r="U358"/>
      <c r="V358" t="inlineStr">
        <is>
          <t>Hydroponic</t>
        </is>
      </c>
      <c r="W358" t="inlineStr">
        <is>
          <t>Hydroponic</t>
        </is>
      </c>
      <c r="X358" t="inlineStr">
        <is>
          <t>Lab</t>
        </is>
      </c>
      <c r="Y358" t="n">
        <v>5.0</v>
      </c>
      <c r="Z358" t="inlineStr">
        <is>
          <t>Active ingredient</t>
        </is>
      </c>
      <c r="AA358"/>
      <c r="AB358" t="n">
        <v>0.2</v>
      </c>
      <c r="AC358"/>
      <c r="AD358"/>
      <c r="AE358"/>
      <c r="AF358"/>
      <c r="AG358" t="inlineStr">
        <is>
          <t>ug/L</t>
        </is>
      </c>
      <c r="AH358"/>
      <c r="AI358"/>
      <c r="AJ358"/>
      <c r="AK358"/>
      <c r="AL358"/>
      <c r="AM358"/>
      <c r="AN358"/>
      <c r="AO358"/>
      <c r="AP358"/>
      <c r="AQ358"/>
      <c r="AR358"/>
      <c r="AS358"/>
      <c r="AT358"/>
      <c r="AU358"/>
      <c r="AV358"/>
      <c r="AW358"/>
      <c r="AX358" t="inlineStr">
        <is>
          <t>Accumulation</t>
        </is>
      </c>
      <c r="AY358" t="inlineStr">
        <is>
          <t>Residue</t>
        </is>
      </c>
      <c r="AZ358" t="inlineStr">
        <is>
          <t>BAF</t>
        </is>
      </c>
      <c r="BA358"/>
      <c r="BB358" t="n">
        <v>8.33</v>
      </c>
      <c r="BC358"/>
      <c r="BD358"/>
      <c r="BE358"/>
      <c r="BF358"/>
      <c r="BG358"/>
      <c r="BH358"/>
      <c r="BI358" t="inlineStr">
        <is>
          <t>L/kg</t>
        </is>
      </c>
      <c r="BJ358" t="inlineStr">
        <is>
          <t>Shoot</t>
        </is>
      </c>
      <c r="BK358"/>
      <c r="BL358" t="n">
        <v>7.0</v>
      </c>
      <c r="BM358"/>
      <c r="BN358"/>
      <c r="BO358"/>
      <c r="BP358"/>
      <c r="BQ358" t="inlineStr">
        <is>
          <t>Day(s)</t>
        </is>
      </c>
      <c r="BR358" t="inlineStr">
        <is>
          <t>Awad,J., G. Brunetti, A. Juhasz, M. Williams, D. Navarro, B. Drigo, J. Bougoure, J. Vanderzalm, and S. Beecham</t>
        </is>
      </c>
      <c r="BS358" t="n">
        <v>191324.0</v>
      </c>
      <c r="BT358" t="inlineStr">
        <is>
          <t>Application of Native Plants in Constructed Floating Wetlands as a Passive Remediation Approach for PFAS-Impacted Surface Water</t>
        </is>
      </c>
      <c r="BU358" t="inlineStr">
        <is>
          <t>J. Hazard. Mater.429:11 p.</t>
        </is>
      </c>
      <c r="BV358" t="n">
        <v>2022.0</v>
      </c>
      <c r="BW35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9">
      <c r="A359" t="n">
        <v>2795393.0</v>
      </c>
      <c r="B359" t="inlineStr">
        <is>
          <t>1,1,2,2,3,3,4,4,5,5,6,6,7,7,8,8,8-Heptadecafluoro-1-octanesulfonic acid potassium salt</t>
        </is>
      </c>
      <c r="C359"/>
      <c r="D359" t="inlineStr">
        <is>
          <t>Chemical analysis reported</t>
        </is>
      </c>
      <c r="E359" t="inlineStr">
        <is>
          <t>&gt;=</t>
        </is>
      </c>
      <c r="F359" t="n">
        <v>98.0</v>
      </c>
      <c r="G359"/>
      <c r="H359"/>
      <c r="I359"/>
      <c r="J359"/>
      <c r="K359" t="inlineStr">
        <is>
          <t>Juncus krausii</t>
        </is>
      </c>
      <c r="L359" t="inlineStr">
        <is>
          <t>Sea Rush</t>
        </is>
      </c>
      <c r="M359" t="inlineStr">
        <is>
          <t>Flowers, Trees, Shrubs, Ferns</t>
        </is>
      </c>
      <c r="N359"/>
      <c r="O359"/>
      <c r="P359"/>
      <c r="Q359"/>
      <c r="R359"/>
      <c r="S359"/>
      <c r="T359"/>
      <c r="U359"/>
      <c r="V359" t="inlineStr">
        <is>
          <t>Hydroponic</t>
        </is>
      </c>
      <c r="W359" t="inlineStr">
        <is>
          <t>Hydroponic</t>
        </is>
      </c>
      <c r="X359" t="inlineStr">
        <is>
          <t>Lab</t>
        </is>
      </c>
      <c r="Y359" t="n">
        <v>5.0</v>
      </c>
      <c r="Z359" t="inlineStr">
        <is>
          <t>Active ingredient</t>
        </is>
      </c>
      <c r="AA359"/>
      <c r="AB359" t="n">
        <v>10.0</v>
      </c>
      <c r="AC359"/>
      <c r="AD359"/>
      <c r="AE359"/>
      <c r="AF359"/>
      <c r="AG359" t="inlineStr">
        <is>
          <t>ug/L</t>
        </is>
      </c>
      <c r="AH359"/>
      <c r="AI359"/>
      <c r="AJ359"/>
      <c r="AK359"/>
      <c r="AL359"/>
      <c r="AM359"/>
      <c r="AN359"/>
      <c r="AO359"/>
      <c r="AP359"/>
      <c r="AQ359"/>
      <c r="AR359"/>
      <c r="AS359"/>
      <c r="AT359"/>
      <c r="AU359"/>
      <c r="AV359"/>
      <c r="AW359"/>
      <c r="AX359" t="inlineStr">
        <is>
          <t>Accumulation</t>
        </is>
      </c>
      <c r="AY359" t="inlineStr">
        <is>
          <t>Residue</t>
        </is>
      </c>
      <c r="AZ359" t="inlineStr">
        <is>
          <t>BAF</t>
        </is>
      </c>
      <c r="BA359"/>
      <c r="BB359" t="n">
        <v>5.77</v>
      </c>
      <c r="BC359"/>
      <c r="BD359"/>
      <c r="BE359"/>
      <c r="BF359"/>
      <c r="BG359"/>
      <c r="BH359"/>
      <c r="BI359" t="inlineStr">
        <is>
          <t>L/kg</t>
        </is>
      </c>
      <c r="BJ359" t="inlineStr">
        <is>
          <t>Root</t>
        </is>
      </c>
      <c r="BK359"/>
      <c r="BL359" t="n">
        <v>7.0</v>
      </c>
      <c r="BM359"/>
      <c r="BN359"/>
      <c r="BO359"/>
      <c r="BP359"/>
      <c r="BQ359" t="inlineStr">
        <is>
          <t>Day(s)</t>
        </is>
      </c>
      <c r="BR359" t="inlineStr">
        <is>
          <t>Awad,J., G. Brunetti, A. Juhasz, M. Williams, D. Navarro, B. Drigo, J. Bougoure, J. Vanderzalm, and S. Beecham</t>
        </is>
      </c>
      <c r="BS359" t="n">
        <v>191324.0</v>
      </c>
      <c r="BT359" t="inlineStr">
        <is>
          <t>Application of Native Plants in Constructed Floating Wetlands as a Passive Remediation Approach for PFAS-Impacted Surface Water</t>
        </is>
      </c>
      <c r="BU359" t="inlineStr">
        <is>
          <t>J. Hazard. Mater.429:11 p.</t>
        </is>
      </c>
      <c r="BV359" t="n">
        <v>2022.0</v>
      </c>
      <c r="BW35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0">
      <c r="A360" t="n">
        <v>2795393.0</v>
      </c>
      <c r="B360" t="inlineStr">
        <is>
          <t>1,1,2,2,3,3,4,4,5,5,6,6,7,7,8,8,8-Heptadecafluoro-1-octanesulfonic acid potassium salt</t>
        </is>
      </c>
      <c r="C360"/>
      <c r="D360" t="inlineStr">
        <is>
          <t>Chemical analysis reported</t>
        </is>
      </c>
      <c r="E360" t="inlineStr">
        <is>
          <t>&gt;=</t>
        </is>
      </c>
      <c r="F360" t="n">
        <v>98.0</v>
      </c>
      <c r="G360"/>
      <c r="H360"/>
      <c r="I360"/>
      <c r="J360"/>
      <c r="K360" t="inlineStr">
        <is>
          <t>Juncus krausii</t>
        </is>
      </c>
      <c r="L360" t="inlineStr">
        <is>
          <t>Sea Rush</t>
        </is>
      </c>
      <c r="M360" t="inlineStr">
        <is>
          <t>Flowers, Trees, Shrubs, Ferns</t>
        </is>
      </c>
      <c r="N360"/>
      <c r="O360"/>
      <c r="P360"/>
      <c r="Q360"/>
      <c r="R360"/>
      <c r="S360"/>
      <c r="T360"/>
      <c r="U360"/>
      <c r="V360" t="inlineStr">
        <is>
          <t>Hydroponic</t>
        </is>
      </c>
      <c r="W360" t="inlineStr">
        <is>
          <t>Hydroponic</t>
        </is>
      </c>
      <c r="X360" t="inlineStr">
        <is>
          <t>Lab</t>
        </is>
      </c>
      <c r="Y360" t="n">
        <v>5.0</v>
      </c>
      <c r="Z360" t="inlineStr">
        <is>
          <t>Active ingredient</t>
        </is>
      </c>
      <c r="AA360"/>
      <c r="AB360" t="n">
        <v>0.2</v>
      </c>
      <c r="AC360"/>
      <c r="AD360"/>
      <c r="AE360"/>
      <c r="AF360"/>
      <c r="AG360" t="inlineStr">
        <is>
          <t>ug/L</t>
        </is>
      </c>
      <c r="AH360"/>
      <c r="AI360"/>
      <c r="AJ360"/>
      <c r="AK360"/>
      <c r="AL360"/>
      <c r="AM360"/>
      <c r="AN360"/>
      <c r="AO360"/>
      <c r="AP360"/>
      <c r="AQ360"/>
      <c r="AR360"/>
      <c r="AS360"/>
      <c r="AT360"/>
      <c r="AU360"/>
      <c r="AV360"/>
      <c r="AW360"/>
      <c r="AX360" t="inlineStr">
        <is>
          <t>Accumulation</t>
        </is>
      </c>
      <c r="AY360" t="inlineStr">
        <is>
          <t>Residue</t>
        </is>
      </c>
      <c r="AZ360" t="inlineStr">
        <is>
          <t>BAF</t>
        </is>
      </c>
      <c r="BA360"/>
      <c r="BB360" t="n">
        <v>45.5</v>
      </c>
      <c r="BC360"/>
      <c r="BD360"/>
      <c r="BE360"/>
      <c r="BF360"/>
      <c r="BG360"/>
      <c r="BH360"/>
      <c r="BI360" t="inlineStr">
        <is>
          <t>L/kg</t>
        </is>
      </c>
      <c r="BJ360" t="inlineStr">
        <is>
          <t>Whole organism</t>
        </is>
      </c>
      <c r="BK360"/>
      <c r="BL360" t="n">
        <v>14.0</v>
      </c>
      <c r="BM360"/>
      <c r="BN360"/>
      <c r="BO360"/>
      <c r="BP360"/>
      <c r="BQ360" t="inlineStr">
        <is>
          <t>Day(s)</t>
        </is>
      </c>
      <c r="BR360" t="inlineStr">
        <is>
          <t>Awad,J., G. Brunetti, A. Juhasz, M. Williams, D. Navarro, B. Drigo, J. Bougoure, J. Vanderzalm, and S. Beecham</t>
        </is>
      </c>
      <c r="BS360" t="n">
        <v>191324.0</v>
      </c>
      <c r="BT360" t="inlineStr">
        <is>
          <t>Application of Native Plants in Constructed Floating Wetlands as a Passive Remediation Approach for PFAS-Impacted Surface Water</t>
        </is>
      </c>
      <c r="BU360" t="inlineStr">
        <is>
          <t>J. Hazard. Mater.429:11 p.</t>
        </is>
      </c>
      <c r="BV360" t="n">
        <v>2022.0</v>
      </c>
      <c r="BW36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1">
      <c r="A361" t="n">
        <v>2795393.0</v>
      </c>
      <c r="B361" t="inlineStr">
        <is>
          <t>1,1,2,2,3,3,4,4,5,5,6,6,7,7,8,8,8-Heptadecafluoro-1-octanesulfonic acid potassium salt</t>
        </is>
      </c>
      <c r="C361"/>
      <c r="D361" t="inlineStr">
        <is>
          <t>Chemical analysis reported</t>
        </is>
      </c>
      <c r="E361" t="inlineStr">
        <is>
          <t>&gt;=</t>
        </is>
      </c>
      <c r="F361" t="n">
        <v>98.0</v>
      </c>
      <c r="G361"/>
      <c r="H361"/>
      <c r="I361"/>
      <c r="J361"/>
      <c r="K361" t="inlineStr">
        <is>
          <t>Juncus krausii</t>
        </is>
      </c>
      <c r="L361" t="inlineStr">
        <is>
          <t>Sea Rush</t>
        </is>
      </c>
      <c r="M361" t="inlineStr">
        <is>
          <t>Flowers, Trees, Shrubs, Ferns</t>
        </is>
      </c>
      <c r="N361"/>
      <c r="O361"/>
      <c r="P361"/>
      <c r="Q361"/>
      <c r="R361"/>
      <c r="S361"/>
      <c r="T361"/>
      <c r="U361"/>
      <c r="V361" t="inlineStr">
        <is>
          <t>Hydroponic</t>
        </is>
      </c>
      <c r="W361" t="inlineStr">
        <is>
          <t>Hydroponic</t>
        </is>
      </c>
      <c r="X361" t="inlineStr">
        <is>
          <t>Lab</t>
        </is>
      </c>
      <c r="Y361" t="n">
        <v>5.0</v>
      </c>
      <c r="Z361" t="inlineStr">
        <is>
          <t>Active ingredient</t>
        </is>
      </c>
      <c r="AA361"/>
      <c r="AB361" t="n">
        <v>10.0</v>
      </c>
      <c r="AC361"/>
      <c r="AD361"/>
      <c r="AE361"/>
      <c r="AF361"/>
      <c r="AG361" t="inlineStr">
        <is>
          <t>ug/L</t>
        </is>
      </c>
      <c r="AH361"/>
      <c r="AI361"/>
      <c r="AJ361"/>
      <c r="AK361"/>
      <c r="AL361"/>
      <c r="AM361"/>
      <c r="AN361"/>
      <c r="AO361"/>
      <c r="AP361"/>
      <c r="AQ361"/>
      <c r="AR361"/>
      <c r="AS361"/>
      <c r="AT361"/>
      <c r="AU361"/>
      <c r="AV361"/>
      <c r="AW361"/>
      <c r="AX361" t="inlineStr">
        <is>
          <t>Accumulation</t>
        </is>
      </c>
      <c r="AY361" t="inlineStr">
        <is>
          <t>Residue</t>
        </is>
      </c>
      <c r="AZ361" t="inlineStr">
        <is>
          <t>BAF</t>
        </is>
      </c>
      <c r="BA361"/>
      <c r="BB361" t="n">
        <v>2.69</v>
      </c>
      <c r="BC361"/>
      <c r="BD361"/>
      <c r="BE361"/>
      <c r="BF361"/>
      <c r="BG361"/>
      <c r="BH361"/>
      <c r="BI361" t="inlineStr">
        <is>
          <t>L/kg</t>
        </is>
      </c>
      <c r="BJ361" t="inlineStr">
        <is>
          <t>Whole organism</t>
        </is>
      </c>
      <c r="BK361"/>
      <c r="BL361" t="n">
        <v>7.0</v>
      </c>
      <c r="BM361"/>
      <c r="BN361"/>
      <c r="BO361"/>
      <c r="BP361"/>
      <c r="BQ361" t="inlineStr">
        <is>
          <t>Day(s)</t>
        </is>
      </c>
      <c r="BR361" t="inlineStr">
        <is>
          <t>Awad,J., G. Brunetti, A. Juhasz, M. Williams, D. Navarro, B. Drigo, J. Bougoure, J. Vanderzalm, and S. Beecham</t>
        </is>
      </c>
      <c r="BS361" t="n">
        <v>191324.0</v>
      </c>
      <c r="BT361" t="inlineStr">
        <is>
          <t>Application of Native Plants in Constructed Floating Wetlands as a Passive Remediation Approach for PFAS-Impacted Surface Water</t>
        </is>
      </c>
      <c r="BU361" t="inlineStr">
        <is>
          <t>J. Hazard. Mater.429:11 p.</t>
        </is>
      </c>
      <c r="BV361" t="n">
        <v>2022.0</v>
      </c>
      <c r="BW36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2">
      <c r="A362" t="n">
        <v>2795393.0</v>
      </c>
      <c r="B362" t="inlineStr">
        <is>
          <t>1,1,2,2,3,3,4,4,5,5,6,6,7,7,8,8,8-Heptadecafluoro-1-octanesulfonic acid potassium salt</t>
        </is>
      </c>
      <c r="C362"/>
      <c r="D362" t="inlineStr">
        <is>
          <t>Chemical analysis reported</t>
        </is>
      </c>
      <c r="E362" t="inlineStr">
        <is>
          <t>&gt;=</t>
        </is>
      </c>
      <c r="F362" t="n">
        <v>98.0</v>
      </c>
      <c r="G362"/>
      <c r="H362"/>
      <c r="I362"/>
      <c r="J362"/>
      <c r="K362" t="inlineStr">
        <is>
          <t>Juncus krausii</t>
        </is>
      </c>
      <c r="L362" t="inlineStr">
        <is>
          <t>Sea Rush</t>
        </is>
      </c>
      <c r="M362" t="inlineStr">
        <is>
          <t>Flowers, Trees, Shrubs, Ferns</t>
        </is>
      </c>
      <c r="N362"/>
      <c r="O362"/>
      <c r="P362"/>
      <c r="Q362"/>
      <c r="R362"/>
      <c r="S362"/>
      <c r="T362"/>
      <c r="U362"/>
      <c r="V362" t="inlineStr">
        <is>
          <t>Hydroponic</t>
        </is>
      </c>
      <c r="W362" t="inlineStr">
        <is>
          <t>Hydroponic</t>
        </is>
      </c>
      <c r="X362" t="inlineStr">
        <is>
          <t>Lab</t>
        </is>
      </c>
      <c r="Y362" t="n">
        <v>5.0</v>
      </c>
      <c r="Z362" t="inlineStr">
        <is>
          <t>Active ingredient</t>
        </is>
      </c>
      <c r="AA362"/>
      <c r="AB362" t="n">
        <v>0.2</v>
      </c>
      <c r="AC362"/>
      <c r="AD362"/>
      <c r="AE362"/>
      <c r="AF362"/>
      <c r="AG362" t="inlineStr">
        <is>
          <t>ug/L</t>
        </is>
      </c>
      <c r="AH362"/>
      <c r="AI362"/>
      <c r="AJ362"/>
      <c r="AK362"/>
      <c r="AL362"/>
      <c r="AM362"/>
      <c r="AN362"/>
      <c r="AO362"/>
      <c r="AP362"/>
      <c r="AQ362"/>
      <c r="AR362"/>
      <c r="AS362"/>
      <c r="AT362"/>
      <c r="AU362"/>
      <c r="AV362"/>
      <c r="AW362"/>
      <c r="AX362" t="inlineStr">
        <is>
          <t>Accumulation</t>
        </is>
      </c>
      <c r="AY362" t="inlineStr">
        <is>
          <t>Residue</t>
        </is>
      </c>
      <c r="AZ362" t="inlineStr">
        <is>
          <t>BAF</t>
        </is>
      </c>
      <c r="BA362"/>
      <c r="BB362" t="n">
        <v>48.1</v>
      </c>
      <c r="BC362"/>
      <c r="BD362"/>
      <c r="BE362"/>
      <c r="BF362"/>
      <c r="BG362"/>
      <c r="BH362"/>
      <c r="BI362" t="inlineStr">
        <is>
          <t>L/kg</t>
        </is>
      </c>
      <c r="BJ362" t="inlineStr">
        <is>
          <t>Shoot</t>
        </is>
      </c>
      <c r="BK362"/>
      <c r="BL362" t="n">
        <v>14.0</v>
      </c>
      <c r="BM362"/>
      <c r="BN362"/>
      <c r="BO362"/>
      <c r="BP362"/>
      <c r="BQ362" t="inlineStr">
        <is>
          <t>Day(s)</t>
        </is>
      </c>
      <c r="BR362" t="inlineStr">
        <is>
          <t>Awad,J., G. Brunetti, A. Juhasz, M. Williams, D. Navarro, B. Drigo, J. Bougoure, J. Vanderzalm, and S. Beecham</t>
        </is>
      </c>
      <c r="BS362" t="n">
        <v>191324.0</v>
      </c>
      <c r="BT362" t="inlineStr">
        <is>
          <t>Application of Native Plants in Constructed Floating Wetlands as a Passive Remediation Approach for PFAS-Impacted Surface Water</t>
        </is>
      </c>
      <c r="BU362" t="inlineStr">
        <is>
          <t>J. Hazard. Mater.429:11 p.</t>
        </is>
      </c>
      <c r="BV362" t="n">
        <v>2022.0</v>
      </c>
      <c r="BW36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3">
      <c r="A363" t="n">
        <v>2795393.0</v>
      </c>
      <c r="B363" t="inlineStr">
        <is>
          <t>1,1,2,2,3,3,4,4,5,5,6,6,7,7,8,8,8-Heptadecafluoro-1-octanesulfonic acid potassium salt</t>
        </is>
      </c>
      <c r="C363"/>
      <c r="D363" t="inlineStr">
        <is>
          <t>Chemical analysis reported</t>
        </is>
      </c>
      <c r="E363" t="inlineStr">
        <is>
          <t>&gt;=</t>
        </is>
      </c>
      <c r="F363" t="n">
        <v>98.0</v>
      </c>
      <c r="G363"/>
      <c r="H363"/>
      <c r="I363"/>
      <c r="J363"/>
      <c r="K363" t="inlineStr">
        <is>
          <t>Juncus krausii</t>
        </is>
      </c>
      <c r="L363" t="inlineStr">
        <is>
          <t>Sea Rush</t>
        </is>
      </c>
      <c r="M363" t="inlineStr">
        <is>
          <t>Flowers, Trees, Shrubs, Ferns</t>
        </is>
      </c>
      <c r="N363"/>
      <c r="O363"/>
      <c r="P363"/>
      <c r="Q363"/>
      <c r="R363"/>
      <c r="S363"/>
      <c r="T363"/>
      <c r="U363"/>
      <c r="V363" t="inlineStr">
        <is>
          <t>Hydroponic</t>
        </is>
      </c>
      <c r="W363" t="inlineStr">
        <is>
          <t>Hydroponic</t>
        </is>
      </c>
      <c r="X363" t="inlineStr">
        <is>
          <t>Lab</t>
        </is>
      </c>
      <c r="Y363" t="n">
        <v>5.0</v>
      </c>
      <c r="Z363" t="inlineStr">
        <is>
          <t>Active ingredient</t>
        </is>
      </c>
      <c r="AA363"/>
      <c r="AB363" t="n">
        <v>10.0</v>
      </c>
      <c r="AC363"/>
      <c r="AD363"/>
      <c r="AE363"/>
      <c r="AF363"/>
      <c r="AG363" t="inlineStr">
        <is>
          <t>ug/L</t>
        </is>
      </c>
      <c r="AH363"/>
      <c r="AI363"/>
      <c r="AJ363"/>
      <c r="AK363"/>
      <c r="AL363"/>
      <c r="AM363"/>
      <c r="AN363"/>
      <c r="AO363"/>
      <c r="AP363"/>
      <c r="AQ363"/>
      <c r="AR363"/>
      <c r="AS363"/>
      <c r="AT363"/>
      <c r="AU363"/>
      <c r="AV363"/>
      <c r="AW363"/>
      <c r="AX363" t="inlineStr">
        <is>
          <t>Accumulation</t>
        </is>
      </c>
      <c r="AY363" t="inlineStr">
        <is>
          <t>Residue</t>
        </is>
      </c>
      <c r="AZ363" t="inlineStr">
        <is>
          <t>BAF</t>
        </is>
      </c>
      <c r="BA363"/>
      <c r="BB363" t="n">
        <v>18.54</v>
      </c>
      <c r="BC363"/>
      <c r="BD363"/>
      <c r="BE363"/>
      <c r="BF363"/>
      <c r="BG363"/>
      <c r="BH363"/>
      <c r="BI363" t="inlineStr">
        <is>
          <t>L/kg</t>
        </is>
      </c>
      <c r="BJ363" t="inlineStr">
        <is>
          <t>Root</t>
        </is>
      </c>
      <c r="BK363"/>
      <c r="BL363" t="n">
        <v>14.0</v>
      </c>
      <c r="BM363"/>
      <c r="BN363"/>
      <c r="BO363"/>
      <c r="BP363"/>
      <c r="BQ363" t="inlineStr">
        <is>
          <t>Day(s)</t>
        </is>
      </c>
      <c r="BR363" t="inlineStr">
        <is>
          <t>Awad,J., G. Brunetti, A. Juhasz, M. Williams, D. Navarro, B. Drigo, J. Bougoure, J. Vanderzalm, and S. Beecham</t>
        </is>
      </c>
      <c r="BS363" t="n">
        <v>191324.0</v>
      </c>
      <c r="BT363" t="inlineStr">
        <is>
          <t>Application of Native Plants in Constructed Floating Wetlands as a Passive Remediation Approach for PFAS-Impacted Surface Water</t>
        </is>
      </c>
      <c r="BU363" t="inlineStr">
        <is>
          <t>J. Hazard. Mater.429:11 p.</t>
        </is>
      </c>
      <c r="BV363" t="n">
        <v>2022.0</v>
      </c>
      <c r="BW36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4">
      <c r="A364" t="n">
        <v>2795393.0</v>
      </c>
      <c r="B364" t="inlineStr">
        <is>
          <t>1,1,2,2,3,3,4,4,5,5,6,6,7,7,8,8,8-Heptadecafluoro-1-octanesulfonic acid potassium salt</t>
        </is>
      </c>
      <c r="C364"/>
      <c r="D364" t="inlineStr">
        <is>
          <t>Chemical analysis reported</t>
        </is>
      </c>
      <c r="E364" t="inlineStr">
        <is>
          <t>&gt;=</t>
        </is>
      </c>
      <c r="F364" t="n">
        <v>98.0</v>
      </c>
      <c r="G364"/>
      <c r="H364"/>
      <c r="I364"/>
      <c r="J364"/>
      <c r="K364" t="inlineStr">
        <is>
          <t>Juncus krausii</t>
        </is>
      </c>
      <c r="L364" t="inlineStr">
        <is>
          <t>Sea Rush</t>
        </is>
      </c>
      <c r="M364" t="inlineStr">
        <is>
          <t>Flowers, Trees, Shrubs, Ferns</t>
        </is>
      </c>
      <c r="N364"/>
      <c r="O364"/>
      <c r="P364"/>
      <c r="Q364"/>
      <c r="R364"/>
      <c r="S364"/>
      <c r="T364"/>
      <c r="U364"/>
      <c r="V364" t="inlineStr">
        <is>
          <t>Hydroponic</t>
        </is>
      </c>
      <c r="W364" t="inlineStr">
        <is>
          <t>Hydroponic</t>
        </is>
      </c>
      <c r="X364" t="inlineStr">
        <is>
          <t>Lab</t>
        </is>
      </c>
      <c r="Y364" t="n">
        <v>5.0</v>
      </c>
      <c r="Z364" t="inlineStr">
        <is>
          <t>Active ingredient</t>
        </is>
      </c>
      <c r="AA364"/>
      <c r="AB364" t="n">
        <v>30.0</v>
      </c>
      <c r="AC364"/>
      <c r="AD364"/>
      <c r="AE364"/>
      <c r="AF364"/>
      <c r="AG364" t="inlineStr">
        <is>
          <t>ug/L</t>
        </is>
      </c>
      <c r="AH364"/>
      <c r="AI364"/>
      <c r="AJ364"/>
      <c r="AK364"/>
      <c r="AL364"/>
      <c r="AM364"/>
      <c r="AN364"/>
      <c r="AO364"/>
      <c r="AP364"/>
      <c r="AQ364"/>
      <c r="AR364"/>
      <c r="AS364"/>
      <c r="AT364"/>
      <c r="AU364"/>
      <c r="AV364"/>
      <c r="AW364"/>
      <c r="AX364" t="inlineStr">
        <is>
          <t>Accumulation</t>
        </is>
      </c>
      <c r="AY364" t="inlineStr">
        <is>
          <t>Residue</t>
        </is>
      </c>
      <c r="AZ364" t="inlineStr">
        <is>
          <t>BAF</t>
        </is>
      </c>
      <c r="BA364"/>
      <c r="BB364" t="n">
        <v>2.33</v>
      </c>
      <c r="BC364"/>
      <c r="BD364"/>
      <c r="BE364"/>
      <c r="BF364"/>
      <c r="BG364"/>
      <c r="BH364"/>
      <c r="BI364" t="inlineStr">
        <is>
          <t>L/kg</t>
        </is>
      </c>
      <c r="BJ364" t="inlineStr">
        <is>
          <t>Shoot</t>
        </is>
      </c>
      <c r="BK364"/>
      <c r="BL364" t="n">
        <v>7.0</v>
      </c>
      <c r="BM364"/>
      <c r="BN364"/>
      <c r="BO364"/>
      <c r="BP364"/>
      <c r="BQ364" t="inlineStr">
        <is>
          <t>Day(s)</t>
        </is>
      </c>
      <c r="BR364" t="inlineStr">
        <is>
          <t>Awad,J., G. Brunetti, A. Juhasz, M. Williams, D. Navarro, B. Drigo, J. Bougoure, J. Vanderzalm, and S. Beecham</t>
        </is>
      </c>
      <c r="BS364" t="n">
        <v>191324.0</v>
      </c>
      <c r="BT364" t="inlineStr">
        <is>
          <t>Application of Native Plants in Constructed Floating Wetlands as a Passive Remediation Approach for PFAS-Impacted Surface Water</t>
        </is>
      </c>
      <c r="BU364" t="inlineStr">
        <is>
          <t>J. Hazard. Mater.429:11 p.</t>
        </is>
      </c>
      <c r="BV364" t="n">
        <v>2022.0</v>
      </c>
      <c r="BW36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5">
      <c r="A365" t="n">
        <v>2795393.0</v>
      </c>
      <c r="B365" t="inlineStr">
        <is>
          <t>1,1,2,2,3,3,4,4,5,5,6,6,7,7,8,8,8-Heptadecafluoro-1-octanesulfonic acid potassium salt</t>
        </is>
      </c>
      <c r="C365"/>
      <c r="D365" t="inlineStr">
        <is>
          <t>Chemical analysis reported</t>
        </is>
      </c>
      <c r="E365" t="inlineStr">
        <is>
          <t>&gt;=</t>
        </is>
      </c>
      <c r="F365" t="n">
        <v>98.0</v>
      </c>
      <c r="G365"/>
      <c r="H365"/>
      <c r="I365"/>
      <c r="J365"/>
      <c r="K365" t="inlineStr">
        <is>
          <t>Juncus krausii</t>
        </is>
      </c>
      <c r="L365" t="inlineStr">
        <is>
          <t>Sea Rush</t>
        </is>
      </c>
      <c r="M365" t="inlineStr">
        <is>
          <t>Flowers, Trees, Shrubs, Ferns</t>
        </is>
      </c>
      <c r="N365"/>
      <c r="O365"/>
      <c r="P365"/>
      <c r="Q365"/>
      <c r="R365"/>
      <c r="S365"/>
      <c r="T365"/>
      <c r="U365"/>
      <c r="V365" t="inlineStr">
        <is>
          <t>Hydroponic</t>
        </is>
      </c>
      <c r="W365" t="inlineStr">
        <is>
          <t>Hydroponic</t>
        </is>
      </c>
      <c r="X365" t="inlineStr">
        <is>
          <t>Lab</t>
        </is>
      </c>
      <c r="Y365" t="n">
        <v>5.0</v>
      </c>
      <c r="Z365" t="inlineStr">
        <is>
          <t>Active ingredient</t>
        </is>
      </c>
      <c r="AA365"/>
      <c r="AB365" t="n">
        <v>0.2</v>
      </c>
      <c r="AC365"/>
      <c r="AD365"/>
      <c r="AE365"/>
      <c r="AF365"/>
      <c r="AG365" t="inlineStr">
        <is>
          <t>ug/L</t>
        </is>
      </c>
      <c r="AH365"/>
      <c r="AI365"/>
      <c r="AJ365"/>
      <c r="AK365"/>
      <c r="AL365"/>
      <c r="AM365"/>
      <c r="AN365"/>
      <c r="AO365"/>
      <c r="AP365"/>
      <c r="AQ365"/>
      <c r="AR365"/>
      <c r="AS365"/>
      <c r="AT365"/>
      <c r="AU365"/>
      <c r="AV365"/>
      <c r="AW365"/>
      <c r="AX365" t="inlineStr">
        <is>
          <t>Accumulation</t>
        </is>
      </c>
      <c r="AY365" t="inlineStr">
        <is>
          <t>Residue</t>
        </is>
      </c>
      <c r="AZ365" t="inlineStr">
        <is>
          <t>BAF</t>
        </is>
      </c>
      <c r="BA365"/>
      <c r="BB365" t="n">
        <v>22.63</v>
      </c>
      <c r="BC365"/>
      <c r="BD365"/>
      <c r="BE365"/>
      <c r="BF365"/>
      <c r="BG365"/>
      <c r="BH365"/>
      <c r="BI365" t="inlineStr">
        <is>
          <t>L/kg</t>
        </is>
      </c>
      <c r="BJ365" t="inlineStr">
        <is>
          <t>Whole organism</t>
        </is>
      </c>
      <c r="BK365"/>
      <c r="BL365" t="n">
        <v>7.0</v>
      </c>
      <c r="BM365"/>
      <c r="BN365"/>
      <c r="BO365"/>
      <c r="BP365"/>
      <c r="BQ365" t="inlineStr">
        <is>
          <t>Day(s)</t>
        </is>
      </c>
      <c r="BR365" t="inlineStr">
        <is>
          <t>Awad,J., G. Brunetti, A. Juhasz, M. Williams, D. Navarro, B. Drigo, J. Bougoure, J. Vanderzalm, and S. Beecham</t>
        </is>
      </c>
      <c r="BS365" t="n">
        <v>191324.0</v>
      </c>
      <c r="BT365" t="inlineStr">
        <is>
          <t>Application of Native Plants in Constructed Floating Wetlands as a Passive Remediation Approach for PFAS-Impacted Surface Water</t>
        </is>
      </c>
      <c r="BU365" t="inlineStr">
        <is>
          <t>J. Hazard. Mater.429:11 p.</t>
        </is>
      </c>
      <c r="BV365" t="n">
        <v>2022.0</v>
      </c>
      <c r="BW36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6">
      <c r="A366" t="n">
        <v>2795393.0</v>
      </c>
      <c r="B366" t="inlineStr">
        <is>
          <t>1,1,2,2,3,3,4,4,5,5,6,6,7,7,8,8,8-Heptadecafluoro-1-octanesulfonic acid potassium salt</t>
        </is>
      </c>
      <c r="C366"/>
      <c r="D366" t="inlineStr">
        <is>
          <t>Chemical analysis reported</t>
        </is>
      </c>
      <c r="E366" t="inlineStr">
        <is>
          <t>&gt;=</t>
        </is>
      </c>
      <c r="F366" t="n">
        <v>98.0</v>
      </c>
      <c r="G366"/>
      <c r="H366"/>
      <c r="I366"/>
      <c r="J366"/>
      <c r="K366" t="inlineStr">
        <is>
          <t>Juncus krausii</t>
        </is>
      </c>
      <c r="L366" t="inlineStr">
        <is>
          <t>Sea Rush</t>
        </is>
      </c>
      <c r="M366" t="inlineStr">
        <is>
          <t>Flowers, Trees, Shrubs, Ferns</t>
        </is>
      </c>
      <c r="N366"/>
      <c r="O366"/>
      <c r="P366"/>
      <c r="Q366"/>
      <c r="R366"/>
      <c r="S366"/>
      <c r="T366"/>
      <c r="U366"/>
      <c r="V366" t="inlineStr">
        <is>
          <t>Hydroponic</t>
        </is>
      </c>
      <c r="W366" t="inlineStr">
        <is>
          <t>Hydroponic</t>
        </is>
      </c>
      <c r="X366" t="inlineStr">
        <is>
          <t>Lab</t>
        </is>
      </c>
      <c r="Y366" t="n">
        <v>5.0</v>
      </c>
      <c r="Z366" t="inlineStr">
        <is>
          <t>Active ingredient</t>
        </is>
      </c>
      <c r="AA366"/>
      <c r="AB366" t="n">
        <v>10.0</v>
      </c>
      <c r="AC366"/>
      <c r="AD366"/>
      <c r="AE366"/>
      <c r="AF366"/>
      <c r="AG366" t="inlineStr">
        <is>
          <t>ug/L</t>
        </is>
      </c>
      <c r="AH366"/>
      <c r="AI366"/>
      <c r="AJ366"/>
      <c r="AK366"/>
      <c r="AL366"/>
      <c r="AM366"/>
      <c r="AN366"/>
      <c r="AO366"/>
      <c r="AP366"/>
      <c r="AQ366"/>
      <c r="AR366"/>
      <c r="AS366"/>
      <c r="AT366"/>
      <c r="AU366"/>
      <c r="AV366"/>
      <c r="AW366"/>
      <c r="AX366" t="inlineStr">
        <is>
          <t>Accumulation</t>
        </is>
      </c>
      <c r="AY366" t="inlineStr">
        <is>
          <t>Residue</t>
        </is>
      </c>
      <c r="AZ366" t="inlineStr">
        <is>
          <t>BAF</t>
        </is>
      </c>
      <c r="BA366"/>
      <c r="BB366" t="n">
        <v>0.57</v>
      </c>
      <c r="BC366"/>
      <c r="BD366"/>
      <c r="BE366"/>
      <c r="BF366"/>
      <c r="BG366"/>
      <c r="BH366"/>
      <c r="BI366" t="inlineStr">
        <is>
          <t>L/kg</t>
        </is>
      </c>
      <c r="BJ366" t="inlineStr">
        <is>
          <t>Shoot</t>
        </is>
      </c>
      <c r="BK366"/>
      <c r="BL366" t="n">
        <v>7.0</v>
      </c>
      <c r="BM366"/>
      <c r="BN366"/>
      <c r="BO366"/>
      <c r="BP366"/>
      <c r="BQ366" t="inlineStr">
        <is>
          <t>Day(s)</t>
        </is>
      </c>
      <c r="BR366" t="inlineStr">
        <is>
          <t>Awad,J., G. Brunetti, A. Juhasz, M. Williams, D. Navarro, B. Drigo, J. Bougoure, J. Vanderzalm, and S. Beecham</t>
        </is>
      </c>
      <c r="BS366" t="n">
        <v>191324.0</v>
      </c>
      <c r="BT366" t="inlineStr">
        <is>
          <t>Application of Native Plants in Constructed Floating Wetlands as a Passive Remediation Approach for PFAS-Impacted Surface Water</t>
        </is>
      </c>
      <c r="BU366" t="inlineStr">
        <is>
          <t>J. Hazard. Mater.429:11 p.</t>
        </is>
      </c>
      <c r="BV366" t="n">
        <v>2022.0</v>
      </c>
      <c r="BW36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7">
      <c r="A367" t="n">
        <v>2795393.0</v>
      </c>
      <c r="B367" t="inlineStr">
        <is>
          <t>1,1,2,2,3,3,4,4,5,5,6,6,7,7,8,8,8-Heptadecafluoro-1-octanesulfonic acid potassium salt</t>
        </is>
      </c>
      <c r="C367"/>
      <c r="D367" t="inlineStr">
        <is>
          <t>Chemical analysis reported</t>
        </is>
      </c>
      <c r="E367" t="inlineStr">
        <is>
          <t>&gt;=</t>
        </is>
      </c>
      <c r="F367" t="n">
        <v>98.0</v>
      </c>
      <c r="G367"/>
      <c r="H367"/>
      <c r="I367"/>
      <c r="J367"/>
      <c r="K367" t="inlineStr">
        <is>
          <t>Juncus krausii</t>
        </is>
      </c>
      <c r="L367" t="inlineStr">
        <is>
          <t>Sea Rush</t>
        </is>
      </c>
      <c r="M367" t="inlineStr">
        <is>
          <t>Flowers, Trees, Shrubs, Ferns</t>
        </is>
      </c>
      <c r="N367"/>
      <c r="O367"/>
      <c r="P367"/>
      <c r="Q367"/>
      <c r="R367"/>
      <c r="S367"/>
      <c r="T367"/>
      <c r="U367"/>
      <c r="V367" t="inlineStr">
        <is>
          <t>Hydroponic</t>
        </is>
      </c>
      <c r="W367" t="inlineStr">
        <is>
          <t>Hydroponic</t>
        </is>
      </c>
      <c r="X367" t="inlineStr">
        <is>
          <t>Lab</t>
        </is>
      </c>
      <c r="Y367" t="n">
        <v>5.0</v>
      </c>
      <c r="Z367" t="inlineStr">
        <is>
          <t>Active ingredient</t>
        </is>
      </c>
      <c r="AA367"/>
      <c r="AB367" t="n">
        <v>2.0</v>
      </c>
      <c r="AC367"/>
      <c r="AD367"/>
      <c r="AE367"/>
      <c r="AF367"/>
      <c r="AG367" t="inlineStr">
        <is>
          <t>ug/L</t>
        </is>
      </c>
      <c r="AH367"/>
      <c r="AI367"/>
      <c r="AJ367"/>
      <c r="AK367"/>
      <c r="AL367"/>
      <c r="AM367"/>
      <c r="AN367"/>
      <c r="AO367"/>
      <c r="AP367"/>
      <c r="AQ367"/>
      <c r="AR367"/>
      <c r="AS367"/>
      <c r="AT367"/>
      <c r="AU367"/>
      <c r="AV367"/>
      <c r="AW367"/>
      <c r="AX367" t="inlineStr">
        <is>
          <t>Accumulation</t>
        </is>
      </c>
      <c r="AY367" t="inlineStr">
        <is>
          <t>Residue</t>
        </is>
      </c>
      <c r="AZ367" t="inlineStr">
        <is>
          <t>BAF</t>
        </is>
      </c>
      <c r="BA367"/>
      <c r="BB367" t="n">
        <v>1.67</v>
      </c>
      <c r="BC367"/>
      <c r="BD367"/>
      <c r="BE367"/>
      <c r="BF367"/>
      <c r="BG367"/>
      <c r="BH367"/>
      <c r="BI367" t="inlineStr">
        <is>
          <t>L/kg</t>
        </is>
      </c>
      <c r="BJ367" t="inlineStr">
        <is>
          <t>Shoot</t>
        </is>
      </c>
      <c r="BK367"/>
      <c r="BL367" t="n">
        <v>1.0</v>
      </c>
      <c r="BM367"/>
      <c r="BN367"/>
      <c r="BO367"/>
      <c r="BP367"/>
      <c r="BQ367" t="inlineStr">
        <is>
          <t>Day(s)</t>
        </is>
      </c>
      <c r="BR367" t="inlineStr">
        <is>
          <t>Awad,J., G. Brunetti, A. Juhasz, M. Williams, D. Navarro, B. Drigo, J. Bougoure, J. Vanderzalm, and S. Beecham</t>
        </is>
      </c>
      <c r="BS367" t="n">
        <v>191324.0</v>
      </c>
      <c r="BT367" t="inlineStr">
        <is>
          <t>Application of Native Plants in Constructed Floating Wetlands as a Passive Remediation Approach for PFAS-Impacted Surface Water</t>
        </is>
      </c>
      <c r="BU367" t="inlineStr">
        <is>
          <t>J. Hazard. Mater.429:11 p.</t>
        </is>
      </c>
      <c r="BV367" t="n">
        <v>2022.0</v>
      </c>
      <c r="BW36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8">
      <c r="A368" t="n">
        <v>2795393.0</v>
      </c>
      <c r="B368" t="inlineStr">
        <is>
          <t>1,1,2,2,3,3,4,4,5,5,6,6,7,7,8,8,8-Heptadecafluoro-1-octanesulfonic acid potassium salt</t>
        </is>
      </c>
      <c r="C368"/>
      <c r="D368" t="inlineStr">
        <is>
          <t>Chemical analysis reported</t>
        </is>
      </c>
      <c r="E368" t="inlineStr">
        <is>
          <t>&gt;=</t>
        </is>
      </c>
      <c r="F368" t="n">
        <v>98.0</v>
      </c>
      <c r="G368"/>
      <c r="H368"/>
      <c r="I368"/>
      <c r="J368"/>
      <c r="K368" t="inlineStr">
        <is>
          <t>Juncus krausii</t>
        </is>
      </c>
      <c r="L368" t="inlineStr">
        <is>
          <t>Sea Rush</t>
        </is>
      </c>
      <c r="M368" t="inlineStr">
        <is>
          <t>Flowers, Trees, Shrubs, Ferns</t>
        </is>
      </c>
      <c r="N368"/>
      <c r="O368"/>
      <c r="P368"/>
      <c r="Q368"/>
      <c r="R368"/>
      <c r="S368"/>
      <c r="T368"/>
      <c r="U368"/>
      <c r="V368" t="inlineStr">
        <is>
          <t>Hydroponic</t>
        </is>
      </c>
      <c r="W368" t="inlineStr">
        <is>
          <t>Hydroponic</t>
        </is>
      </c>
      <c r="X368" t="inlineStr">
        <is>
          <t>Lab</t>
        </is>
      </c>
      <c r="Y368" t="n">
        <v>5.0</v>
      </c>
      <c r="Z368" t="inlineStr">
        <is>
          <t>Active ingredient</t>
        </is>
      </c>
      <c r="AA368"/>
      <c r="AB368" t="n">
        <v>2.0</v>
      </c>
      <c r="AC368"/>
      <c r="AD368"/>
      <c r="AE368"/>
      <c r="AF368"/>
      <c r="AG368" t="inlineStr">
        <is>
          <t>ug/L</t>
        </is>
      </c>
      <c r="AH368"/>
      <c r="AI368"/>
      <c r="AJ368"/>
      <c r="AK368"/>
      <c r="AL368"/>
      <c r="AM368"/>
      <c r="AN368"/>
      <c r="AO368"/>
      <c r="AP368"/>
      <c r="AQ368"/>
      <c r="AR368"/>
      <c r="AS368"/>
      <c r="AT368"/>
      <c r="AU368"/>
      <c r="AV368"/>
      <c r="AW368"/>
      <c r="AX368" t="inlineStr">
        <is>
          <t>Accumulation</t>
        </is>
      </c>
      <c r="AY368" t="inlineStr">
        <is>
          <t>Residue</t>
        </is>
      </c>
      <c r="AZ368" t="inlineStr">
        <is>
          <t>BAF</t>
        </is>
      </c>
      <c r="BA368"/>
      <c r="BB368" t="n">
        <v>1.21</v>
      </c>
      <c r="BC368"/>
      <c r="BD368"/>
      <c r="BE368"/>
      <c r="BF368"/>
      <c r="BG368"/>
      <c r="BH368"/>
      <c r="BI368" t="inlineStr">
        <is>
          <t>L/kg</t>
        </is>
      </c>
      <c r="BJ368" t="inlineStr">
        <is>
          <t>Shoot</t>
        </is>
      </c>
      <c r="BK368"/>
      <c r="BL368" t="n">
        <v>7.0</v>
      </c>
      <c r="BM368"/>
      <c r="BN368"/>
      <c r="BO368"/>
      <c r="BP368"/>
      <c r="BQ368" t="inlineStr">
        <is>
          <t>Day(s)</t>
        </is>
      </c>
      <c r="BR368" t="inlineStr">
        <is>
          <t>Awad,J., G. Brunetti, A. Juhasz, M. Williams, D. Navarro, B. Drigo, J. Bougoure, J. Vanderzalm, and S. Beecham</t>
        </is>
      </c>
      <c r="BS368" t="n">
        <v>191324.0</v>
      </c>
      <c r="BT368" t="inlineStr">
        <is>
          <t>Application of Native Plants in Constructed Floating Wetlands as a Passive Remediation Approach for PFAS-Impacted Surface Water</t>
        </is>
      </c>
      <c r="BU368" t="inlineStr">
        <is>
          <t>J. Hazard. Mater.429:11 p.</t>
        </is>
      </c>
      <c r="BV368" t="n">
        <v>2022.0</v>
      </c>
      <c r="BW36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9">
      <c r="A369" t="n">
        <v>2795393.0</v>
      </c>
      <c r="B369" t="inlineStr">
        <is>
          <t>1,1,2,2,3,3,4,4,5,5,6,6,7,7,8,8,8-Heptadecafluoro-1-octanesulfonic acid potassium salt</t>
        </is>
      </c>
      <c r="C369"/>
      <c r="D369" t="inlineStr">
        <is>
          <t>Chemical analysis reported</t>
        </is>
      </c>
      <c r="E369" t="inlineStr">
        <is>
          <t>&gt;=</t>
        </is>
      </c>
      <c r="F369" t="n">
        <v>98.0</v>
      </c>
      <c r="G369"/>
      <c r="H369"/>
      <c r="I369"/>
      <c r="J369"/>
      <c r="K369" t="inlineStr">
        <is>
          <t>Juncus krausii</t>
        </is>
      </c>
      <c r="L369" t="inlineStr">
        <is>
          <t>Sea Rush</t>
        </is>
      </c>
      <c r="M369" t="inlineStr">
        <is>
          <t>Flowers, Trees, Shrubs, Ferns</t>
        </is>
      </c>
      <c r="N369"/>
      <c r="O369"/>
      <c r="P369"/>
      <c r="Q369"/>
      <c r="R369"/>
      <c r="S369"/>
      <c r="T369"/>
      <c r="U369"/>
      <c r="V369" t="inlineStr">
        <is>
          <t>Hydroponic</t>
        </is>
      </c>
      <c r="W369" t="inlineStr">
        <is>
          <t>Hydroponic</t>
        </is>
      </c>
      <c r="X369" t="inlineStr">
        <is>
          <t>Lab</t>
        </is>
      </c>
      <c r="Y369" t="n">
        <v>5.0</v>
      </c>
      <c r="Z369" t="inlineStr">
        <is>
          <t>Active ingredient</t>
        </is>
      </c>
      <c r="AA369"/>
      <c r="AB369" t="n">
        <v>2.0</v>
      </c>
      <c r="AC369"/>
      <c r="AD369"/>
      <c r="AE369"/>
      <c r="AF369"/>
      <c r="AG369" t="inlineStr">
        <is>
          <t>ug/L</t>
        </is>
      </c>
      <c r="AH369"/>
      <c r="AI369"/>
      <c r="AJ369"/>
      <c r="AK369"/>
      <c r="AL369"/>
      <c r="AM369"/>
      <c r="AN369"/>
      <c r="AO369"/>
      <c r="AP369"/>
      <c r="AQ369"/>
      <c r="AR369"/>
      <c r="AS369"/>
      <c r="AT369"/>
      <c r="AU369"/>
      <c r="AV369"/>
      <c r="AW369"/>
      <c r="AX369" t="inlineStr">
        <is>
          <t>Accumulation</t>
        </is>
      </c>
      <c r="AY369" t="inlineStr">
        <is>
          <t>Residue</t>
        </is>
      </c>
      <c r="AZ369" t="inlineStr">
        <is>
          <t>BAF</t>
        </is>
      </c>
      <c r="BA369"/>
      <c r="BB369" t="n">
        <v>23.93</v>
      </c>
      <c r="BC369"/>
      <c r="BD369"/>
      <c r="BE369"/>
      <c r="BF369"/>
      <c r="BG369"/>
      <c r="BH369"/>
      <c r="BI369" t="inlineStr">
        <is>
          <t>L/kg</t>
        </is>
      </c>
      <c r="BJ369" t="inlineStr">
        <is>
          <t>Root</t>
        </is>
      </c>
      <c r="BK369"/>
      <c r="BL369" t="n">
        <v>7.0</v>
      </c>
      <c r="BM369"/>
      <c r="BN369"/>
      <c r="BO369"/>
      <c r="BP369"/>
      <c r="BQ369" t="inlineStr">
        <is>
          <t>Day(s)</t>
        </is>
      </c>
      <c r="BR369" t="inlineStr">
        <is>
          <t>Awad,J., G. Brunetti, A. Juhasz, M. Williams, D. Navarro, B. Drigo, J. Bougoure, J. Vanderzalm, and S. Beecham</t>
        </is>
      </c>
      <c r="BS369" t="n">
        <v>191324.0</v>
      </c>
      <c r="BT369" t="inlineStr">
        <is>
          <t>Application of Native Plants in Constructed Floating Wetlands as a Passive Remediation Approach for PFAS-Impacted Surface Water</t>
        </is>
      </c>
      <c r="BU369" t="inlineStr">
        <is>
          <t>J. Hazard. Mater.429:11 p.</t>
        </is>
      </c>
      <c r="BV369" t="n">
        <v>2022.0</v>
      </c>
      <c r="BW36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0">
      <c r="A370" t="n">
        <v>2795393.0</v>
      </c>
      <c r="B370" t="inlineStr">
        <is>
          <t>1,1,2,2,3,3,4,4,5,5,6,6,7,7,8,8,8-Heptadecafluoro-1-octanesulfonic acid potassium salt</t>
        </is>
      </c>
      <c r="C370"/>
      <c r="D370" t="inlineStr">
        <is>
          <t>Chemical analysis reported</t>
        </is>
      </c>
      <c r="E370" t="inlineStr">
        <is>
          <t>&gt;=</t>
        </is>
      </c>
      <c r="F370" t="n">
        <v>98.0</v>
      </c>
      <c r="G370"/>
      <c r="H370"/>
      <c r="I370"/>
      <c r="J370"/>
      <c r="K370" t="inlineStr">
        <is>
          <t>Juncus krausii</t>
        </is>
      </c>
      <c r="L370" t="inlineStr">
        <is>
          <t>Sea Rush</t>
        </is>
      </c>
      <c r="M370" t="inlineStr">
        <is>
          <t>Flowers, Trees, Shrubs, Ferns</t>
        </is>
      </c>
      <c r="N370"/>
      <c r="O370"/>
      <c r="P370"/>
      <c r="Q370"/>
      <c r="R370"/>
      <c r="S370"/>
      <c r="T370"/>
      <c r="U370"/>
      <c r="V370" t="inlineStr">
        <is>
          <t>Hydroponic</t>
        </is>
      </c>
      <c r="W370" t="inlineStr">
        <is>
          <t>Hydroponic</t>
        </is>
      </c>
      <c r="X370" t="inlineStr">
        <is>
          <t>Lab</t>
        </is>
      </c>
      <c r="Y370" t="n">
        <v>5.0</v>
      </c>
      <c r="Z370" t="inlineStr">
        <is>
          <t>Active ingredient</t>
        </is>
      </c>
      <c r="AA370"/>
      <c r="AB370" t="n">
        <v>10.0</v>
      </c>
      <c r="AC370"/>
      <c r="AD370"/>
      <c r="AE370"/>
      <c r="AF370"/>
      <c r="AG370" t="inlineStr">
        <is>
          <t>ug/L</t>
        </is>
      </c>
      <c r="AH370"/>
      <c r="AI370"/>
      <c r="AJ370"/>
      <c r="AK370"/>
      <c r="AL370"/>
      <c r="AM370"/>
      <c r="AN370"/>
      <c r="AO370"/>
      <c r="AP370"/>
      <c r="AQ370"/>
      <c r="AR370"/>
      <c r="AS370"/>
      <c r="AT370"/>
      <c r="AU370"/>
      <c r="AV370"/>
      <c r="AW370"/>
      <c r="AX370" t="inlineStr">
        <is>
          <t>Accumulation</t>
        </is>
      </c>
      <c r="AY370" t="inlineStr">
        <is>
          <t>Residue</t>
        </is>
      </c>
      <c r="AZ370" t="inlineStr">
        <is>
          <t>BAF</t>
        </is>
      </c>
      <c r="BA370"/>
      <c r="BB370" t="n">
        <v>0.5</v>
      </c>
      <c r="BC370"/>
      <c r="BD370"/>
      <c r="BE370"/>
      <c r="BF370"/>
      <c r="BG370"/>
      <c r="BH370"/>
      <c r="BI370" t="inlineStr">
        <is>
          <t>L/kg</t>
        </is>
      </c>
      <c r="BJ370" t="inlineStr">
        <is>
          <t>Shoot</t>
        </is>
      </c>
      <c r="BK370"/>
      <c r="BL370" t="n">
        <v>1.0</v>
      </c>
      <c r="BM370"/>
      <c r="BN370"/>
      <c r="BO370"/>
      <c r="BP370"/>
      <c r="BQ370" t="inlineStr">
        <is>
          <t>Day(s)</t>
        </is>
      </c>
      <c r="BR370" t="inlineStr">
        <is>
          <t>Awad,J., G. Brunetti, A. Juhasz, M. Williams, D. Navarro, B. Drigo, J. Bougoure, J. Vanderzalm, and S. Beecham</t>
        </is>
      </c>
      <c r="BS370" t="n">
        <v>191324.0</v>
      </c>
      <c r="BT370" t="inlineStr">
        <is>
          <t>Application of Native Plants in Constructed Floating Wetlands as a Passive Remediation Approach for PFAS-Impacted Surface Water</t>
        </is>
      </c>
      <c r="BU370" t="inlineStr">
        <is>
          <t>J. Hazard. Mater.429:11 p.</t>
        </is>
      </c>
      <c r="BV370" t="n">
        <v>2022.0</v>
      </c>
      <c r="BW37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1">
      <c r="A371" t="n">
        <v>2795393.0</v>
      </c>
      <c r="B371" t="inlineStr">
        <is>
          <t>1,1,2,2,3,3,4,4,5,5,6,6,7,7,8,8,8-Heptadecafluoro-1-octanesulfonic acid potassium salt</t>
        </is>
      </c>
      <c r="C371"/>
      <c r="D371" t="inlineStr">
        <is>
          <t>Chemical analysis reported</t>
        </is>
      </c>
      <c r="E371" t="inlineStr">
        <is>
          <t>&gt;=</t>
        </is>
      </c>
      <c r="F371" t="n">
        <v>98.0</v>
      </c>
      <c r="G371"/>
      <c r="H371"/>
      <c r="I371"/>
      <c r="J371"/>
      <c r="K371" t="inlineStr">
        <is>
          <t>Juncus krausii</t>
        </is>
      </c>
      <c r="L371" t="inlineStr">
        <is>
          <t>Sea Rush</t>
        </is>
      </c>
      <c r="M371" t="inlineStr">
        <is>
          <t>Flowers, Trees, Shrubs, Ferns</t>
        </is>
      </c>
      <c r="N371"/>
      <c r="O371"/>
      <c r="P371"/>
      <c r="Q371"/>
      <c r="R371"/>
      <c r="S371"/>
      <c r="T371"/>
      <c r="U371"/>
      <c r="V371" t="inlineStr">
        <is>
          <t>Hydroponic</t>
        </is>
      </c>
      <c r="W371" t="inlineStr">
        <is>
          <t>Hydroponic</t>
        </is>
      </c>
      <c r="X371" t="inlineStr">
        <is>
          <t>Lab</t>
        </is>
      </c>
      <c r="Y371" t="n">
        <v>5.0</v>
      </c>
      <c r="Z371" t="inlineStr">
        <is>
          <t>Active ingredient</t>
        </is>
      </c>
      <c r="AA371"/>
      <c r="AB371" t="n">
        <v>10.0</v>
      </c>
      <c r="AC371"/>
      <c r="AD371"/>
      <c r="AE371"/>
      <c r="AF371"/>
      <c r="AG371" t="inlineStr">
        <is>
          <t>ug/L</t>
        </is>
      </c>
      <c r="AH371"/>
      <c r="AI371"/>
      <c r="AJ371"/>
      <c r="AK371"/>
      <c r="AL371"/>
      <c r="AM371"/>
      <c r="AN371"/>
      <c r="AO371"/>
      <c r="AP371"/>
      <c r="AQ371"/>
      <c r="AR371"/>
      <c r="AS371"/>
      <c r="AT371"/>
      <c r="AU371"/>
      <c r="AV371"/>
      <c r="AW371"/>
      <c r="AX371" t="inlineStr">
        <is>
          <t>Accumulation</t>
        </is>
      </c>
      <c r="AY371" t="inlineStr">
        <is>
          <t>Residue</t>
        </is>
      </c>
      <c r="AZ371" t="inlineStr">
        <is>
          <t>BAF</t>
        </is>
      </c>
      <c r="BA371"/>
      <c r="BB371" t="n">
        <v>8.83</v>
      </c>
      <c r="BC371"/>
      <c r="BD371"/>
      <c r="BE371"/>
      <c r="BF371"/>
      <c r="BG371"/>
      <c r="BH371"/>
      <c r="BI371" t="inlineStr">
        <is>
          <t>L/kg</t>
        </is>
      </c>
      <c r="BJ371" t="inlineStr">
        <is>
          <t>Whole organism</t>
        </is>
      </c>
      <c r="BK371"/>
      <c r="BL371" t="n">
        <v>14.0</v>
      </c>
      <c r="BM371"/>
      <c r="BN371"/>
      <c r="BO371"/>
      <c r="BP371"/>
      <c r="BQ371" t="inlineStr">
        <is>
          <t>Day(s)</t>
        </is>
      </c>
      <c r="BR371" t="inlineStr">
        <is>
          <t>Awad,J., G. Brunetti, A. Juhasz, M. Williams, D. Navarro, B. Drigo, J. Bougoure, J. Vanderzalm, and S. Beecham</t>
        </is>
      </c>
      <c r="BS371" t="n">
        <v>191324.0</v>
      </c>
      <c r="BT371" t="inlineStr">
        <is>
          <t>Application of Native Plants in Constructed Floating Wetlands as a Passive Remediation Approach for PFAS-Impacted Surface Water</t>
        </is>
      </c>
      <c r="BU371" t="inlineStr">
        <is>
          <t>J. Hazard. Mater.429:11 p.</t>
        </is>
      </c>
      <c r="BV371" t="n">
        <v>2022.0</v>
      </c>
      <c r="BW37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2">
      <c r="A372" t="n">
        <v>2795393.0</v>
      </c>
      <c r="B372" t="inlineStr">
        <is>
          <t>1,1,2,2,3,3,4,4,5,5,6,6,7,7,8,8,8-Heptadecafluoro-1-octanesulfonic acid potassium salt</t>
        </is>
      </c>
      <c r="C372"/>
      <c r="D372" t="inlineStr">
        <is>
          <t>Chemical analysis reported</t>
        </is>
      </c>
      <c r="E372" t="inlineStr">
        <is>
          <t>&gt;=</t>
        </is>
      </c>
      <c r="F372" t="n">
        <v>98.0</v>
      </c>
      <c r="G372"/>
      <c r="H372"/>
      <c r="I372"/>
      <c r="J372"/>
      <c r="K372" t="inlineStr">
        <is>
          <t>Juncus krausii</t>
        </is>
      </c>
      <c r="L372" t="inlineStr">
        <is>
          <t>Sea Rush</t>
        </is>
      </c>
      <c r="M372" t="inlineStr">
        <is>
          <t>Flowers, Trees, Shrubs, Ferns</t>
        </is>
      </c>
      <c r="N372"/>
      <c r="O372"/>
      <c r="P372"/>
      <c r="Q372"/>
      <c r="R372"/>
      <c r="S372"/>
      <c r="T372"/>
      <c r="U372"/>
      <c r="V372" t="inlineStr">
        <is>
          <t>Hydroponic</t>
        </is>
      </c>
      <c r="W372" t="inlineStr">
        <is>
          <t>Hydroponic</t>
        </is>
      </c>
      <c r="X372" t="inlineStr">
        <is>
          <t>Lab</t>
        </is>
      </c>
      <c r="Y372" t="n">
        <v>5.0</v>
      </c>
      <c r="Z372" t="inlineStr">
        <is>
          <t>Active ingredient</t>
        </is>
      </c>
      <c r="AA372"/>
      <c r="AB372" t="n">
        <v>2.0</v>
      </c>
      <c r="AC372"/>
      <c r="AD372"/>
      <c r="AE372"/>
      <c r="AF372"/>
      <c r="AG372" t="inlineStr">
        <is>
          <t>ug/L</t>
        </is>
      </c>
      <c r="AH372"/>
      <c r="AI372"/>
      <c r="AJ372"/>
      <c r="AK372"/>
      <c r="AL372"/>
      <c r="AM372"/>
      <c r="AN372"/>
      <c r="AO372"/>
      <c r="AP372"/>
      <c r="AQ372"/>
      <c r="AR372"/>
      <c r="AS372"/>
      <c r="AT372"/>
      <c r="AU372"/>
      <c r="AV372"/>
      <c r="AW372"/>
      <c r="AX372" t="inlineStr">
        <is>
          <t>Accumulation</t>
        </is>
      </c>
      <c r="AY372" t="inlineStr">
        <is>
          <t>Residue</t>
        </is>
      </c>
      <c r="AZ372" t="inlineStr">
        <is>
          <t>BAF</t>
        </is>
      </c>
      <c r="BA372"/>
      <c r="BB372" t="n">
        <v>9.75</v>
      </c>
      <c r="BC372"/>
      <c r="BD372"/>
      <c r="BE372"/>
      <c r="BF372"/>
      <c r="BG372"/>
      <c r="BH372"/>
      <c r="BI372" t="inlineStr">
        <is>
          <t>L/kg</t>
        </is>
      </c>
      <c r="BJ372" t="inlineStr">
        <is>
          <t>Root</t>
        </is>
      </c>
      <c r="BK372"/>
      <c r="BL372" t="n">
        <v>14.0</v>
      </c>
      <c r="BM372"/>
      <c r="BN372"/>
      <c r="BO372"/>
      <c r="BP372"/>
      <c r="BQ372" t="inlineStr">
        <is>
          <t>Day(s)</t>
        </is>
      </c>
      <c r="BR372" t="inlineStr">
        <is>
          <t>Awad,J., G. Brunetti, A. Juhasz, M. Williams, D. Navarro, B. Drigo, J. Bougoure, J. Vanderzalm, and S. Beecham</t>
        </is>
      </c>
      <c r="BS372" t="n">
        <v>191324.0</v>
      </c>
      <c r="BT372" t="inlineStr">
        <is>
          <t>Application of Native Plants in Constructed Floating Wetlands as a Passive Remediation Approach for PFAS-Impacted Surface Water</t>
        </is>
      </c>
      <c r="BU372" t="inlineStr">
        <is>
          <t>J. Hazard. Mater.429:11 p.</t>
        </is>
      </c>
      <c r="BV372" t="n">
        <v>2022.0</v>
      </c>
      <c r="BW37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3">
      <c r="A373" t="n">
        <v>2795393.0</v>
      </c>
      <c r="B373" t="inlineStr">
        <is>
          <t>1,1,2,2,3,3,4,4,5,5,6,6,7,7,8,8,8-Heptadecafluoro-1-octanesulfonic acid potassium salt</t>
        </is>
      </c>
      <c r="C373"/>
      <c r="D373" t="inlineStr">
        <is>
          <t>Chemical analysis reported</t>
        </is>
      </c>
      <c r="E373" t="inlineStr">
        <is>
          <t>&gt;=</t>
        </is>
      </c>
      <c r="F373" t="n">
        <v>98.0</v>
      </c>
      <c r="G373"/>
      <c r="H373"/>
      <c r="I373"/>
      <c r="J373"/>
      <c r="K373" t="inlineStr">
        <is>
          <t>Juncus krausii</t>
        </is>
      </c>
      <c r="L373" t="inlineStr">
        <is>
          <t>Sea Rush</t>
        </is>
      </c>
      <c r="M373" t="inlineStr">
        <is>
          <t>Flowers, Trees, Shrubs, Ferns</t>
        </is>
      </c>
      <c r="N373"/>
      <c r="O373"/>
      <c r="P373"/>
      <c r="Q373"/>
      <c r="R373"/>
      <c r="S373"/>
      <c r="T373"/>
      <c r="U373"/>
      <c r="V373" t="inlineStr">
        <is>
          <t>Hydroponic</t>
        </is>
      </c>
      <c r="W373" t="inlineStr">
        <is>
          <t>Hydroponic</t>
        </is>
      </c>
      <c r="X373" t="inlineStr">
        <is>
          <t>Lab</t>
        </is>
      </c>
      <c r="Y373" t="n">
        <v>5.0</v>
      </c>
      <c r="Z373" t="inlineStr">
        <is>
          <t>Active ingredient</t>
        </is>
      </c>
      <c r="AA373"/>
      <c r="AB373" t="n">
        <v>2.0</v>
      </c>
      <c r="AC373"/>
      <c r="AD373"/>
      <c r="AE373"/>
      <c r="AF373"/>
      <c r="AG373" t="inlineStr">
        <is>
          <t>ug/L</t>
        </is>
      </c>
      <c r="AH373"/>
      <c r="AI373"/>
      <c r="AJ373"/>
      <c r="AK373"/>
      <c r="AL373"/>
      <c r="AM373"/>
      <c r="AN373"/>
      <c r="AO373"/>
      <c r="AP373"/>
      <c r="AQ373"/>
      <c r="AR373"/>
      <c r="AS373"/>
      <c r="AT373"/>
      <c r="AU373"/>
      <c r="AV373"/>
      <c r="AW373"/>
      <c r="AX373" t="inlineStr">
        <is>
          <t>Accumulation</t>
        </is>
      </c>
      <c r="AY373" t="inlineStr">
        <is>
          <t>Residue</t>
        </is>
      </c>
      <c r="AZ373" t="inlineStr">
        <is>
          <t>BAF</t>
        </is>
      </c>
      <c r="BA373"/>
      <c r="BB373" t="n">
        <v>2.02</v>
      </c>
      <c r="BC373"/>
      <c r="BD373"/>
      <c r="BE373"/>
      <c r="BF373"/>
      <c r="BG373"/>
      <c r="BH373"/>
      <c r="BI373" t="inlineStr">
        <is>
          <t>L/kg</t>
        </is>
      </c>
      <c r="BJ373" t="inlineStr">
        <is>
          <t>Whole organism</t>
        </is>
      </c>
      <c r="BK373"/>
      <c r="BL373" t="n">
        <v>1.0</v>
      </c>
      <c r="BM373"/>
      <c r="BN373"/>
      <c r="BO373"/>
      <c r="BP373"/>
      <c r="BQ373" t="inlineStr">
        <is>
          <t>Day(s)</t>
        </is>
      </c>
      <c r="BR373" t="inlineStr">
        <is>
          <t>Awad,J., G. Brunetti, A. Juhasz, M. Williams, D. Navarro, B. Drigo, J. Bougoure, J. Vanderzalm, and S. Beecham</t>
        </is>
      </c>
      <c r="BS373" t="n">
        <v>191324.0</v>
      </c>
      <c r="BT373" t="inlineStr">
        <is>
          <t>Application of Native Plants in Constructed Floating Wetlands as a Passive Remediation Approach for PFAS-Impacted Surface Water</t>
        </is>
      </c>
      <c r="BU373" t="inlineStr">
        <is>
          <t>J. Hazard. Mater.429:11 p.</t>
        </is>
      </c>
      <c r="BV373" t="n">
        <v>2022.0</v>
      </c>
      <c r="BW37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4">
      <c r="A374" t="n">
        <v>2795393.0</v>
      </c>
      <c r="B374" t="inlineStr">
        <is>
          <t>1,1,2,2,3,3,4,4,5,5,6,6,7,7,8,8,8-Heptadecafluoro-1-octanesulfonic acid potassium salt</t>
        </is>
      </c>
      <c r="C374"/>
      <c r="D374" t="inlineStr">
        <is>
          <t>Chemical analysis reported</t>
        </is>
      </c>
      <c r="E374" t="inlineStr">
        <is>
          <t>&gt;=</t>
        </is>
      </c>
      <c r="F374" t="n">
        <v>98.0</v>
      </c>
      <c r="G374"/>
      <c r="H374"/>
      <c r="I374"/>
      <c r="J374"/>
      <c r="K374" t="inlineStr">
        <is>
          <t>Juncus krausii</t>
        </is>
      </c>
      <c r="L374" t="inlineStr">
        <is>
          <t>Sea Rush</t>
        </is>
      </c>
      <c r="M374" t="inlineStr">
        <is>
          <t>Flowers, Trees, Shrubs, Ferns</t>
        </is>
      </c>
      <c r="N374"/>
      <c r="O374"/>
      <c r="P374"/>
      <c r="Q374"/>
      <c r="R374"/>
      <c r="S374"/>
      <c r="T374"/>
      <c r="U374"/>
      <c r="V374" t="inlineStr">
        <is>
          <t>Hydroponic</t>
        </is>
      </c>
      <c r="W374" t="inlineStr">
        <is>
          <t>Hydroponic</t>
        </is>
      </c>
      <c r="X374" t="inlineStr">
        <is>
          <t>Lab</t>
        </is>
      </c>
      <c r="Y374" t="n">
        <v>5.0</v>
      </c>
      <c r="Z374" t="inlineStr">
        <is>
          <t>Active ingredient</t>
        </is>
      </c>
      <c r="AA374"/>
      <c r="AB374" t="n">
        <v>30.0</v>
      </c>
      <c r="AC374"/>
      <c r="AD374"/>
      <c r="AE374"/>
      <c r="AF374"/>
      <c r="AG374" t="inlineStr">
        <is>
          <t>ug/L</t>
        </is>
      </c>
      <c r="AH374"/>
      <c r="AI374"/>
      <c r="AJ374"/>
      <c r="AK374"/>
      <c r="AL374"/>
      <c r="AM374"/>
      <c r="AN374"/>
      <c r="AO374"/>
      <c r="AP374"/>
      <c r="AQ374"/>
      <c r="AR374"/>
      <c r="AS374"/>
      <c r="AT374"/>
      <c r="AU374"/>
      <c r="AV374"/>
      <c r="AW374"/>
      <c r="AX374" t="inlineStr">
        <is>
          <t>Accumulation</t>
        </is>
      </c>
      <c r="AY374" t="inlineStr">
        <is>
          <t>Residue</t>
        </is>
      </c>
      <c r="AZ374" t="inlineStr">
        <is>
          <t>BAF</t>
        </is>
      </c>
      <c r="BA374"/>
      <c r="BB374" t="n">
        <v>14.03</v>
      </c>
      <c r="BC374"/>
      <c r="BD374"/>
      <c r="BE374"/>
      <c r="BF374"/>
      <c r="BG374"/>
      <c r="BH374"/>
      <c r="BI374" t="inlineStr">
        <is>
          <t>L/kg</t>
        </is>
      </c>
      <c r="BJ374" t="inlineStr">
        <is>
          <t>Root</t>
        </is>
      </c>
      <c r="BK374"/>
      <c r="BL374" t="n">
        <v>14.0</v>
      </c>
      <c r="BM374"/>
      <c r="BN374"/>
      <c r="BO374"/>
      <c r="BP374"/>
      <c r="BQ374" t="inlineStr">
        <is>
          <t>Day(s)</t>
        </is>
      </c>
      <c r="BR374" t="inlineStr">
        <is>
          <t>Awad,J., G. Brunetti, A. Juhasz, M. Williams, D. Navarro, B. Drigo, J. Bougoure, J. Vanderzalm, and S. Beecham</t>
        </is>
      </c>
      <c r="BS374" t="n">
        <v>191324.0</v>
      </c>
      <c r="BT374" t="inlineStr">
        <is>
          <t>Application of Native Plants in Constructed Floating Wetlands as a Passive Remediation Approach for PFAS-Impacted Surface Water</t>
        </is>
      </c>
      <c r="BU374" t="inlineStr">
        <is>
          <t>J. Hazard. Mater.429:11 p.</t>
        </is>
      </c>
      <c r="BV374" t="n">
        <v>2022.0</v>
      </c>
      <c r="BW37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5">
      <c r="A375" t="n">
        <v>2795393.0</v>
      </c>
      <c r="B375" t="inlineStr">
        <is>
          <t>1,1,2,2,3,3,4,4,5,5,6,6,7,7,8,8,8-Heptadecafluoro-1-octanesulfonic acid potassium salt</t>
        </is>
      </c>
      <c r="C375"/>
      <c r="D375" t="inlineStr">
        <is>
          <t>Chemical analysis reported</t>
        </is>
      </c>
      <c r="E375" t="inlineStr">
        <is>
          <t>&gt;=</t>
        </is>
      </c>
      <c r="F375" t="n">
        <v>98.0</v>
      </c>
      <c r="G375"/>
      <c r="H375"/>
      <c r="I375"/>
      <c r="J375"/>
      <c r="K375" t="inlineStr">
        <is>
          <t>Juncus krausii</t>
        </is>
      </c>
      <c r="L375" t="inlineStr">
        <is>
          <t>Sea Rush</t>
        </is>
      </c>
      <c r="M375" t="inlineStr">
        <is>
          <t>Flowers, Trees, Shrubs, Ferns</t>
        </is>
      </c>
      <c r="N375"/>
      <c r="O375"/>
      <c r="P375"/>
      <c r="Q375"/>
      <c r="R375"/>
      <c r="S375"/>
      <c r="T375"/>
      <c r="U375"/>
      <c r="V375" t="inlineStr">
        <is>
          <t>Hydroponic</t>
        </is>
      </c>
      <c r="W375" t="inlineStr">
        <is>
          <t>Hydroponic</t>
        </is>
      </c>
      <c r="X375" t="inlineStr">
        <is>
          <t>Lab</t>
        </is>
      </c>
      <c r="Y375" t="n">
        <v>5.0</v>
      </c>
      <c r="Z375" t="inlineStr">
        <is>
          <t>Active ingredient</t>
        </is>
      </c>
      <c r="AA375"/>
      <c r="AB375" t="n">
        <v>30.0</v>
      </c>
      <c r="AC375"/>
      <c r="AD375"/>
      <c r="AE375"/>
      <c r="AF375"/>
      <c r="AG375" t="inlineStr">
        <is>
          <t>ug/L</t>
        </is>
      </c>
      <c r="AH375"/>
      <c r="AI375"/>
      <c r="AJ375"/>
      <c r="AK375"/>
      <c r="AL375"/>
      <c r="AM375"/>
      <c r="AN375"/>
      <c r="AO375"/>
      <c r="AP375"/>
      <c r="AQ375"/>
      <c r="AR375"/>
      <c r="AS375"/>
      <c r="AT375"/>
      <c r="AU375"/>
      <c r="AV375"/>
      <c r="AW375"/>
      <c r="AX375" t="inlineStr">
        <is>
          <t>Accumulation</t>
        </is>
      </c>
      <c r="AY375" t="inlineStr">
        <is>
          <t>Residue</t>
        </is>
      </c>
      <c r="AZ375" t="inlineStr">
        <is>
          <t>BAF</t>
        </is>
      </c>
      <c r="BA375"/>
      <c r="BB375" t="n">
        <v>7.49</v>
      </c>
      <c r="BC375"/>
      <c r="BD375"/>
      <c r="BE375"/>
      <c r="BF375"/>
      <c r="BG375"/>
      <c r="BH375"/>
      <c r="BI375" t="inlineStr">
        <is>
          <t>L/kg</t>
        </is>
      </c>
      <c r="BJ375" t="inlineStr">
        <is>
          <t>Whole organism</t>
        </is>
      </c>
      <c r="BK375"/>
      <c r="BL375" t="n">
        <v>14.0</v>
      </c>
      <c r="BM375"/>
      <c r="BN375"/>
      <c r="BO375"/>
      <c r="BP375"/>
      <c r="BQ375" t="inlineStr">
        <is>
          <t>Day(s)</t>
        </is>
      </c>
      <c r="BR375" t="inlineStr">
        <is>
          <t>Awad,J., G. Brunetti, A. Juhasz, M. Williams, D. Navarro, B. Drigo, J. Bougoure, J. Vanderzalm, and S. Beecham</t>
        </is>
      </c>
      <c r="BS375" t="n">
        <v>191324.0</v>
      </c>
      <c r="BT375" t="inlineStr">
        <is>
          <t>Application of Native Plants in Constructed Floating Wetlands as a Passive Remediation Approach for PFAS-Impacted Surface Water</t>
        </is>
      </c>
      <c r="BU375" t="inlineStr">
        <is>
          <t>J. Hazard. Mater.429:11 p.</t>
        </is>
      </c>
      <c r="BV375" t="n">
        <v>2022.0</v>
      </c>
      <c r="BW37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6">
      <c r="A376" t="n">
        <v>2795393.0</v>
      </c>
      <c r="B376" t="inlineStr">
        <is>
          <t>1,1,2,2,3,3,4,4,5,5,6,6,7,7,8,8,8-Heptadecafluoro-1-octanesulfonic acid potassium salt</t>
        </is>
      </c>
      <c r="C376"/>
      <c r="D376" t="inlineStr">
        <is>
          <t>Measured</t>
        </is>
      </c>
      <c r="E376" t="inlineStr">
        <is>
          <t>&gt;=</t>
        </is>
      </c>
      <c r="F376" t="n">
        <v>98.0</v>
      </c>
      <c r="G376"/>
      <c r="H376"/>
      <c r="I376"/>
      <c r="J376"/>
      <c r="K376" t="inlineStr">
        <is>
          <t>Lactuca sativa</t>
        </is>
      </c>
      <c r="L376" t="inlineStr">
        <is>
          <t>Lettuce</t>
        </is>
      </c>
      <c r="M376" t="inlineStr">
        <is>
          <t>Flowers, Trees, Shrubs, Ferns; Standard Test Species; U.S. Invasive Species</t>
        </is>
      </c>
      <c r="N376"/>
      <c r="O376"/>
      <c r="P376" t="n">
        <v>2.0</v>
      </c>
      <c r="Q376"/>
      <c r="R376"/>
      <c r="S376"/>
      <c r="T376"/>
      <c r="U376" t="inlineStr">
        <is>
          <t>Week(s)</t>
        </is>
      </c>
      <c r="V376" t="inlineStr">
        <is>
          <t>Hydroponic</t>
        </is>
      </c>
      <c r="W376" t="inlineStr">
        <is>
          <t>Culture</t>
        </is>
      </c>
      <c r="X376" t="inlineStr">
        <is>
          <t>Lab</t>
        </is>
      </c>
      <c r="Y376" t="n">
        <v>5.0</v>
      </c>
      <c r="Z376" t="inlineStr">
        <is>
          <t>Active ingredient</t>
        </is>
      </c>
      <c r="AA376"/>
      <c r="AB376"/>
      <c r="AC376"/>
      <c r="AD376" t="n">
        <v>5.5</v>
      </c>
      <c r="AE376"/>
      <c r="AF376" t="n">
        <v>4397.0</v>
      </c>
      <c r="AG376" t="inlineStr">
        <is>
          <t>ng/L</t>
        </is>
      </c>
      <c r="AH376"/>
      <c r="AI376"/>
      <c r="AJ376"/>
      <c r="AK376"/>
      <c r="AL376"/>
      <c r="AM376"/>
      <c r="AN376"/>
      <c r="AO376"/>
      <c r="AP376"/>
      <c r="AQ376"/>
      <c r="AR376"/>
      <c r="AS376"/>
      <c r="AT376"/>
      <c r="AU376"/>
      <c r="AV376"/>
      <c r="AW376"/>
      <c r="AX376" t="inlineStr">
        <is>
          <t>Accumulation</t>
        </is>
      </c>
      <c r="AY376" t="inlineStr">
        <is>
          <t>Residue</t>
        </is>
      </c>
      <c r="AZ376" t="inlineStr">
        <is>
          <t>BCF</t>
        </is>
      </c>
      <c r="BA376"/>
      <c r="BB376"/>
      <c r="BC376" t="inlineStr">
        <is>
          <t>&gt;</t>
        </is>
      </c>
      <c r="BD376" t="n">
        <v>10.0</v>
      </c>
      <c r="BE376" t="inlineStr">
        <is>
          <t>&lt;</t>
        </is>
      </c>
      <c r="BF376" t="n">
        <v>100.0</v>
      </c>
      <c r="BG376"/>
      <c r="BH376"/>
      <c r="BI376" t="inlineStr">
        <is>
          <t>ml/g</t>
        </is>
      </c>
      <c r="BJ376" t="inlineStr">
        <is>
          <t>Root</t>
        </is>
      </c>
      <c r="BK376"/>
      <c r="BL376" t="n">
        <v>40.0</v>
      </c>
      <c r="BM376"/>
      <c r="BN376"/>
      <c r="BO376"/>
      <c r="BP376"/>
      <c r="BQ376" t="inlineStr">
        <is>
          <t>Day(s)</t>
        </is>
      </c>
      <c r="BR376" t="inlineStr">
        <is>
          <t>Felizeter,S., M.S. McLachlan, and P. De Voogt</t>
        </is>
      </c>
      <c r="BS376" t="n">
        <v>163386.0</v>
      </c>
      <c r="BT376" t="inlineStr">
        <is>
          <t>Uptake of Perfluorinated Alkyl Acids by Hydroponically Grown Lettuce (Lactuca sativa)</t>
        </is>
      </c>
      <c r="BU376" t="inlineStr">
        <is>
          <t>Environ. Sci. Technol.46(21): 11735-11743</t>
        </is>
      </c>
      <c r="BV376" t="n">
        <v>2012.0</v>
      </c>
      <c r="BW376" t="inlineStr">
        <is>
          <t>Felizeter,S., M.S. McLachlan, and P. De Voogt (2012). Uptake of Perfluorinated Alkyl Acids by Hydroponically Grown Lettuce (Lactuca sativa). Environ. Sci. Technol., 46, (21), 11735-11743. doi:10.1021/es302398u. ECOREF#:163386</t>
        </is>
      </c>
    </row>
    <row r="377">
      <c r="A377" t="n">
        <v>2795393.0</v>
      </c>
      <c r="B377" t="inlineStr">
        <is>
          <t>1,1,2,2,3,3,4,4,5,5,6,6,7,7,8,8,8-Heptadecafluoro-1-octanesulfonic acid potassium salt</t>
        </is>
      </c>
      <c r="C377"/>
      <c r="D377" t="inlineStr">
        <is>
          <t>Unmeasured</t>
        </is>
      </c>
      <c r="E377"/>
      <c r="F377" t="n">
        <v>99.9</v>
      </c>
      <c r="G377"/>
      <c r="H377"/>
      <c r="I377"/>
      <c r="J377"/>
      <c r="K377" t="inlineStr">
        <is>
          <t>Lactuca sativa</t>
        </is>
      </c>
      <c r="L377" t="inlineStr">
        <is>
          <t>Lettuce</t>
        </is>
      </c>
      <c r="M377" t="inlineStr">
        <is>
          <t>Flowers, Trees, Shrubs, Ferns; Standard Test Species; U.S. Invasive Species</t>
        </is>
      </c>
      <c r="N377" t="inlineStr">
        <is>
          <t>Seedling</t>
        </is>
      </c>
      <c r="O377"/>
      <c r="P377" t="n">
        <v>3.0</v>
      </c>
      <c r="Q377"/>
      <c r="R377"/>
      <c r="S377"/>
      <c r="T377"/>
      <c r="U377" t="inlineStr">
        <is>
          <t>Week(s)</t>
        </is>
      </c>
      <c r="V377" t="inlineStr">
        <is>
          <t>Hydroponic</t>
        </is>
      </c>
      <c r="W377" t="inlineStr">
        <is>
          <t>Hydroponic</t>
        </is>
      </c>
      <c r="X377" t="inlineStr">
        <is>
          <t>Lab</t>
        </is>
      </c>
      <c r="Y377" t="n">
        <v>3.0</v>
      </c>
      <c r="Z377" t="inlineStr">
        <is>
          <t>Active ingredient</t>
        </is>
      </c>
      <c r="AA377"/>
      <c r="AB377"/>
      <c r="AC377"/>
      <c r="AD377" t="n">
        <v>5.0</v>
      </c>
      <c r="AE377"/>
      <c r="AF377" t="n">
        <v>50.0</v>
      </c>
      <c r="AG377" t="inlineStr">
        <is>
          <t>ug/L</t>
        </is>
      </c>
      <c r="AH377"/>
      <c r="AI377"/>
      <c r="AJ377"/>
      <c r="AK377"/>
      <c r="AL377"/>
      <c r="AM377"/>
      <c r="AN377"/>
      <c r="AO377"/>
      <c r="AP377"/>
      <c r="AQ377"/>
      <c r="AR377"/>
      <c r="AS377"/>
      <c r="AT377"/>
      <c r="AU377"/>
      <c r="AV377"/>
      <c r="AW377"/>
      <c r="AX377" t="inlineStr">
        <is>
          <t>Accumulation</t>
        </is>
      </c>
      <c r="AY377" t="inlineStr">
        <is>
          <t>Residue</t>
        </is>
      </c>
      <c r="AZ377"/>
      <c r="BA377"/>
      <c r="BB377"/>
      <c r="BC377"/>
      <c r="BD377" t="n">
        <v>5.0</v>
      </c>
      <c r="BE377"/>
      <c r="BF377" t="n">
        <v>50.0</v>
      </c>
      <c r="BG377"/>
      <c r="BH377"/>
      <c r="BI377" t="inlineStr">
        <is>
          <t>ug/L</t>
        </is>
      </c>
      <c r="BJ377" t="inlineStr">
        <is>
          <t>Multiple entries</t>
        </is>
      </c>
      <c r="BK377"/>
      <c r="BL377" t="n">
        <v>10.0</v>
      </c>
      <c r="BM377"/>
      <c r="BN377"/>
      <c r="BO377"/>
      <c r="BP377"/>
      <c r="BQ377" t="inlineStr">
        <is>
          <t>Day(s)</t>
        </is>
      </c>
      <c r="BR377" t="inlineStr">
        <is>
          <t>Li,P., J. Sun, X. Xie, Z. Li, B. Huang, G. Zhang, J. Li, and Z. Xiao</t>
        </is>
      </c>
      <c r="BS377" t="n">
        <v>186105.0</v>
      </c>
      <c r="BT377" t="inlineStr">
        <is>
          <t>Stress Response and Tolerance to Perfluorooctane Sulfonate (PFOS) in Lettuce (Lactuca sativa)</t>
        </is>
      </c>
      <c r="BU377" t="inlineStr">
        <is>
          <t>J. Hazard. Mater.404:12 p.</t>
        </is>
      </c>
      <c r="BV377" t="n">
        <v>2021.0</v>
      </c>
      <c r="BW377" t="inlineStr">
        <is>
          <t>Li,P., J. Sun, X. Xie, Z. Li, B. Huang, G. Zhang, J. Li, and Z. Xiao (2021). Stress Response and Tolerance to Perfluorooctane Sulfonate (PFOS) in Lettuce (Lactuca sativa). J. Hazard. Mater., 404, 12 p. doi:10.1016/j.hazmat.2020.124213. ECOREF#:186105</t>
        </is>
      </c>
    </row>
    <row r="378">
      <c r="A378" t="n">
        <v>2795393.0</v>
      </c>
      <c r="B378" t="inlineStr">
        <is>
          <t>1,1,2,2,3,3,4,4,5,5,6,6,7,7,8,8,8-Heptadecafluoro-1-octanesulfonic acid potassium salt</t>
        </is>
      </c>
      <c r="C378"/>
      <c r="D378" t="inlineStr">
        <is>
          <t>Unmeasured</t>
        </is>
      </c>
      <c r="E378"/>
      <c r="F378" t="n">
        <v>98.0</v>
      </c>
      <c r="G378"/>
      <c r="H378"/>
      <c r="I378"/>
      <c r="J378"/>
      <c r="K378" t="inlineStr">
        <is>
          <t>Lactuca sativa</t>
        </is>
      </c>
      <c r="L378" t="inlineStr">
        <is>
          <t>Lettuce</t>
        </is>
      </c>
      <c r="M378" t="inlineStr">
        <is>
          <t>Flowers, Trees, Shrubs, Ferns; Standard Test Species; U.S. Invasive Species</t>
        </is>
      </c>
      <c r="N378" t="inlineStr">
        <is>
          <t>Seedling</t>
        </is>
      </c>
      <c r="O378"/>
      <c r="P378" t="n">
        <v>10.0</v>
      </c>
      <c r="Q378"/>
      <c r="R378"/>
      <c r="S378"/>
      <c r="T378"/>
      <c r="U378" t="inlineStr">
        <is>
          <t>Day(s)</t>
        </is>
      </c>
      <c r="V378" t="inlineStr">
        <is>
          <t>Hydroponic</t>
        </is>
      </c>
      <c r="W378" t="inlineStr">
        <is>
          <t>Hydroponic</t>
        </is>
      </c>
      <c r="X378" t="inlineStr">
        <is>
          <t>Lab</t>
        </is>
      </c>
      <c r="Y378" t="n">
        <v>3.0</v>
      </c>
      <c r="Z378" t="inlineStr">
        <is>
          <t>Active ingredient</t>
        </is>
      </c>
      <c r="AA378"/>
      <c r="AB378"/>
      <c r="AC378"/>
      <c r="AD378" t="n">
        <v>500.0</v>
      </c>
      <c r="AE378"/>
      <c r="AF378" t="n">
        <v>5000.0</v>
      </c>
      <c r="AG378" t="inlineStr">
        <is>
          <t>ng/L</t>
        </is>
      </c>
      <c r="AH378"/>
      <c r="AI378"/>
      <c r="AJ378"/>
      <c r="AK378"/>
      <c r="AL378"/>
      <c r="AM378"/>
      <c r="AN378"/>
      <c r="AO378"/>
      <c r="AP378"/>
      <c r="AQ378"/>
      <c r="AR378"/>
      <c r="AS378"/>
      <c r="AT378"/>
      <c r="AU378"/>
      <c r="AV378"/>
      <c r="AW378"/>
      <c r="AX378" t="inlineStr">
        <is>
          <t>Accumulation</t>
        </is>
      </c>
      <c r="AY378" t="inlineStr">
        <is>
          <t>Residue</t>
        </is>
      </c>
      <c r="AZ378"/>
      <c r="BA378"/>
      <c r="BB378"/>
      <c r="BC378"/>
      <c r="BD378" t="n">
        <v>500.0</v>
      </c>
      <c r="BE378"/>
      <c r="BF378" t="n">
        <v>5000.0</v>
      </c>
      <c r="BG378"/>
      <c r="BH378"/>
      <c r="BI378" t="inlineStr">
        <is>
          <t>ng/L</t>
        </is>
      </c>
      <c r="BJ378" t="inlineStr">
        <is>
          <t>Leafneedle</t>
        </is>
      </c>
      <c r="BK378"/>
      <c r="BL378" t="n">
        <v>28.0</v>
      </c>
      <c r="BM378"/>
      <c r="BN378"/>
      <c r="BO378"/>
      <c r="BP378"/>
      <c r="BQ378" t="inlineStr">
        <is>
          <t>Day(s)</t>
        </is>
      </c>
      <c r="BR378" t="inlineStr">
        <is>
          <t>Li,P., X. Oyang, X. Xie, Z. Li, H. Yang, J. Xi, Y. Guo, X. Tian, B. Liu, J. Li, and Z. Xiao</t>
        </is>
      </c>
      <c r="BS378" t="n">
        <v>181725.0</v>
      </c>
      <c r="BT378" t="inlineStr">
        <is>
          <t>Phytotoxicity Induced by Perfluorooctanoic Acid and Perfluorooctane Sulfonate Via Metabolomics</t>
        </is>
      </c>
      <c r="BU378" t="inlineStr">
        <is>
          <t>J. Hazard. Mater.:9 p.</t>
        </is>
      </c>
      <c r="BV378" t="n">
        <v>2020.0</v>
      </c>
      <c r="BW378" t="inlineStr">
        <is>
          <t>Li,P., X. Oyang, X. Xie, Z. Li, H. Yang, J. Xi, Y. Guo, X. Tian, B. Liu, J. Li, and Z. Xiao (2020). Phytotoxicity Induced by Perfluorooctanoic Acid and Perfluorooctane Sulfonate Via Metabolomics. J. Hazard. Mater., 9 p. ECOREF#:181725</t>
        </is>
      </c>
    </row>
    <row r="379">
      <c r="A379" t="n">
        <v>2795393.0</v>
      </c>
      <c r="B379" t="inlineStr">
        <is>
          <t>1,1,2,2,3,3,4,4,5,5,6,6,7,7,8,8,8-Heptadecafluoro-1-octanesulfonic acid potassium salt</t>
        </is>
      </c>
      <c r="C379"/>
      <c r="D379" t="inlineStr">
        <is>
          <t>Chemical analysis reported</t>
        </is>
      </c>
      <c r="E379"/>
      <c r="F379" t="n">
        <v>86.9</v>
      </c>
      <c r="G379"/>
      <c r="H379"/>
      <c r="I379"/>
      <c r="J379"/>
      <c r="K379" t="inlineStr">
        <is>
          <t>Lactuca sativa</t>
        </is>
      </c>
      <c r="L379" t="inlineStr">
        <is>
          <t>Lettuce</t>
        </is>
      </c>
      <c r="M379" t="inlineStr">
        <is>
          <t>Flowers, Trees, Shrubs, Ferns; Standard Test Species; U.S. Invasive Species</t>
        </is>
      </c>
      <c r="N379" t="inlineStr">
        <is>
          <t>Seed</t>
        </is>
      </c>
      <c r="O379"/>
      <c r="P379"/>
      <c r="Q379"/>
      <c r="R379"/>
      <c r="S379"/>
      <c r="T379"/>
      <c r="U379"/>
      <c r="V379" t="inlineStr">
        <is>
          <t>Direct application</t>
        </is>
      </c>
      <c r="W379" t="inlineStr">
        <is>
          <t>Artificial soil</t>
        </is>
      </c>
      <c r="X379" t="inlineStr">
        <is>
          <t>Lab</t>
        </is>
      </c>
      <c r="Y379" t="n">
        <v>6.0</v>
      </c>
      <c r="Z379" t="inlineStr">
        <is>
          <t>Active ingredient</t>
        </is>
      </c>
      <c r="AA379"/>
      <c r="AB379"/>
      <c r="AC379"/>
      <c r="AD379" t="n">
        <v>3.91</v>
      </c>
      <c r="AE379"/>
      <c r="AF379" t="n">
        <v>1000.0</v>
      </c>
      <c r="AG379" t="inlineStr">
        <is>
          <t>AI mg/kg dry soil</t>
        </is>
      </c>
      <c r="AH379"/>
      <c r="AI379"/>
      <c r="AJ379"/>
      <c r="AK379"/>
      <c r="AL379"/>
      <c r="AM379"/>
      <c r="AN379"/>
      <c r="AO379"/>
      <c r="AP379"/>
      <c r="AQ379"/>
      <c r="AR379"/>
      <c r="AS379"/>
      <c r="AT379"/>
      <c r="AU379"/>
      <c r="AV379"/>
      <c r="AW379"/>
      <c r="AX379" t="inlineStr">
        <is>
          <t>Accumulation</t>
        </is>
      </c>
      <c r="AY379" t="inlineStr">
        <is>
          <t>Residue</t>
        </is>
      </c>
      <c r="AZ379"/>
      <c r="BA379"/>
      <c r="BB379"/>
      <c r="BC379"/>
      <c r="BD379" t="n">
        <v>3.91</v>
      </c>
      <c r="BE379"/>
      <c r="BF379" t="n">
        <v>1000.0</v>
      </c>
      <c r="BG379"/>
      <c r="BH379"/>
      <c r="BI379" t="inlineStr">
        <is>
          <t>AI mg/kg dry soil</t>
        </is>
      </c>
      <c r="BJ379" t="inlineStr">
        <is>
          <t>Vegetative portion</t>
        </is>
      </c>
      <c r="BK379"/>
      <c r="BL379" t="n">
        <v>67.0</v>
      </c>
      <c r="BM379"/>
      <c r="BN379"/>
      <c r="BO379"/>
      <c r="BP379"/>
      <c r="BQ379" t="inlineStr">
        <is>
          <t>Day(s)</t>
        </is>
      </c>
      <c r="BR379" t="inlineStr">
        <is>
          <t>Brignole,A.J., J.R. Porch, H.O. Krueger, and R.L. Van Hoven</t>
        </is>
      </c>
      <c r="BS379" t="n">
        <v>175361.0</v>
      </c>
      <c r="BT379" t="inlineStr">
        <is>
          <t>PFOS: A Toxicity Test to Determine the Effects of the Test Substance on Seedling Emergence of Seven Species of Plants</t>
        </is>
      </c>
      <c r="BU379" t="inlineStr">
        <is>
          <t>EPA Docket AR226-1369, Wildlife International Ltd., Easton, MD:136 p.</t>
        </is>
      </c>
      <c r="BV379" t="n">
        <v>2003.0</v>
      </c>
      <c r="BW379" t="inlineStr">
        <is>
          <t>Brignole,A.J., J.R. Porch, H.O. Krueger, and R.L. Van Hoven (2003). PFOS: A Toxicity Test to Determine the Effects of the Test Substance on Seedling Emergence of Seven Species of Plants. EPA Docket AR226-1369, Wildlife International Ltd., Easton, MD, 136 p. ECOREF#:175361</t>
        </is>
      </c>
    </row>
    <row r="380">
      <c r="A380" t="n">
        <v>2795393.0</v>
      </c>
      <c r="B380" t="inlineStr">
        <is>
          <t>1,1,2,2,3,3,4,4,5,5,6,6,7,7,8,8,8-Heptadecafluoro-1-octanesulfonic acid potassium salt</t>
        </is>
      </c>
      <c r="C380"/>
      <c r="D380" t="inlineStr">
        <is>
          <t>Unmeasured</t>
        </is>
      </c>
      <c r="E380"/>
      <c r="F380" t="n">
        <v>99.9</v>
      </c>
      <c r="G380"/>
      <c r="H380"/>
      <c r="I380"/>
      <c r="J380"/>
      <c r="K380" t="inlineStr">
        <is>
          <t>Lactuca sativa</t>
        </is>
      </c>
      <c r="L380" t="inlineStr">
        <is>
          <t>Lettuce</t>
        </is>
      </c>
      <c r="M380" t="inlineStr">
        <is>
          <t>Flowers, Trees, Shrubs, Ferns; Standard Test Species; U.S. Invasive Species</t>
        </is>
      </c>
      <c r="N380" t="inlineStr">
        <is>
          <t>Seedling</t>
        </is>
      </c>
      <c r="O380"/>
      <c r="P380" t="n">
        <v>3.0</v>
      </c>
      <c r="Q380"/>
      <c r="R380"/>
      <c r="S380"/>
      <c r="T380"/>
      <c r="U380" t="inlineStr">
        <is>
          <t>Week(s)</t>
        </is>
      </c>
      <c r="V380" t="inlineStr">
        <is>
          <t>Hydroponic</t>
        </is>
      </c>
      <c r="W380" t="inlineStr">
        <is>
          <t>Hydroponic</t>
        </is>
      </c>
      <c r="X380" t="inlineStr">
        <is>
          <t>Lab</t>
        </is>
      </c>
      <c r="Y380" t="n">
        <v>3.0</v>
      </c>
      <c r="Z380" t="inlineStr">
        <is>
          <t>Active ingredient</t>
        </is>
      </c>
      <c r="AA380"/>
      <c r="AB380"/>
      <c r="AC380"/>
      <c r="AD380" t="n">
        <v>5.0</v>
      </c>
      <c r="AE380"/>
      <c r="AF380" t="n">
        <v>50.0</v>
      </c>
      <c r="AG380" t="inlineStr">
        <is>
          <t>ug/L</t>
        </is>
      </c>
      <c r="AH380"/>
      <c r="AI380"/>
      <c r="AJ380"/>
      <c r="AK380"/>
      <c r="AL380"/>
      <c r="AM380"/>
      <c r="AN380"/>
      <c r="AO380"/>
      <c r="AP380"/>
      <c r="AQ380"/>
      <c r="AR380"/>
      <c r="AS380"/>
      <c r="AT380"/>
      <c r="AU380"/>
      <c r="AV380"/>
      <c r="AW380"/>
      <c r="AX380" t="inlineStr">
        <is>
          <t>Accumulation</t>
        </is>
      </c>
      <c r="AY380" t="inlineStr">
        <is>
          <t>Ratio</t>
        </is>
      </c>
      <c r="AZ380"/>
      <c r="BA380"/>
      <c r="BB380"/>
      <c r="BC380"/>
      <c r="BD380" t="n">
        <v>5.0</v>
      </c>
      <c r="BE380"/>
      <c r="BF380" t="n">
        <v>50.0</v>
      </c>
      <c r="BG380"/>
      <c r="BH380"/>
      <c r="BI380" t="inlineStr">
        <is>
          <t>ug/L</t>
        </is>
      </c>
      <c r="BJ380" t="inlineStr">
        <is>
          <t>Multiple entries</t>
        </is>
      </c>
      <c r="BK380"/>
      <c r="BL380" t="n">
        <v>10.0</v>
      </c>
      <c r="BM380"/>
      <c r="BN380"/>
      <c r="BO380"/>
      <c r="BP380"/>
      <c r="BQ380" t="inlineStr">
        <is>
          <t>Day(s)</t>
        </is>
      </c>
      <c r="BR380" t="inlineStr">
        <is>
          <t>Li,P., J. Sun, X. Xie, Z. Li, B. Huang, G. Zhang, J. Li, and Z. Xiao</t>
        </is>
      </c>
      <c r="BS380" t="n">
        <v>186105.0</v>
      </c>
      <c r="BT380" t="inlineStr">
        <is>
          <t>Stress Response and Tolerance to Perfluorooctane Sulfonate (PFOS) in Lettuce (Lactuca sativa)</t>
        </is>
      </c>
      <c r="BU380" t="inlineStr">
        <is>
          <t>J. Hazard. Mater.404:12 p.</t>
        </is>
      </c>
      <c r="BV380" t="n">
        <v>2021.0</v>
      </c>
      <c r="BW380" t="inlineStr">
        <is>
          <t>Li,P., J. Sun, X. Xie, Z. Li, B. Huang, G. Zhang, J. Li, and Z. Xiao (2021). Stress Response and Tolerance to Perfluorooctane Sulfonate (PFOS) in Lettuce (Lactuca sativa). J. Hazard. Mater., 404, 12 p. doi:10.1016/j.hazmat.2020.124213. ECOREF#:186105</t>
        </is>
      </c>
    </row>
    <row r="381">
      <c r="A381" t="n">
        <v>2795393.0</v>
      </c>
      <c r="B381" t="inlineStr">
        <is>
          <t>1,1,2,2,3,3,4,4,5,5,6,6,7,7,8,8,8-Heptadecafluoro-1-octanesulfonic acid potassium salt</t>
        </is>
      </c>
      <c r="C381"/>
      <c r="D381" t="inlineStr">
        <is>
          <t>Unmeasured</t>
        </is>
      </c>
      <c r="E381"/>
      <c r="F381" t="n">
        <v>98.0</v>
      </c>
      <c r="G381"/>
      <c r="H381"/>
      <c r="I381"/>
      <c r="J381"/>
      <c r="K381" t="inlineStr">
        <is>
          <t>Larus argentatus</t>
        </is>
      </c>
      <c r="L381" t="inlineStr">
        <is>
          <t>Herring Gulls</t>
        </is>
      </c>
      <c r="M381" t="inlineStr">
        <is>
          <t>Birds</t>
        </is>
      </c>
      <c r="N381" t="inlineStr">
        <is>
          <t>Egg</t>
        </is>
      </c>
      <c r="O381"/>
      <c r="P381"/>
      <c r="Q381"/>
      <c r="R381"/>
      <c r="S381"/>
      <c r="T381"/>
      <c r="U381"/>
      <c r="V381" t="inlineStr">
        <is>
          <t>Air sac injection</t>
        </is>
      </c>
      <c r="W381" t="inlineStr">
        <is>
          <t>No substrate</t>
        </is>
      </c>
      <c r="X381" t="inlineStr">
        <is>
          <t>Lab</t>
        </is>
      </c>
      <c r="Y381" t="n">
        <v>2.0</v>
      </c>
      <c r="Z381" t="inlineStr">
        <is>
          <t>Active ingredient</t>
        </is>
      </c>
      <c r="AA381"/>
      <c r="AB381" t="n">
        <v>10.0</v>
      </c>
      <c r="AC381"/>
      <c r="AD381"/>
      <c r="AE381"/>
      <c r="AF381"/>
      <c r="AG381" t="inlineStr">
        <is>
          <t>ug/g egg</t>
        </is>
      </c>
      <c r="AH381"/>
      <c r="AI381"/>
      <c r="AJ381"/>
      <c r="AK381"/>
      <c r="AL381"/>
      <c r="AM381"/>
      <c r="AN381"/>
      <c r="AO381"/>
      <c r="AP381"/>
      <c r="AQ381"/>
      <c r="AR381"/>
      <c r="AS381"/>
      <c r="AT381"/>
      <c r="AU381"/>
      <c r="AV381"/>
      <c r="AW381"/>
      <c r="AX381" t="inlineStr">
        <is>
          <t>Accumulation</t>
        </is>
      </c>
      <c r="AY381" t="inlineStr">
        <is>
          <t>Residue</t>
        </is>
      </c>
      <c r="AZ381" t="inlineStr">
        <is>
          <t>BCF</t>
        </is>
      </c>
      <c r="BA381"/>
      <c r="BB381" t="n">
        <v>0.92</v>
      </c>
      <c r="BC381"/>
      <c r="BD381"/>
      <c r="BE381"/>
      <c r="BF381"/>
      <c r="BG381"/>
      <c r="BH381"/>
      <c r="BI381" t="inlineStr">
        <is>
          <t>RA</t>
        </is>
      </c>
      <c r="BJ381" t="inlineStr">
        <is>
          <t>Liver</t>
        </is>
      </c>
      <c r="BK381" t="inlineStr">
        <is>
          <t>~</t>
        </is>
      </c>
      <c r="BL381" t="n">
        <v>20.0</v>
      </c>
      <c r="BM381"/>
      <c r="BN381"/>
      <c r="BO381"/>
      <c r="BP381"/>
      <c r="BQ381" t="inlineStr">
        <is>
          <t>Day(s)</t>
        </is>
      </c>
      <c r="BR381" t="inlineStr">
        <is>
          <t>Norden,M., U. Berger, and M. Engwall</t>
        </is>
      </c>
      <c r="BS381" t="n">
        <v>177082.0</v>
      </c>
      <c r="BT381" t="inlineStr">
        <is>
          <t>Developmental Toxicity of PFOS and PFOA in Great Cormorant (Phalacrocorax carbo sinensis), Herring Gull (Larus argentatus) and Chicken (Gallus gallus domesticus)</t>
        </is>
      </c>
      <c r="BU381" t="inlineStr">
        <is>
          <t>Environ. Sci. Pollut. Res. Int.23(11): 10855-10862</t>
        </is>
      </c>
      <c r="BV381" t="n">
        <v>2016.0</v>
      </c>
      <c r="BW381"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82">
      <c r="A382" t="n">
        <v>2795393.0</v>
      </c>
      <c r="B382" t="inlineStr">
        <is>
          <t>1,1,2,2,3,3,4,4,5,5,6,6,7,7,8,8,8-Heptadecafluoro-1-octanesulfonic acid potassium salt</t>
        </is>
      </c>
      <c r="C382"/>
      <c r="D382" t="inlineStr">
        <is>
          <t>Unmeasured</t>
        </is>
      </c>
      <c r="E382"/>
      <c r="F382" t="n">
        <v>98.0</v>
      </c>
      <c r="G382"/>
      <c r="H382"/>
      <c r="I382"/>
      <c r="J382"/>
      <c r="K382" t="inlineStr">
        <is>
          <t>Larus argentatus</t>
        </is>
      </c>
      <c r="L382" t="inlineStr">
        <is>
          <t>Herring Gulls</t>
        </is>
      </c>
      <c r="M382" t="inlineStr">
        <is>
          <t>Birds</t>
        </is>
      </c>
      <c r="N382" t="inlineStr">
        <is>
          <t>Egg</t>
        </is>
      </c>
      <c r="O382"/>
      <c r="P382"/>
      <c r="Q382"/>
      <c r="R382"/>
      <c r="S382"/>
      <c r="T382"/>
      <c r="U382"/>
      <c r="V382" t="inlineStr">
        <is>
          <t>Air sac injection</t>
        </is>
      </c>
      <c r="W382" t="inlineStr">
        <is>
          <t>No substrate</t>
        </is>
      </c>
      <c r="X382" t="inlineStr">
        <is>
          <t>Lab</t>
        </is>
      </c>
      <c r="Y382" t="n">
        <v>2.0</v>
      </c>
      <c r="Z382" t="inlineStr">
        <is>
          <t>Active ingredient</t>
        </is>
      </c>
      <c r="AA382"/>
      <c r="AB382" t="n">
        <v>10.0</v>
      </c>
      <c r="AC382"/>
      <c r="AD382"/>
      <c r="AE382"/>
      <c r="AF382"/>
      <c r="AG382" t="inlineStr">
        <is>
          <t>ug/g egg</t>
        </is>
      </c>
      <c r="AH382"/>
      <c r="AI382"/>
      <c r="AJ382"/>
      <c r="AK382"/>
      <c r="AL382"/>
      <c r="AM382"/>
      <c r="AN382"/>
      <c r="AO382"/>
      <c r="AP382"/>
      <c r="AQ382"/>
      <c r="AR382"/>
      <c r="AS382"/>
      <c r="AT382"/>
      <c r="AU382"/>
      <c r="AV382"/>
      <c r="AW382"/>
      <c r="AX382" t="inlineStr">
        <is>
          <t>Accumulation</t>
        </is>
      </c>
      <c r="AY382" t="inlineStr">
        <is>
          <t>Residue</t>
        </is>
      </c>
      <c r="AZ382"/>
      <c r="BA382"/>
      <c r="BB382" t="n">
        <v>10.0</v>
      </c>
      <c r="BC382"/>
      <c r="BD382"/>
      <c r="BE382"/>
      <c r="BF382"/>
      <c r="BG382"/>
      <c r="BH382"/>
      <c r="BI382" t="inlineStr">
        <is>
          <t>ug/g egg</t>
        </is>
      </c>
      <c r="BJ382" t="inlineStr">
        <is>
          <t>Liver</t>
        </is>
      </c>
      <c r="BK382" t="inlineStr">
        <is>
          <t>~</t>
        </is>
      </c>
      <c r="BL382" t="n">
        <v>20.0</v>
      </c>
      <c r="BM382"/>
      <c r="BN382"/>
      <c r="BO382"/>
      <c r="BP382"/>
      <c r="BQ382" t="inlineStr">
        <is>
          <t>Day(s)</t>
        </is>
      </c>
      <c r="BR382" t="inlineStr">
        <is>
          <t>Norden,M., U. Berger, and M. Engwall</t>
        </is>
      </c>
      <c r="BS382" t="n">
        <v>177082.0</v>
      </c>
      <c r="BT382" t="inlineStr">
        <is>
          <t>Developmental Toxicity of PFOS and PFOA in Great Cormorant (Phalacrocorax carbo sinensis), Herring Gull (Larus argentatus) and Chicken (Gallus gallus domesticus)</t>
        </is>
      </c>
      <c r="BU382" t="inlineStr">
        <is>
          <t>Environ. Sci. Pollut. Res. Int.23(11): 10855-10862</t>
        </is>
      </c>
      <c r="BV382" t="n">
        <v>2016.0</v>
      </c>
      <c r="BW382"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83">
      <c r="A383" t="n">
        <v>2795393.0</v>
      </c>
      <c r="B383" t="inlineStr">
        <is>
          <t>1,1,2,2,3,3,4,4,5,5,6,6,7,7,8,8,8-Heptadecafluoro-1-octanesulfonic acid potassium salt</t>
        </is>
      </c>
      <c r="C383"/>
      <c r="D383" t="inlineStr">
        <is>
          <t>Chemical analysis reported</t>
        </is>
      </c>
      <c r="E383"/>
      <c r="F383" t="n">
        <v>86.9</v>
      </c>
      <c r="G383"/>
      <c r="H383"/>
      <c r="I383"/>
      <c r="J383"/>
      <c r="K383" t="inlineStr">
        <is>
          <t>Linum usitatissimum</t>
        </is>
      </c>
      <c r="L383" t="inlineStr">
        <is>
          <t>Flax</t>
        </is>
      </c>
      <c r="M383" t="inlineStr">
        <is>
          <t>Flowers, Trees, Shrubs, Ferns</t>
        </is>
      </c>
      <c r="N383" t="inlineStr">
        <is>
          <t>Seed</t>
        </is>
      </c>
      <c r="O383"/>
      <c r="P383"/>
      <c r="Q383"/>
      <c r="R383"/>
      <c r="S383"/>
      <c r="T383"/>
      <c r="U383"/>
      <c r="V383" t="inlineStr">
        <is>
          <t>Direct application</t>
        </is>
      </c>
      <c r="W383" t="inlineStr">
        <is>
          <t>Artificial soil</t>
        </is>
      </c>
      <c r="X383" t="inlineStr">
        <is>
          <t>Lab</t>
        </is>
      </c>
      <c r="Y383" t="n">
        <v>6.0</v>
      </c>
      <c r="Z383" t="inlineStr">
        <is>
          <t>Active ingredient</t>
        </is>
      </c>
      <c r="AA383"/>
      <c r="AB383"/>
      <c r="AC383"/>
      <c r="AD383" t="n">
        <v>3.91</v>
      </c>
      <c r="AE383"/>
      <c r="AF383" t="n">
        <v>1000.0</v>
      </c>
      <c r="AG383" t="inlineStr">
        <is>
          <t>AI mg/kg dry soil</t>
        </is>
      </c>
      <c r="AH383"/>
      <c r="AI383"/>
      <c r="AJ383"/>
      <c r="AK383"/>
      <c r="AL383"/>
      <c r="AM383"/>
      <c r="AN383"/>
      <c r="AO383"/>
      <c r="AP383"/>
      <c r="AQ383"/>
      <c r="AR383"/>
      <c r="AS383"/>
      <c r="AT383"/>
      <c r="AU383"/>
      <c r="AV383"/>
      <c r="AW383"/>
      <c r="AX383" t="inlineStr">
        <is>
          <t>Accumulation</t>
        </is>
      </c>
      <c r="AY383" t="inlineStr">
        <is>
          <t>Residue</t>
        </is>
      </c>
      <c r="AZ383"/>
      <c r="BA383"/>
      <c r="BB383"/>
      <c r="BC383"/>
      <c r="BD383" t="n">
        <v>3.91</v>
      </c>
      <c r="BE383"/>
      <c r="BF383" t="n">
        <v>1000.0</v>
      </c>
      <c r="BG383"/>
      <c r="BH383"/>
      <c r="BI383" t="inlineStr">
        <is>
          <t>AI mg/kg dry soil</t>
        </is>
      </c>
      <c r="BJ383" t="inlineStr">
        <is>
          <t>Multiple entries</t>
        </is>
      </c>
      <c r="BK383"/>
      <c r="BL383" t="n">
        <v>94.0</v>
      </c>
      <c r="BM383"/>
      <c r="BN383"/>
      <c r="BO383"/>
      <c r="BP383"/>
      <c r="BQ383" t="inlineStr">
        <is>
          <t>Day(s)</t>
        </is>
      </c>
      <c r="BR383" t="inlineStr">
        <is>
          <t>Brignole,A.J., J.R. Porch, H.O. Krueger, and R.L. Van Hoven</t>
        </is>
      </c>
      <c r="BS383" t="n">
        <v>175361.0</v>
      </c>
      <c r="BT383" t="inlineStr">
        <is>
          <t>PFOS: A Toxicity Test to Determine the Effects of the Test Substance on Seedling Emergence of Seven Species of Plants</t>
        </is>
      </c>
      <c r="BU383" t="inlineStr">
        <is>
          <t>EPA Docket AR226-1369, Wildlife International Ltd., Easton, MD:136 p.</t>
        </is>
      </c>
      <c r="BV383" t="n">
        <v>2003.0</v>
      </c>
      <c r="BW383" t="inlineStr">
        <is>
          <t>Brignole,A.J., J.R. Porch, H.O. Krueger, and R.L. Van Hoven (2003). PFOS: A Toxicity Test to Determine the Effects of the Test Substance on Seedling Emergence of Seven Species of Plants. EPA Docket AR226-1369, Wildlife International Ltd., Easton, MD, 136 p. ECOREF#:175361</t>
        </is>
      </c>
    </row>
    <row r="384">
      <c r="A384" t="n">
        <v>2795393.0</v>
      </c>
      <c r="B384" t="inlineStr">
        <is>
          <t>1,1,2,2,3,3,4,4,5,5,6,6,7,7,8,8,8-Heptadecafluoro-1-octanesulfonic acid potassium salt</t>
        </is>
      </c>
      <c r="C384"/>
      <c r="D384" t="inlineStr">
        <is>
          <t>Chemical analysis reported</t>
        </is>
      </c>
      <c r="E384"/>
      <c r="F384" t="n">
        <v>86.9</v>
      </c>
      <c r="G384"/>
      <c r="H384"/>
      <c r="I384"/>
      <c r="J384"/>
      <c r="K384" t="inlineStr">
        <is>
          <t>Lolium perenne</t>
        </is>
      </c>
      <c r="L384" t="inlineStr">
        <is>
          <t>Perennial Ryegrass</t>
        </is>
      </c>
      <c r="M384" t="inlineStr">
        <is>
          <t>Flowers, Trees, Shrubs, Ferns; Standard Test Species; U.S. Invasive Species</t>
        </is>
      </c>
      <c r="N384" t="inlineStr">
        <is>
          <t>Seed</t>
        </is>
      </c>
      <c r="O384"/>
      <c r="P384"/>
      <c r="Q384"/>
      <c r="R384"/>
      <c r="S384"/>
      <c r="T384"/>
      <c r="U384"/>
      <c r="V384" t="inlineStr">
        <is>
          <t>Direct application</t>
        </is>
      </c>
      <c r="W384" t="inlineStr">
        <is>
          <t>Artificial soil</t>
        </is>
      </c>
      <c r="X384" t="inlineStr">
        <is>
          <t>Lab</t>
        </is>
      </c>
      <c r="Y384" t="n">
        <v>6.0</v>
      </c>
      <c r="Z384" t="inlineStr">
        <is>
          <t>Active ingredient</t>
        </is>
      </c>
      <c r="AA384"/>
      <c r="AB384"/>
      <c r="AC384"/>
      <c r="AD384" t="n">
        <v>3.91</v>
      </c>
      <c r="AE384"/>
      <c r="AF384" t="n">
        <v>1000.0</v>
      </c>
      <c r="AG384" t="inlineStr">
        <is>
          <t>AI mg/kg dry soil</t>
        </is>
      </c>
      <c r="AH384"/>
      <c r="AI384"/>
      <c r="AJ384"/>
      <c r="AK384"/>
      <c r="AL384"/>
      <c r="AM384"/>
      <c r="AN384"/>
      <c r="AO384"/>
      <c r="AP384"/>
      <c r="AQ384"/>
      <c r="AR384"/>
      <c r="AS384"/>
      <c r="AT384"/>
      <c r="AU384"/>
      <c r="AV384"/>
      <c r="AW384"/>
      <c r="AX384" t="inlineStr">
        <is>
          <t>Accumulation</t>
        </is>
      </c>
      <c r="AY384" t="inlineStr">
        <is>
          <t>Residue</t>
        </is>
      </c>
      <c r="AZ384"/>
      <c r="BA384"/>
      <c r="BB384"/>
      <c r="BC384"/>
      <c r="BD384" t="n">
        <v>3.91</v>
      </c>
      <c r="BE384"/>
      <c r="BF384" t="n">
        <v>1000.0</v>
      </c>
      <c r="BG384"/>
      <c r="BH384"/>
      <c r="BI384" t="inlineStr">
        <is>
          <t>AI mg/kg dry soil</t>
        </is>
      </c>
      <c r="BJ384" t="inlineStr">
        <is>
          <t>Vegetative portion</t>
        </is>
      </c>
      <c r="BK384"/>
      <c r="BL384" t="n">
        <v>205.0</v>
      </c>
      <c r="BM384"/>
      <c r="BN384"/>
      <c r="BO384"/>
      <c r="BP384"/>
      <c r="BQ384" t="inlineStr">
        <is>
          <t>Day(s)</t>
        </is>
      </c>
      <c r="BR384" t="inlineStr">
        <is>
          <t>Brignole,A.J., J.R. Porch, H.O. Krueger, and R.L. Van Hoven</t>
        </is>
      </c>
      <c r="BS384" t="n">
        <v>175361.0</v>
      </c>
      <c r="BT384" t="inlineStr">
        <is>
          <t>PFOS: A Toxicity Test to Determine the Effects of the Test Substance on Seedling Emergence of Seven Species of Plants</t>
        </is>
      </c>
      <c r="BU384" t="inlineStr">
        <is>
          <t>EPA Docket AR226-1369, Wildlife International Ltd., Easton, MD:136 p.</t>
        </is>
      </c>
      <c r="BV384" t="n">
        <v>2003.0</v>
      </c>
      <c r="BW384" t="inlineStr">
        <is>
          <t>Brignole,A.J., J.R. Porch, H.O. Krueger, and R.L. Van Hoven (2003). PFOS: A Toxicity Test to Determine the Effects of the Test Substance on Seedling Emergence of Seven Species of Plants. EPA Docket AR226-1369, Wildlife International Ltd., Easton, MD, 136 p. ECOREF#:175361</t>
        </is>
      </c>
    </row>
    <row r="385">
      <c r="A385" t="n">
        <v>2795393.0</v>
      </c>
      <c r="B385" t="inlineStr">
        <is>
          <t>1,1,2,2,3,3,4,4,5,5,6,6,7,7,8,8,8-Heptadecafluoro-1-octanesulfonic acid potassium salt</t>
        </is>
      </c>
      <c r="C385"/>
      <c r="D385" t="inlineStr">
        <is>
          <t>Unmeasured</t>
        </is>
      </c>
      <c r="E385" t="inlineStr">
        <is>
          <t>&gt;</t>
        </is>
      </c>
      <c r="F385" t="n">
        <v>98.0</v>
      </c>
      <c r="G385"/>
      <c r="H385"/>
      <c r="I385"/>
      <c r="J385"/>
      <c r="K385" t="inlineStr">
        <is>
          <t>Lumbricus terrestris</t>
        </is>
      </c>
      <c r="L385" t="inlineStr">
        <is>
          <t>Earthworm</t>
        </is>
      </c>
      <c r="M385" t="inlineStr">
        <is>
          <t>Worms; U.S. Invasive Species</t>
        </is>
      </c>
      <c r="N385" t="inlineStr">
        <is>
          <t>Adult</t>
        </is>
      </c>
      <c r="O385"/>
      <c r="P385"/>
      <c r="Q385"/>
      <c r="R385"/>
      <c r="S385"/>
      <c r="T385"/>
      <c r="U385"/>
      <c r="V385" t="inlineStr">
        <is>
          <t>Environmental, unspecified</t>
        </is>
      </c>
      <c r="W385" t="inlineStr">
        <is>
          <t>Natural soil</t>
        </is>
      </c>
      <c r="X385" t="inlineStr">
        <is>
          <t>Lab</t>
        </is>
      </c>
      <c r="Y385" t="n">
        <v>3.0</v>
      </c>
      <c r="Z385" t="inlineStr">
        <is>
          <t>Active ingredient</t>
        </is>
      </c>
      <c r="AA385"/>
      <c r="AB385" t="n">
        <v>2.0</v>
      </c>
      <c r="AC385"/>
      <c r="AD385"/>
      <c r="AE385"/>
      <c r="AF385"/>
      <c r="AG385" t="inlineStr">
        <is>
          <t>ug/g dry soil</t>
        </is>
      </c>
      <c r="AH385"/>
      <c r="AI385"/>
      <c r="AJ385"/>
      <c r="AK385"/>
      <c r="AL385"/>
      <c r="AM385"/>
      <c r="AN385"/>
      <c r="AO385"/>
      <c r="AP385"/>
      <c r="AQ385"/>
      <c r="AR385"/>
      <c r="AS385"/>
      <c r="AT385"/>
      <c r="AU385"/>
      <c r="AV385"/>
      <c r="AW385"/>
      <c r="AX385" t="inlineStr">
        <is>
          <t>Accumulation</t>
        </is>
      </c>
      <c r="AY385" t="inlineStr">
        <is>
          <t>Residue</t>
        </is>
      </c>
      <c r="AZ385" t="inlineStr">
        <is>
          <t>BAF</t>
        </is>
      </c>
      <c r="BA385"/>
      <c r="BB385" t="n">
        <v>4.4</v>
      </c>
      <c r="BC385"/>
      <c r="BD385"/>
      <c r="BE385"/>
      <c r="BF385"/>
      <c r="BG385"/>
      <c r="BH385"/>
      <c r="BI385" t="inlineStr">
        <is>
          <t>g/g org</t>
        </is>
      </c>
      <c r="BJ385" t="inlineStr">
        <is>
          <t>Whole organism</t>
        </is>
      </c>
      <c r="BK385"/>
      <c r="BL385" t="n">
        <v>21.0</v>
      </c>
      <c r="BM385"/>
      <c r="BN385"/>
      <c r="BO385"/>
      <c r="BP385"/>
      <c r="BQ385" t="inlineStr">
        <is>
          <t>Day(s)</t>
        </is>
      </c>
      <c r="BR385" t="inlineStr">
        <is>
          <t>Jin,B., S. Mallula, S.A. Golovko, M.Y. Golovko, and F. Xiao</t>
        </is>
      </c>
      <c r="BS385" t="n">
        <v>184257.0</v>
      </c>
      <c r="BT385" t="inlineStr">
        <is>
          <t>In Vivo Generation of PFOA, PFOS, and Other Compounds from Cationic and Zwitterionic Per- and Polyfluoroalkyl Substances in a Terrestrial Invertebrate (Lumbricus terrestris)</t>
        </is>
      </c>
      <c r="BU385" t="inlineStr">
        <is>
          <t>Environ. Sci. Technol.12:7378-7378</t>
        </is>
      </c>
      <c r="BV385" t="n">
        <v>2020.0</v>
      </c>
      <c r="BW385"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row>
    <row r="386">
      <c r="A386" t="n">
        <v>2795393.0</v>
      </c>
      <c r="B386" t="inlineStr">
        <is>
          <t>1,1,2,2,3,3,4,4,5,5,6,6,7,7,8,8,8-Heptadecafluoro-1-octanesulfonic acid potassium salt</t>
        </is>
      </c>
      <c r="C386"/>
      <c r="D386" t="inlineStr">
        <is>
          <t>Unmeasured</t>
        </is>
      </c>
      <c r="E386" t="inlineStr">
        <is>
          <t>&gt;</t>
        </is>
      </c>
      <c r="F386" t="n">
        <v>98.0</v>
      </c>
      <c r="G386"/>
      <c r="H386"/>
      <c r="I386"/>
      <c r="J386"/>
      <c r="K386" t="inlineStr">
        <is>
          <t>Lumbricus terrestris</t>
        </is>
      </c>
      <c r="L386" t="inlineStr">
        <is>
          <t>Earthworm</t>
        </is>
      </c>
      <c r="M386" t="inlineStr">
        <is>
          <t>Worms; U.S. Invasive Species</t>
        </is>
      </c>
      <c r="N386" t="inlineStr">
        <is>
          <t>Adult</t>
        </is>
      </c>
      <c r="O386"/>
      <c r="P386"/>
      <c r="Q386"/>
      <c r="R386"/>
      <c r="S386"/>
      <c r="T386"/>
      <c r="U386"/>
      <c r="V386" t="inlineStr">
        <is>
          <t>Environmental, unspecified</t>
        </is>
      </c>
      <c r="W386" t="inlineStr">
        <is>
          <t>Natural soil</t>
        </is>
      </c>
      <c r="X386" t="inlineStr">
        <is>
          <t>Lab</t>
        </is>
      </c>
      <c r="Y386" t="n">
        <v>3.0</v>
      </c>
      <c r="Z386" t="inlineStr">
        <is>
          <t>Active ingredient</t>
        </is>
      </c>
      <c r="AA386"/>
      <c r="AB386" t="n">
        <v>0.05</v>
      </c>
      <c r="AC386"/>
      <c r="AD386"/>
      <c r="AE386"/>
      <c r="AF386"/>
      <c r="AG386" t="inlineStr">
        <is>
          <t>ug/g dry soil</t>
        </is>
      </c>
      <c r="AH386"/>
      <c r="AI386"/>
      <c r="AJ386"/>
      <c r="AK386"/>
      <c r="AL386"/>
      <c r="AM386"/>
      <c r="AN386"/>
      <c r="AO386"/>
      <c r="AP386"/>
      <c r="AQ386"/>
      <c r="AR386"/>
      <c r="AS386"/>
      <c r="AT386"/>
      <c r="AU386"/>
      <c r="AV386"/>
      <c r="AW386"/>
      <c r="AX386" t="inlineStr">
        <is>
          <t>Accumulation</t>
        </is>
      </c>
      <c r="AY386" t="inlineStr">
        <is>
          <t>Residue</t>
        </is>
      </c>
      <c r="AZ386" t="inlineStr">
        <is>
          <t>BAF</t>
        </is>
      </c>
      <c r="BA386"/>
      <c r="BB386" t="n">
        <v>3.0</v>
      </c>
      <c r="BC386"/>
      <c r="BD386"/>
      <c r="BE386"/>
      <c r="BF386"/>
      <c r="BG386"/>
      <c r="BH386"/>
      <c r="BI386" t="inlineStr">
        <is>
          <t>g/g org</t>
        </is>
      </c>
      <c r="BJ386" t="inlineStr">
        <is>
          <t>Whole organism</t>
        </is>
      </c>
      <c r="BK386"/>
      <c r="BL386" t="n">
        <v>21.0</v>
      </c>
      <c r="BM386"/>
      <c r="BN386"/>
      <c r="BO386"/>
      <c r="BP386"/>
      <c r="BQ386" t="inlineStr">
        <is>
          <t>Day(s)</t>
        </is>
      </c>
      <c r="BR386" t="inlineStr">
        <is>
          <t>Jin,B., S. Mallula, S.A. Golovko, M.Y. Golovko, and F. Xiao</t>
        </is>
      </c>
      <c r="BS386" t="n">
        <v>184257.0</v>
      </c>
      <c r="BT386" t="inlineStr">
        <is>
          <t>In Vivo Generation of PFOA, PFOS, and Other Compounds from Cationic and Zwitterionic Per- and Polyfluoroalkyl Substances in a Terrestrial Invertebrate (Lumbricus terrestris)</t>
        </is>
      </c>
      <c r="BU386" t="inlineStr">
        <is>
          <t>Environ. Sci. Technol.12:7378-7378</t>
        </is>
      </c>
      <c r="BV386" t="n">
        <v>2020.0</v>
      </c>
      <c r="BW386"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row>
    <row r="387">
      <c r="A387" t="n">
        <v>2795393.0</v>
      </c>
      <c r="B387" t="inlineStr">
        <is>
          <t>1,1,2,2,3,3,4,4,5,5,6,6,7,7,8,8,8-Heptadecafluoro-1-octanesulfonic acid potassium salt</t>
        </is>
      </c>
      <c r="C387"/>
      <c r="D387" t="inlineStr">
        <is>
          <t>Unmeasured</t>
        </is>
      </c>
      <c r="E387" t="inlineStr">
        <is>
          <t>&gt;</t>
        </is>
      </c>
      <c r="F387" t="n">
        <v>98.0</v>
      </c>
      <c r="G387"/>
      <c r="H387"/>
      <c r="I387"/>
      <c r="J387"/>
      <c r="K387" t="inlineStr">
        <is>
          <t>Lumbricus terrestris</t>
        </is>
      </c>
      <c r="L387" t="inlineStr">
        <is>
          <t>Earthworm</t>
        </is>
      </c>
      <c r="M387" t="inlineStr">
        <is>
          <t>Worms; U.S. Invasive Species</t>
        </is>
      </c>
      <c r="N387" t="inlineStr">
        <is>
          <t>Adult</t>
        </is>
      </c>
      <c r="O387"/>
      <c r="P387"/>
      <c r="Q387"/>
      <c r="R387"/>
      <c r="S387"/>
      <c r="T387"/>
      <c r="U387"/>
      <c r="V387" t="inlineStr">
        <is>
          <t>Environmental, unspecified</t>
        </is>
      </c>
      <c r="W387" t="inlineStr">
        <is>
          <t>Artificial soil</t>
        </is>
      </c>
      <c r="X387" t="inlineStr">
        <is>
          <t>Lab</t>
        </is>
      </c>
      <c r="Y387" t="n">
        <v>2.0</v>
      </c>
      <c r="Z387" t="inlineStr">
        <is>
          <t>Active ingredient</t>
        </is>
      </c>
      <c r="AA387"/>
      <c r="AB387" t="n">
        <v>0.2</v>
      </c>
      <c r="AC387"/>
      <c r="AD387"/>
      <c r="AE387"/>
      <c r="AF387"/>
      <c r="AG387" t="inlineStr">
        <is>
          <t>umol/L</t>
        </is>
      </c>
      <c r="AH387"/>
      <c r="AI387"/>
      <c r="AJ387"/>
      <c r="AK387"/>
      <c r="AL387"/>
      <c r="AM387"/>
      <c r="AN387"/>
      <c r="AO387"/>
      <c r="AP387"/>
      <c r="AQ387"/>
      <c r="AR387"/>
      <c r="AS387"/>
      <c r="AT387"/>
      <c r="AU387"/>
      <c r="AV387"/>
      <c r="AW387"/>
      <c r="AX387" t="inlineStr">
        <is>
          <t>Accumulation</t>
        </is>
      </c>
      <c r="AY387" t="inlineStr">
        <is>
          <t>Residue</t>
        </is>
      </c>
      <c r="AZ387" t="inlineStr">
        <is>
          <t>BCF</t>
        </is>
      </c>
      <c r="BA387"/>
      <c r="BB387"/>
      <c r="BC387" t="inlineStr">
        <is>
          <t>&gt;</t>
        </is>
      </c>
      <c r="BD387" t="n">
        <v>7.0</v>
      </c>
      <c r="BE387" t="inlineStr">
        <is>
          <t>&lt;</t>
        </is>
      </c>
      <c r="BF387" t="n">
        <v>8.0</v>
      </c>
      <c r="BG387"/>
      <c r="BH387"/>
      <c r="BI387" t="inlineStr">
        <is>
          <t>L/g</t>
        </is>
      </c>
      <c r="BJ387" t="inlineStr">
        <is>
          <t>Whole organism</t>
        </is>
      </c>
      <c r="BK387"/>
      <c r="BL387" t="n">
        <v>21.0</v>
      </c>
      <c r="BM387"/>
      <c r="BN387"/>
      <c r="BO387"/>
      <c r="BP387"/>
      <c r="BQ387" t="inlineStr">
        <is>
          <t>Day(s)</t>
        </is>
      </c>
      <c r="BR387" t="inlineStr">
        <is>
          <t>Jin,B., S. Mallula, S.A. Golovko, M.Y. Golovko, and F. Xiao</t>
        </is>
      </c>
      <c r="BS387" t="n">
        <v>184257.0</v>
      </c>
      <c r="BT387" t="inlineStr">
        <is>
          <t>In Vivo Generation of PFOA, PFOS, and Other Compounds from Cationic and Zwitterionic Per- and Polyfluoroalkyl Substances in a Terrestrial Invertebrate (Lumbricus terrestris)</t>
        </is>
      </c>
      <c r="BU387" t="inlineStr">
        <is>
          <t>Environ. Sci. Technol.12:7378-7378</t>
        </is>
      </c>
      <c r="BV387" t="n">
        <v>2020.0</v>
      </c>
      <c r="BW387"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row>
    <row r="388">
      <c r="A388" t="n">
        <v>2795393.0</v>
      </c>
      <c r="B388" t="inlineStr">
        <is>
          <t>1,1,2,2,3,3,4,4,5,5,6,6,7,7,8,8,8-Heptadecafluoro-1-octanesulfonic acid potassium salt</t>
        </is>
      </c>
      <c r="C388"/>
      <c r="D388" t="inlineStr">
        <is>
          <t>Chemical analysis reported</t>
        </is>
      </c>
      <c r="E388"/>
      <c r="F388" t="n">
        <v>86.9</v>
      </c>
      <c r="G388"/>
      <c r="H388"/>
      <c r="I388"/>
      <c r="J388"/>
      <c r="K388" t="inlineStr">
        <is>
          <t>Medicago sativa</t>
        </is>
      </c>
      <c r="L388" t="inlineStr">
        <is>
          <t>Alfalfa</t>
        </is>
      </c>
      <c r="M388" t="inlineStr">
        <is>
          <t>Flowers, Trees, Shrubs, Ferns</t>
        </is>
      </c>
      <c r="N388" t="inlineStr">
        <is>
          <t>Seed</t>
        </is>
      </c>
      <c r="O388"/>
      <c r="P388"/>
      <c r="Q388"/>
      <c r="R388"/>
      <c r="S388"/>
      <c r="T388"/>
      <c r="U388"/>
      <c r="V388" t="inlineStr">
        <is>
          <t>Direct application</t>
        </is>
      </c>
      <c r="W388" t="inlineStr">
        <is>
          <t>Artificial soil</t>
        </is>
      </c>
      <c r="X388" t="inlineStr">
        <is>
          <t>Lab</t>
        </is>
      </c>
      <c r="Y388" t="n">
        <v>6.0</v>
      </c>
      <c r="Z388" t="inlineStr">
        <is>
          <t>Active ingredient</t>
        </is>
      </c>
      <c r="AA388"/>
      <c r="AB388"/>
      <c r="AC388"/>
      <c r="AD388" t="n">
        <v>3.91</v>
      </c>
      <c r="AE388"/>
      <c r="AF388" t="n">
        <v>1000.0</v>
      </c>
      <c r="AG388" t="inlineStr">
        <is>
          <t>AI mg/kg dry soil</t>
        </is>
      </c>
      <c r="AH388"/>
      <c r="AI388"/>
      <c r="AJ388"/>
      <c r="AK388"/>
      <c r="AL388"/>
      <c r="AM388"/>
      <c r="AN388"/>
      <c r="AO388"/>
      <c r="AP388"/>
      <c r="AQ388"/>
      <c r="AR388"/>
      <c r="AS388"/>
      <c r="AT388"/>
      <c r="AU388"/>
      <c r="AV388"/>
      <c r="AW388"/>
      <c r="AX388" t="inlineStr">
        <is>
          <t>Accumulation</t>
        </is>
      </c>
      <c r="AY388" t="inlineStr">
        <is>
          <t>Residue</t>
        </is>
      </c>
      <c r="AZ388"/>
      <c r="BA388"/>
      <c r="BB388"/>
      <c r="BC388"/>
      <c r="BD388" t="n">
        <v>3.91</v>
      </c>
      <c r="BE388"/>
      <c r="BF388" t="n">
        <v>1000.0</v>
      </c>
      <c r="BG388"/>
      <c r="BH388"/>
      <c r="BI388" t="inlineStr">
        <is>
          <t>AI mg/kg dry soil</t>
        </is>
      </c>
      <c r="BJ388" t="inlineStr">
        <is>
          <t>Multiple entries</t>
        </is>
      </c>
      <c r="BK388"/>
      <c r="BL388" t="n">
        <v>141.0</v>
      </c>
      <c r="BM388"/>
      <c r="BN388"/>
      <c r="BO388"/>
      <c r="BP388"/>
      <c r="BQ388" t="inlineStr">
        <is>
          <t>Day(s)</t>
        </is>
      </c>
      <c r="BR388" t="inlineStr">
        <is>
          <t>Brignole,A.J., J.R. Porch, H.O. Krueger, and R.L. Van Hoven</t>
        </is>
      </c>
      <c r="BS388" t="n">
        <v>175361.0</v>
      </c>
      <c r="BT388" t="inlineStr">
        <is>
          <t>PFOS: A Toxicity Test to Determine the Effects of the Test Substance on Seedling Emergence of Seven Species of Plants</t>
        </is>
      </c>
      <c r="BU388" t="inlineStr">
        <is>
          <t>EPA Docket AR226-1369, Wildlife International Ltd., Easton, MD:136 p.</t>
        </is>
      </c>
      <c r="BV388" t="n">
        <v>2003.0</v>
      </c>
      <c r="BW388" t="inlineStr">
        <is>
          <t>Brignole,A.J., J.R. Porch, H.O. Krueger, and R.L. Van Hoven (2003). PFOS: A Toxicity Test to Determine the Effects of the Test Substance on Seedling Emergence of Seven Species of Plants. EPA Docket AR226-1369, Wildlife International Ltd., Easton, MD, 136 p. ECOREF#:175361</t>
        </is>
      </c>
    </row>
    <row r="389">
      <c r="A389" t="n">
        <v>2795393.0</v>
      </c>
      <c r="B389" t="inlineStr">
        <is>
          <t>1,1,2,2,3,3,4,4,5,5,6,6,7,7,8,8,8-Heptadecafluoro-1-octanesulfonic acid potassium salt</t>
        </is>
      </c>
      <c r="C389"/>
      <c r="D389" t="inlineStr">
        <is>
          <t>Unmeasured</t>
        </is>
      </c>
      <c r="E389" t="inlineStr">
        <is>
          <t>&gt;</t>
        </is>
      </c>
      <c r="F389" t="n">
        <v>98.0</v>
      </c>
      <c r="G389"/>
      <c r="H389"/>
      <c r="I389"/>
      <c r="J389"/>
      <c r="K389" t="inlineStr">
        <is>
          <t>Nicotiana tabacum</t>
        </is>
      </c>
      <c r="L389" t="inlineStr">
        <is>
          <t>Tobacco</t>
        </is>
      </c>
      <c r="M389" t="inlineStr">
        <is>
          <t>Flowers, Trees, Shrubs, Ferns</t>
        </is>
      </c>
      <c r="N389" t="inlineStr">
        <is>
          <t>Seedling</t>
        </is>
      </c>
      <c r="O389"/>
      <c r="P389" t="n">
        <v>40.0</v>
      </c>
      <c r="Q389"/>
      <c r="R389"/>
      <c r="S389"/>
      <c r="T389"/>
      <c r="U389" t="inlineStr">
        <is>
          <t>Day(s)</t>
        </is>
      </c>
      <c r="V389" t="inlineStr">
        <is>
          <t>Environmental, unspecified</t>
        </is>
      </c>
      <c r="W389" t="inlineStr">
        <is>
          <t>Media mixture (with comment)</t>
        </is>
      </c>
      <c r="X389" t="inlineStr">
        <is>
          <t>Lab</t>
        </is>
      </c>
      <c r="Y389" t="n">
        <v>5.0</v>
      </c>
      <c r="Z389" t="inlineStr">
        <is>
          <t>Active ingredient</t>
        </is>
      </c>
      <c r="AA389"/>
      <c r="AB389"/>
      <c r="AC389"/>
      <c r="AD389" t="n">
        <v>0.2</v>
      </c>
      <c r="AE389"/>
      <c r="AF389" t="n">
        <v>10.0</v>
      </c>
      <c r="AG389" t="inlineStr">
        <is>
          <t>mg/kg soil</t>
        </is>
      </c>
      <c r="AH389"/>
      <c r="AI389"/>
      <c r="AJ389"/>
      <c r="AK389"/>
      <c r="AL389"/>
      <c r="AM389"/>
      <c r="AN389"/>
      <c r="AO389"/>
      <c r="AP389"/>
      <c r="AQ389"/>
      <c r="AR389"/>
      <c r="AS389"/>
      <c r="AT389"/>
      <c r="AU389"/>
      <c r="AV389"/>
      <c r="AW389"/>
      <c r="AX389" t="inlineStr">
        <is>
          <t>Accumulation</t>
        </is>
      </c>
      <c r="AY389" t="inlineStr">
        <is>
          <t>Residue</t>
        </is>
      </c>
      <c r="AZ389"/>
      <c r="BA389"/>
      <c r="BB389"/>
      <c r="BC389"/>
      <c r="BD389" t="n">
        <v>0.2</v>
      </c>
      <c r="BE389"/>
      <c r="BF389" t="n">
        <v>10.0</v>
      </c>
      <c r="BG389"/>
      <c r="BH389"/>
      <c r="BI389" t="inlineStr">
        <is>
          <t>mg/kg soil</t>
        </is>
      </c>
      <c r="BJ389" t="inlineStr">
        <is>
          <t>Multiple entries</t>
        </is>
      </c>
      <c r="BK389"/>
      <c r="BL389" t="n">
        <v>30.0</v>
      </c>
      <c r="BM389"/>
      <c r="BN389"/>
      <c r="BO389"/>
      <c r="BP389"/>
      <c r="BQ389" t="inlineStr">
        <is>
          <t>Day(s)</t>
        </is>
      </c>
      <c r="BR389" t="inlineStr">
        <is>
          <t>Li,S., L. Wang, J. Li, Y. Gao, S. Wen, J. Yao, L. Zhu, J. Wang, E. Guan, and Y.M. Kim</t>
        </is>
      </c>
      <c r="BS389" t="n">
        <v>195042.0</v>
      </c>
      <c r="BT389" t="inlineStr">
        <is>
          <t>Migration Characteristics and Toxic Effects of Perfluorooctane Sulfonate and Perfluorobutane Sulfonate in Tobacco</t>
        </is>
      </c>
      <c r="BU389" t="inlineStr">
        <is>
          <t>Sci. Total Environ.961:14 p.</t>
        </is>
      </c>
      <c r="BV389" t="n">
        <v>2025.0</v>
      </c>
      <c r="BW389" t="inlineStr">
        <is>
          <t>Li,S., L. Wang, J. Li, Y. Gao, S. Wen, J. Yao, L. Zhu, J. Wang, E. Guan, and Y.M. Kim (2025). Migration Characteristics and Toxic Effects of Perfluorooctane Sulfonate and Perfluorobutane Sulfonate in Tobacco. Sci. Total Environ., 961, 14 p. ECOREF#:195042</t>
        </is>
      </c>
    </row>
    <row r="390">
      <c r="A390" t="n">
        <v>2795393.0</v>
      </c>
      <c r="B390" t="inlineStr">
        <is>
          <t>1,1,2,2,3,3,4,4,5,5,6,6,7,7,8,8,8-Heptadecafluoro-1-octanesulfonic acid potassium salt</t>
        </is>
      </c>
      <c r="C390"/>
      <c r="D390" t="inlineStr">
        <is>
          <t>Chemical analysis reported</t>
        </is>
      </c>
      <c r="E390" t="inlineStr">
        <is>
          <t>&gt;=</t>
        </is>
      </c>
      <c r="F390" t="n">
        <v>98.0</v>
      </c>
      <c r="G390"/>
      <c r="H390"/>
      <c r="I390"/>
      <c r="J390"/>
      <c r="K390" t="inlineStr">
        <is>
          <t>Peromyscus leucopus</t>
        </is>
      </c>
      <c r="L390" t="inlineStr">
        <is>
          <t>White-Footed Mouse</t>
        </is>
      </c>
      <c r="M390" t="inlineStr">
        <is>
          <t>Mammals</t>
        </is>
      </c>
      <c r="N390" t="inlineStr">
        <is>
          <t>Adult</t>
        </is>
      </c>
      <c r="O390"/>
      <c r="P390"/>
      <c r="Q390"/>
      <c r="R390"/>
      <c r="S390"/>
      <c r="T390"/>
      <c r="U390"/>
      <c r="V390" t="inlineStr">
        <is>
          <t>Gavage</t>
        </is>
      </c>
      <c r="W390" t="inlineStr">
        <is>
          <t>No substrate</t>
        </is>
      </c>
      <c r="X390" t="inlineStr">
        <is>
          <t>Lab</t>
        </is>
      </c>
      <c r="Y390" t="n">
        <v>4.0</v>
      </c>
      <c r="Z390" t="inlineStr">
        <is>
          <t>Active ingredient</t>
        </is>
      </c>
      <c r="AA390"/>
      <c r="AB390" t="n">
        <v>2.5</v>
      </c>
      <c r="AC390"/>
      <c r="AD390"/>
      <c r="AE390"/>
      <c r="AF390"/>
      <c r="AG390" t="inlineStr">
        <is>
          <t>mg/kg bdwt/d</t>
        </is>
      </c>
      <c r="AH390"/>
      <c r="AI390"/>
      <c r="AJ390"/>
      <c r="AK390"/>
      <c r="AL390"/>
      <c r="AM390"/>
      <c r="AN390"/>
      <c r="AO390"/>
      <c r="AP390"/>
      <c r="AQ390"/>
      <c r="AR390"/>
      <c r="AS390"/>
      <c r="AT390"/>
      <c r="AU390"/>
      <c r="AV390"/>
      <c r="AW390"/>
      <c r="AX390" t="inlineStr">
        <is>
          <t>Accumulation</t>
        </is>
      </c>
      <c r="AY390" t="inlineStr">
        <is>
          <t>Residue</t>
        </is>
      </c>
      <c r="AZ390"/>
      <c r="BA390"/>
      <c r="BB390" t="n">
        <v>2.5</v>
      </c>
      <c r="BC390"/>
      <c r="BD390"/>
      <c r="BE390"/>
      <c r="BF390"/>
      <c r="BG390"/>
      <c r="BH390"/>
      <c r="BI390" t="inlineStr">
        <is>
          <t>mg/kg bdwt/d</t>
        </is>
      </c>
      <c r="BJ390" t="inlineStr">
        <is>
          <t>Serum</t>
        </is>
      </c>
      <c r="BK390"/>
      <c r="BL390"/>
      <c r="BM390"/>
      <c r="BN390" t="n">
        <v>14.0</v>
      </c>
      <c r="BO390"/>
      <c r="BP390" t="n">
        <v>28.0</v>
      </c>
      <c r="BQ390" t="inlineStr">
        <is>
          <t>Day(s)</t>
        </is>
      </c>
      <c r="BR390" t="inlineStr">
        <is>
          <t>Narizzano,A.M., M.E. Bohannon, A.G. East, C. McDonough, S. Choyke, C.P. Higgins, and M.J.,Jr. Quinn</t>
        </is>
      </c>
      <c r="BS390" t="n">
        <v>187172.0</v>
      </c>
      <c r="BT390" t="inlineStr">
        <is>
          <t>Patterns in Serum Toxicokinetics in Peromyscus Exposed to PFAS</t>
        </is>
      </c>
      <c r="BU390" t="inlineStr">
        <is>
          <t>Environ. Toxicol. Chem.40(10): 2886-2898</t>
        </is>
      </c>
      <c r="BV390" t="n">
        <v>2021.0</v>
      </c>
      <c r="BW390" t="inlineStr">
        <is>
          <t>Narizzano,A.M., M.E. Bohannon, A.G. East, C. McDonough, S. Choyke, C.P. Higgins, and M.J.,Jr. Quinn (2021). Patterns in Serum Toxicokinetics in Peromyscus Exposed to PFAS. Environ. Toxicol. Chem., 40, (10), 2886-2898. doi:10.1002/etc.5151. ECOREF#:187172</t>
        </is>
      </c>
    </row>
    <row r="391">
      <c r="A391" t="n">
        <v>2795393.0</v>
      </c>
      <c r="B391" t="inlineStr">
        <is>
          <t>1,1,2,2,3,3,4,4,5,5,6,6,7,7,8,8,8-Heptadecafluoro-1-octanesulfonic acid potassium salt</t>
        </is>
      </c>
      <c r="C391"/>
      <c r="D391" t="inlineStr">
        <is>
          <t>Unmeasured</t>
        </is>
      </c>
      <c r="E391"/>
      <c r="F391" t="n">
        <v>98.0</v>
      </c>
      <c r="G391"/>
      <c r="H391"/>
      <c r="I391"/>
      <c r="J391"/>
      <c r="K391" t="inlineStr">
        <is>
          <t>Phalacrocorax carbo ssp. sinensis</t>
        </is>
      </c>
      <c r="L391" t="inlineStr">
        <is>
          <t>Great Cormorant</t>
        </is>
      </c>
      <c r="M391" t="inlineStr">
        <is>
          <t>Birds</t>
        </is>
      </c>
      <c r="N391" t="inlineStr">
        <is>
          <t>Egg</t>
        </is>
      </c>
      <c r="O391"/>
      <c r="P391"/>
      <c r="Q391"/>
      <c r="R391"/>
      <c r="S391"/>
      <c r="T391"/>
      <c r="U391"/>
      <c r="V391" t="inlineStr">
        <is>
          <t>Air sac injection</t>
        </is>
      </c>
      <c r="W391" t="inlineStr">
        <is>
          <t>No substrate</t>
        </is>
      </c>
      <c r="X391" t="inlineStr">
        <is>
          <t>Lab</t>
        </is>
      </c>
      <c r="Y391" t="n">
        <v>2.0</v>
      </c>
      <c r="Z391" t="inlineStr">
        <is>
          <t>Active ingredient</t>
        </is>
      </c>
      <c r="AA391"/>
      <c r="AB391" t="n">
        <v>10.0</v>
      </c>
      <c r="AC391"/>
      <c r="AD391"/>
      <c r="AE391"/>
      <c r="AF391"/>
      <c r="AG391" t="inlineStr">
        <is>
          <t>ug/g egg</t>
        </is>
      </c>
      <c r="AH391"/>
      <c r="AI391"/>
      <c r="AJ391"/>
      <c r="AK391"/>
      <c r="AL391"/>
      <c r="AM391"/>
      <c r="AN391"/>
      <c r="AO391"/>
      <c r="AP391"/>
      <c r="AQ391"/>
      <c r="AR391"/>
      <c r="AS391"/>
      <c r="AT391"/>
      <c r="AU391"/>
      <c r="AV391"/>
      <c r="AW391"/>
      <c r="AX391" t="inlineStr">
        <is>
          <t>Accumulation</t>
        </is>
      </c>
      <c r="AY391" t="inlineStr">
        <is>
          <t>Residue</t>
        </is>
      </c>
      <c r="AZ391" t="inlineStr">
        <is>
          <t>BCF</t>
        </is>
      </c>
      <c r="BA391"/>
      <c r="BB391" t="n">
        <v>1.24</v>
      </c>
      <c r="BC391"/>
      <c r="BD391"/>
      <c r="BE391"/>
      <c r="BF391"/>
      <c r="BG391"/>
      <c r="BH391"/>
      <c r="BI391" t="inlineStr">
        <is>
          <t>RA</t>
        </is>
      </c>
      <c r="BJ391" t="inlineStr">
        <is>
          <t>Liver</t>
        </is>
      </c>
      <c r="BK391" t="inlineStr">
        <is>
          <t>~</t>
        </is>
      </c>
      <c r="BL391" t="n">
        <v>20.0</v>
      </c>
      <c r="BM391"/>
      <c r="BN391"/>
      <c r="BO391"/>
      <c r="BP391"/>
      <c r="BQ391" t="inlineStr">
        <is>
          <t>Day(s)</t>
        </is>
      </c>
      <c r="BR391" t="inlineStr">
        <is>
          <t>Norden,M., U. Berger, and M. Engwall</t>
        </is>
      </c>
      <c r="BS391" t="n">
        <v>177082.0</v>
      </c>
      <c r="BT391" t="inlineStr">
        <is>
          <t>Developmental Toxicity of PFOS and PFOA in Great Cormorant (Phalacrocorax carbo sinensis), Herring Gull (Larus argentatus) and Chicken (Gallus gallus domesticus)</t>
        </is>
      </c>
      <c r="BU391" t="inlineStr">
        <is>
          <t>Environ. Sci. Pollut. Res. Int.23(11): 10855-10862</t>
        </is>
      </c>
      <c r="BV391" t="n">
        <v>2016.0</v>
      </c>
      <c r="BW391"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92">
      <c r="A392" t="n">
        <v>2795393.0</v>
      </c>
      <c r="B392" t="inlineStr">
        <is>
          <t>1,1,2,2,3,3,4,4,5,5,6,6,7,7,8,8,8-Heptadecafluoro-1-octanesulfonic acid potassium salt</t>
        </is>
      </c>
      <c r="C392"/>
      <c r="D392" t="inlineStr">
        <is>
          <t>Unmeasured</t>
        </is>
      </c>
      <c r="E392"/>
      <c r="F392" t="n">
        <v>98.0</v>
      </c>
      <c r="G392"/>
      <c r="H392"/>
      <c r="I392"/>
      <c r="J392"/>
      <c r="K392" t="inlineStr">
        <is>
          <t>Phalacrocorax carbo ssp. sinensis</t>
        </is>
      </c>
      <c r="L392" t="inlineStr">
        <is>
          <t>Great Cormorant</t>
        </is>
      </c>
      <c r="M392" t="inlineStr">
        <is>
          <t>Birds</t>
        </is>
      </c>
      <c r="N392" t="inlineStr">
        <is>
          <t>Egg</t>
        </is>
      </c>
      <c r="O392"/>
      <c r="P392"/>
      <c r="Q392"/>
      <c r="R392"/>
      <c r="S392"/>
      <c r="T392"/>
      <c r="U392"/>
      <c r="V392" t="inlineStr">
        <is>
          <t>Air sac injection</t>
        </is>
      </c>
      <c r="W392" t="inlineStr">
        <is>
          <t>No substrate</t>
        </is>
      </c>
      <c r="X392" t="inlineStr">
        <is>
          <t>Lab</t>
        </is>
      </c>
      <c r="Y392" t="n">
        <v>2.0</v>
      </c>
      <c r="Z392" t="inlineStr">
        <is>
          <t>Active ingredient</t>
        </is>
      </c>
      <c r="AA392"/>
      <c r="AB392" t="n">
        <v>10.0</v>
      </c>
      <c r="AC392"/>
      <c r="AD392"/>
      <c r="AE392"/>
      <c r="AF392"/>
      <c r="AG392" t="inlineStr">
        <is>
          <t>ug/g egg</t>
        </is>
      </c>
      <c r="AH392"/>
      <c r="AI392"/>
      <c r="AJ392"/>
      <c r="AK392"/>
      <c r="AL392"/>
      <c r="AM392"/>
      <c r="AN392"/>
      <c r="AO392"/>
      <c r="AP392"/>
      <c r="AQ392"/>
      <c r="AR392"/>
      <c r="AS392"/>
      <c r="AT392"/>
      <c r="AU392"/>
      <c r="AV392"/>
      <c r="AW392"/>
      <c r="AX392" t="inlineStr">
        <is>
          <t>Accumulation</t>
        </is>
      </c>
      <c r="AY392" t="inlineStr">
        <is>
          <t>Residue</t>
        </is>
      </c>
      <c r="AZ392"/>
      <c r="BA392"/>
      <c r="BB392" t="n">
        <v>10.0</v>
      </c>
      <c r="BC392"/>
      <c r="BD392"/>
      <c r="BE392"/>
      <c r="BF392"/>
      <c r="BG392"/>
      <c r="BH392"/>
      <c r="BI392" t="inlineStr">
        <is>
          <t>ug/g egg</t>
        </is>
      </c>
      <c r="BJ392" t="inlineStr">
        <is>
          <t>Liver</t>
        </is>
      </c>
      <c r="BK392" t="inlineStr">
        <is>
          <t>~</t>
        </is>
      </c>
      <c r="BL392" t="n">
        <v>20.0</v>
      </c>
      <c r="BM392"/>
      <c r="BN392"/>
      <c r="BO392"/>
      <c r="BP392"/>
      <c r="BQ392" t="inlineStr">
        <is>
          <t>Day(s)</t>
        </is>
      </c>
      <c r="BR392" t="inlineStr">
        <is>
          <t>Norden,M., U. Berger, and M. Engwall</t>
        </is>
      </c>
      <c r="BS392" t="n">
        <v>177082.0</v>
      </c>
      <c r="BT392" t="inlineStr">
        <is>
          <t>Developmental Toxicity of PFOS and PFOA in Great Cormorant (Phalacrocorax carbo sinensis), Herring Gull (Larus argentatus) and Chicken (Gallus gallus domesticus)</t>
        </is>
      </c>
      <c r="BU392" t="inlineStr">
        <is>
          <t>Environ. Sci. Pollut. Res. Int.23(11): 10855-10862</t>
        </is>
      </c>
      <c r="BV392" t="n">
        <v>2016.0</v>
      </c>
      <c r="BW392"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93">
      <c r="A393" t="n">
        <v>2795393.0</v>
      </c>
      <c r="B393" t="inlineStr">
        <is>
          <t>1,1,2,2,3,3,4,4,5,5,6,6,7,7,8,8,8-Heptadecafluoro-1-octanesulfonic acid potassium salt</t>
        </is>
      </c>
      <c r="C393"/>
      <c r="D393" t="inlineStr">
        <is>
          <t>Chemical analysis reported</t>
        </is>
      </c>
      <c r="E393" t="inlineStr">
        <is>
          <t>&gt;=</t>
        </is>
      </c>
      <c r="F393" t="n">
        <v>98.0</v>
      </c>
      <c r="G393"/>
      <c r="H393"/>
      <c r="I393"/>
      <c r="J393"/>
      <c r="K393" t="inlineStr">
        <is>
          <t>Phragmites australis</t>
        </is>
      </c>
      <c r="L393" t="inlineStr">
        <is>
          <t>Grass</t>
        </is>
      </c>
      <c r="M393" t="inlineStr">
        <is>
          <t>Flowers, Trees, Shrubs, Ferns; U.S. Invasive Species</t>
        </is>
      </c>
      <c r="N393"/>
      <c r="O393"/>
      <c r="P393"/>
      <c r="Q393"/>
      <c r="R393"/>
      <c r="S393"/>
      <c r="T393"/>
      <c r="U393"/>
      <c r="V393" t="inlineStr">
        <is>
          <t>Hydroponic</t>
        </is>
      </c>
      <c r="W393" t="inlineStr">
        <is>
          <t>Hydroponic</t>
        </is>
      </c>
      <c r="X393" t="inlineStr">
        <is>
          <t>Lab</t>
        </is>
      </c>
      <c r="Y393" t="n">
        <v>3.0</v>
      </c>
      <c r="Z393" t="inlineStr">
        <is>
          <t>Active ingredient</t>
        </is>
      </c>
      <c r="AA393"/>
      <c r="AB393" t="n">
        <v>30.0</v>
      </c>
      <c r="AC393"/>
      <c r="AD393"/>
      <c r="AE393"/>
      <c r="AF393"/>
      <c r="AG393" t="inlineStr">
        <is>
          <t>ug/L</t>
        </is>
      </c>
      <c r="AH393"/>
      <c r="AI393"/>
      <c r="AJ393"/>
      <c r="AK393"/>
      <c r="AL393"/>
      <c r="AM393"/>
      <c r="AN393"/>
      <c r="AO393"/>
      <c r="AP393"/>
      <c r="AQ393"/>
      <c r="AR393"/>
      <c r="AS393"/>
      <c r="AT393"/>
      <c r="AU393"/>
      <c r="AV393"/>
      <c r="AW393"/>
      <c r="AX393" t="inlineStr">
        <is>
          <t>Accumulation</t>
        </is>
      </c>
      <c r="AY393" t="inlineStr">
        <is>
          <t>Residue</t>
        </is>
      </c>
      <c r="AZ393" t="inlineStr">
        <is>
          <t>BAF</t>
        </is>
      </c>
      <c r="BA393"/>
      <c r="BB393" t="n">
        <v>10.68</v>
      </c>
      <c r="BC393"/>
      <c r="BD393"/>
      <c r="BE393"/>
      <c r="BF393"/>
      <c r="BG393"/>
      <c r="BH393"/>
      <c r="BI393" t="inlineStr">
        <is>
          <t>L/kg</t>
        </is>
      </c>
      <c r="BJ393" t="inlineStr">
        <is>
          <t>Whole organism</t>
        </is>
      </c>
      <c r="BK393"/>
      <c r="BL393" t="n">
        <v>28.0</v>
      </c>
      <c r="BM393"/>
      <c r="BN393"/>
      <c r="BO393"/>
      <c r="BP393"/>
      <c r="BQ393" t="inlineStr">
        <is>
          <t>Day(s)</t>
        </is>
      </c>
      <c r="BR393" t="inlineStr">
        <is>
          <t>Awad,J., G. Brunetti, A. Juhasz, M. Williams, D. Navarro, B. Drigo, J. Bougoure, J. Vanderzalm, and S. Beecham</t>
        </is>
      </c>
      <c r="BS393" t="n">
        <v>191324.0</v>
      </c>
      <c r="BT393" t="inlineStr">
        <is>
          <t>Application of Native Plants in Constructed Floating Wetlands as a Passive Remediation Approach for PFAS-Impacted Surface Water</t>
        </is>
      </c>
      <c r="BU393" t="inlineStr">
        <is>
          <t>J. Hazard. Mater.429:11 p.</t>
        </is>
      </c>
      <c r="BV393" t="n">
        <v>2022.0</v>
      </c>
      <c r="BW39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94">
      <c r="A394" t="n">
        <v>2795393.0</v>
      </c>
      <c r="B394" t="inlineStr">
        <is>
          <t>1,1,2,2,3,3,4,4,5,5,6,6,7,7,8,8,8-Heptadecafluoro-1-octanesulfonic acid potassium salt</t>
        </is>
      </c>
      <c r="C394"/>
      <c r="D394" t="inlineStr">
        <is>
          <t>Chemical analysis reported</t>
        </is>
      </c>
      <c r="E394" t="inlineStr">
        <is>
          <t>&gt;=</t>
        </is>
      </c>
      <c r="F394" t="n">
        <v>98.0</v>
      </c>
      <c r="G394"/>
      <c r="H394"/>
      <c r="I394"/>
      <c r="J394"/>
      <c r="K394" t="inlineStr">
        <is>
          <t>Phragmites australis</t>
        </is>
      </c>
      <c r="L394" t="inlineStr">
        <is>
          <t>Grass</t>
        </is>
      </c>
      <c r="M394" t="inlineStr">
        <is>
          <t>Flowers, Trees, Shrubs, Ferns; U.S. Invasive Species</t>
        </is>
      </c>
      <c r="N394"/>
      <c r="O394"/>
      <c r="P394"/>
      <c r="Q394"/>
      <c r="R394"/>
      <c r="S394"/>
      <c r="T394"/>
      <c r="U394"/>
      <c r="V394" t="inlineStr">
        <is>
          <t>Hydroponic</t>
        </is>
      </c>
      <c r="W394" t="inlineStr">
        <is>
          <t>Hydroponic</t>
        </is>
      </c>
      <c r="X394" t="inlineStr">
        <is>
          <t>Lab</t>
        </is>
      </c>
      <c r="Y394" t="n">
        <v>3.0</v>
      </c>
      <c r="Z394" t="inlineStr">
        <is>
          <t>Active ingredient</t>
        </is>
      </c>
      <c r="AA394"/>
      <c r="AB394" t="n">
        <v>10.0</v>
      </c>
      <c r="AC394"/>
      <c r="AD394"/>
      <c r="AE394"/>
      <c r="AF394"/>
      <c r="AG394" t="inlineStr">
        <is>
          <t>ug/L</t>
        </is>
      </c>
      <c r="AH394"/>
      <c r="AI394"/>
      <c r="AJ394"/>
      <c r="AK394"/>
      <c r="AL394"/>
      <c r="AM394"/>
      <c r="AN394"/>
      <c r="AO394"/>
      <c r="AP394"/>
      <c r="AQ394"/>
      <c r="AR394"/>
      <c r="AS394"/>
      <c r="AT394"/>
      <c r="AU394"/>
      <c r="AV394"/>
      <c r="AW394"/>
      <c r="AX394" t="inlineStr">
        <is>
          <t>Accumulation</t>
        </is>
      </c>
      <c r="AY394" t="inlineStr">
        <is>
          <t>Residue</t>
        </is>
      </c>
      <c r="AZ394" t="inlineStr">
        <is>
          <t>BAF</t>
        </is>
      </c>
      <c r="BA394"/>
      <c r="BB394" t="n">
        <v>18.2</v>
      </c>
      <c r="BC394"/>
      <c r="BD394"/>
      <c r="BE394"/>
      <c r="BF394"/>
      <c r="BG394"/>
      <c r="BH394"/>
      <c r="BI394" t="inlineStr">
        <is>
          <t>L/kg</t>
        </is>
      </c>
      <c r="BJ394" t="inlineStr">
        <is>
          <t>Whole organism</t>
        </is>
      </c>
      <c r="BK394"/>
      <c r="BL394" t="n">
        <v>4.0</v>
      </c>
      <c r="BM394"/>
      <c r="BN394"/>
      <c r="BO394"/>
      <c r="BP394"/>
      <c r="BQ394" t="inlineStr">
        <is>
          <t>Day(s)</t>
        </is>
      </c>
      <c r="BR394" t="inlineStr">
        <is>
          <t>Awad,J., G. Brunetti, A. Juhasz, M. Williams, D. Navarro, B. Drigo, J. Bougoure, J. Vanderzalm, and S. Beecham</t>
        </is>
      </c>
      <c r="BS394" t="n">
        <v>191324.0</v>
      </c>
      <c r="BT394" t="inlineStr">
        <is>
          <t>Application of Native Plants in Constructed Floating Wetlands as a Passive Remediation Approach for PFAS-Impacted Surface Water</t>
        </is>
      </c>
      <c r="BU394" t="inlineStr">
        <is>
          <t>J. Hazard. Mater.429:11 p.</t>
        </is>
      </c>
      <c r="BV394" t="n">
        <v>2022.0</v>
      </c>
      <c r="BW39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95">
      <c r="A395" t="n">
        <v>2795393.0</v>
      </c>
      <c r="B395" t="inlineStr">
        <is>
          <t>1,1,2,2,3,3,4,4,5,5,6,6,7,7,8,8,8-Heptadecafluoro-1-octanesulfonic acid potassium salt</t>
        </is>
      </c>
      <c r="C395"/>
      <c r="D395" t="inlineStr">
        <is>
          <t>Chemical analysis reported</t>
        </is>
      </c>
      <c r="E395" t="inlineStr">
        <is>
          <t>&gt;=</t>
        </is>
      </c>
      <c r="F395" t="n">
        <v>98.0</v>
      </c>
      <c r="G395"/>
      <c r="H395"/>
      <c r="I395"/>
      <c r="J395"/>
      <c r="K395" t="inlineStr">
        <is>
          <t>Phragmites australis</t>
        </is>
      </c>
      <c r="L395" t="inlineStr">
        <is>
          <t>Grass</t>
        </is>
      </c>
      <c r="M395" t="inlineStr">
        <is>
          <t>Flowers, Trees, Shrubs, Ferns; U.S. Invasive Species</t>
        </is>
      </c>
      <c r="N395"/>
      <c r="O395"/>
      <c r="P395"/>
      <c r="Q395"/>
      <c r="R395"/>
      <c r="S395"/>
      <c r="T395"/>
      <c r="U395"/>
      <c r="V395" t="inlineStr">
        <is>
          <t>Hydroponic</t>
        </is>
      </c>
      <c r="W395" t="inlineStr">
        <is>
          <t>Hydroponic</t>
        </is>
      </c>
      <c r="X395" t="inlineStr">
        <is>
          <t>Lab</t>
        </is>
      </c>
      <c r="Y395" t="n">
        <v>3.0</v>
      </c>
      <c r="Z395" t="inlineStr">
        <is>
          <t>Active ingredient</t>
        </is>
      </c>
      <c r="AA395"/>
      <c r="AB395" t="n">
        <v>30.0</v>
      </c>
      <c r="AC395"/>
      <c r="AD395"/>
      <c r="AE395"/>
      <c r="AF395"/>
      <c r="AG395" t="inlineStr">
        <is>
          <t>ug/L</t>
        </is>
      </c>
      <c r="AH395"/>
      <c r="AI395"/>
      <c r="AJ395"/>
      <c r="AK395"/>
      <c r="AL395"/>
      <c r="AM395"/>
      <c r="AN395"/>
      <c r="AO395"/>
      <c r="AP395"/>
      <c r="AQ395"/>
      <c r="AR395"/>
      <c r="AS395"/>
      <c r="AT395"/>
      <c r="AU395"/>
      <c r="AV395"/>
      <c r="AW395"/>
      <c r="AX395" t="inlineStr">
        <is>
          <t>Accumulation</t>
        </is>
      </c>
      <c r="AY395" t="inlineStr">
        <is>
          <t>Residue</t>
        </is>
      </c>
      <c r="AZ395" t="inlineStr">
        <is>
          <t>BAF</t>
        </is>
      </c>
      <c r="BA395"/>
      <c r="BB395" t="n">
        <v>18.58</v>
      </c>
      <c r="BC395"/>
      <c r="BD395"/>
      <c r="BE395"/>
      <c r="BF395"/>
      <c r="BG395"/>
      <c r="BH395"/>
      <c r="BI395" t="inlineStr">
        <is>
          <t>L/kg</t>
        </is>
      </c>
      <c r="BJ395" t="inlineStr">
        <is>
          <t>Whole organism</t>
        </is>
      </c>
      <c r="BK395"/>
      <c r="BL395" t="n">
        <v>4.0</v>
      </c>
      <c r="BM395"/>
      <c r="BN395"/>
      <c r="BO395"/>
      <c r="BP395"/>
      <c r="BQ395" t="inlineStr">
        <is>
          <t>Day(s)</t>
        </is>
      </c>
      <c r="BR395" t="inlineStr">
        <is>
          <t>Awad,J., G. Brunetti, A. Juhasz, M. Williams, D. Navarro, B. Drigo, J. Bougoure, J. Vanderzalm, and S. Beecham</t>
        </is>
      </c>
      <c r="BS395" t="n">
        <v>191324.0</v>
      </c>
      <c r="BT395" t="inlineStr">
        <is>
          <t>Application of Native Plants in Constructed Floating Wetlands as a Passive Remediation Approach for PFAS-Impacted Surface Water</t>
        </is>
      </c>
      <c r="BU395" t="inlineStr">
        <is>
          <t>J. Hazard. Mater.429:11 p.</t>
        </is>
      </c>
      <c r="BV395" t="n">
        <v>2022.0</v>
      </c>
      <c r="BW39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96">
      <c r="A396" t="n">
        <v>2795393.0</v>
      </c>
      <c r="B396" t="inlineStr">
        <is>
          <t>1,1,2,2,3,3,4,4,5,5,6,6,7,7,8,8,8-Heptadecafluoro-1-octanesulfonic acid potassium salt</t>
        </is>
      </c>
      <c r="C396"/>
      <c r="D396" t="inlineStr">
        <is>
          <t>Chemical analysis reported</t>
        </is>
      </c>
      <c r="E396" t="inlineStr">
        <is>
          <t>&gt;=</t>
        </is>
      </c>
      <c r="F396" t="n">
        <v>98.0</v>
      </c>
      <c r="G396"/>
      <c r="H396"/>
      <c r="I396"/>
      <c r="J396"/>
      <c r="K396" t="inlineStr">
        <is>
          <t>Phragmites australis</t>
        </is>
      </c>
      <c r="L396" t="inlineStr">
        <is>
          <t>Grass</t>
        </is>
      </c>
      <c r="M396" t="inlineStr">
        <is>
          <t>Flowers, Trees, Shrubs, Ferns; U.S. Invasive Species</t>
        </is>
      </c>
      <c r="N396"/>
      <c r="O396"/>
      <c r="P396"/>
      <c r="Q396"/>
      <c r="R396"/>
      <c r="S396"/>
      <c r="T396"/>
      <c r="U396"/>
      <c r="V396" t="inlineStr">
        <is>
          <t>Hydroponic</t>
        </is>
      </c>
      <c r="W396" t="inlineStr">
        <is>
          <t>Hydroponic</t>
        </is>
      </c>
      <c r="X396" t="inlineStr">
        <is>
          <t>Lab</t>
        </is>
      </c>
      <c r="Y396" t="n">
        <v>3.0</v>
      </c>
      <c r="Z396" t="inlineStr">
        <is>
          <t>Active ingredient</t>
        </is>
      </c>
      <c r="AA396"/>
      <c r="AB396" t="n">
        <v>10.0</v>
      </c>
      <c r="AC396"/>
      <c r="AD396"/>
      <c r="AE396"/>
      <c r="AF396"/>
      <c r="AG396" t="inlineStr">
        <is>
          <t>ug/L</t>
        </is>
      </c>
      <c r="AH396"/>
      <c r="AI396"/>
      <c r="AJ396"/>
      <c r="AK396"/>
      <c r="AL396"/>
      <c r="AM396"/>
      <c r="AN396"/>
      <c r="AO396"/>
      <c r="AP396"/>
      <c r="AQ396"/>
      <c r="AR396"/>
      <c r="AS396"/>
      <c r="AT396"/>
      <c r="AU396"/>
      <c r="AV396"/>
      <c r="AW396"/>
      <c r="AX396" t="inlineStr">
        <is>
          <t>Accumulation</t>
        </is>
      </c>
      <c r="AY396" t="inlineStr">
        <is>
          <t>Residue</t>
        </is>
      </c>
      <c r="AZ396" t="inlineStr">
        <is>
          <t>BAF</t>
        </is>
      </c>
      <c r="BA396"/>
      <c r="BB396" t="n">
        <v>2.8</v>
      </c>
      <c r="BC396"/>
      <c r="BD396"/>
      <c r="BE396"/>
      <c r="BF396"/>
      <c r="BG396"/>
      <c r="BH396"/>
      <c r="BI396" t="inlineStr">
        <is>
          <t>L/kg</t>
        </is>
      </c>
      <c r="BJ396" t="inlineStr">
        <is>
          <t>Shoot</t>
        </is>
      </c>
      <c r="BK396"/>
      <c r="BL396" t="n">
        <v>7.0</v>
      </c>
      <c r="BM396"/>
      <c r="BN396"/>
      <c r="BO396"/>
      <c r="BP396"/>
      <c r="BQ396" t="inlineStr">
        <is>
          <t>Day(s)</t>
        </is>
      </c>
      <c r="BR396" t="inlineStr">
        <is>
          <t>Awad,J., G. Brunetti, A. Juhasz, M. Williams, D. Navarro, B. Drigo, J. Bougoure, J. Vanderzalm, and S. Beecham</t>
        </is>
      </c>
      <c r="BS396" t="n">
        <v>191324.0</v>
      </c>
      <c r="BT396" t="inlineStr">
        <is>
          <t>Application of Native Plants in Constructed Floating Wetlands as a Passive Remediation Approach for PFAS-Impacted Surface Water</t>
        </is>
      </c>
      <c r="BU396" t="inlineStr">
        <is>
          <t>J. Hazard. Mater.429:11 p.</t>
        </is>
      </c>
      <c r="BV396" t="n">
        <v>2022.0</v>
      </c>
      <c r="BW39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97">
      <c r="A397" t="n">
        <v>2795393.0</v>
      </c>
      <c r="B397" t="inlineStr">
        <is>
          <t>1,1,2,2,3,3,4,4,5,5,6,6,7,7,8,8,8-Heptadecafluoro-1-octanesulfonic acid potassium salt</t>
        </is>
      </c>
      <c r="C397"/>
      <c r="D397" t="inlineStr">
        <is>
          <t>Chemical analysis reported</t>
        </is>
      </c>
      <c r="E397" t="inlineStr">
        <is>
          <t>&gt;=</t>
        </is>
      </c>
      <c r="F397" t="n">
        <v>98.0</v>
      </c>
      <c r="G397"/>
      <c r="H397"/>
      <c r="I397"/>
      <c r="J397"/>
      <c r="K397" t="inlineStr">
        <is>
          <t>Phragmites australis</t>
        </is>
      </c>
      <c r="L397" t="inlineStr">
        <is>
          <t>Grass</t>
        </is>
      </c>
      <c r="M397" t="inlineStr">
        <is>
          <t>Flowers, Trees, Shrubs, Ferns; U.S. Invasive Species</t>
        </is>
      </c>
      <c r="N397"/>
      <c r="O397"/>
      <c r="P397"/>
      <c r="Q397"/>
      <c r="R397"/>
      <c r="S397"/>
      <c r="T397"/>
      <c r="U397"/>
      <c r="V397" t="inlineStr">
        <is>
          <t>Hydroponic</t>
        </is>
      </c>
      <c r="W397" t="inlineStr">
        <is>
          <t>Hydroponic</t>
        </is>
      </c>
      <c r="X397" t="inlineStr">
        <is>
          <t>Lab</t>
        </is>
      </c>
      <c r="Y397" t="n">
        <v>3.0</v>
      </c>
      <c r="Z397" t="inlineStr">
        <is>
          <t>Active ingredient</t>
        </is>
      </c>
      <c r="AA397"/>
      <c r="AB397" t="n">
        <v>30.0</v>
      </c>
      <c r="AC397"/>
      <c r="AD397"/>
      <c r="AE397"/>
      <c r="AF397"/>
      <c r="AG397" t="inlineStr">
        <is>
          <t>ug/L</t>
        </is>
      </c>
      <c r="AH397"/>
      <c r="AI397"/>
      <c r="AJ397"/>
      <c r="AK397"/>
      <c r="AL397"/>
      <c r="AM397"/>
      <c r="AN397"/>
      <c r="AO397"/>
      <c r="AP397"/>
      <c r="AQ397"/>
      <c r="AR397"/>
      <c r="AS397"/>
      <c r="AT397"/>
      <c r="AU397"/>
      <c r="AV397"/>
      <c r="AW397"/>
      <c r="AX397" t="inlineStr">
        <is>
          <t>Accumulation</t>
        </is>
      </c>
      <c r="AY397" t="inlineStr">
        <is>
          <t>Residue</t>
        </is>
      </c>
      <c r="AZ397" t="inlineStr">
        <is>
          <t>BAF</t>
        </is>
      </c>
      <c r="BA397"/>
      <c r="BB397" t="n">
        <v>15.4</v>
      </c>
      <c r="BC397"/>
      <c r="BD397"/>
      <c r="BE397"/>
      <c r="BF397"/>
      <c r="BG397"/>
      <c r="BH397"/>
      <c r="BI397" t="inlineStr">
        <is>
          <t>L/kg</t>
        </is>
      </c>
      <c r="BJ397" t="inlineStr">
        <is>
          <t>Root</t>
        </is>
      </c>
      <c r="BK397"/>
      <c r="BL397" t="n">
        <v>28.0</v>
      </c>
      <c r="BM397"/>
      <c r="BN397"/>
      <c r="BO397"/>
      <c r="BP397"/>
      <c r="BQ397" t="inlineStr">
        <is>
          <t>Day(s)</t>
        </is>
      </c>
      <c r="BR397" t="inlineStr">
        <is>
          <t>Awad,J., G. Brunetti, A. Juhasz, M. Williams, D. Navarro, B. Drigo, J. Bougoure, J. Vanderzalm, and S. Beecham</t>
        </is>
      </c>
      <c r="BS397" t="n">
        <v>191324.0</v>
      </c>
      <c r="BT397" t="inlineStr">
        <is>
          <t>Application of Native Plants in Constructed Floating Wetlands as a Passive Remediation Approach for PFAS-Impacted Surface Water</t>
        </is>
      </c>
      <c r="BU397" t="inlineStr">
        <is>
          <t>J. Hazard. Mater.429:11 p.</t>
        </is>
      </c>
      <c r="BV397" t="n">
        <v>2022.0</v>
      </c>
      <c r="BW39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98">
      <c r="A398" t="n">
        <v>2795393.0</v>
      </c>
      <c r="B398" t="inlineStr">
        <is>
          <t>1,1,2,2,3,3,4,4,5,5,6,6,7,7,8,8,8-Heptadecafluoro-1-octanesulfonic acid potassium salt</t>
        </is>
      </c>
      <c r="C398"/>
      <c r="D398" t="inlineStr">
        <is>
          <t>Chemical analysis reported</t>
        </is>
      </c>
      <c r="E398" t="inlineStr">
        <is>
          <t>&gt;=</t>
        </is>
      </c>
      <c r="F398" t="n">
        <v>98.0</v>
      </c>
      <c r="G398"/>
      <c r="H398"/>
      <c r="I398"/>
      <c r="J398"/>
      <c r="K398" t="inlineStr">
        <is>
          <t>Phragmites australis</t>
        </is>
      </c>
      <c r="L398" t="inlineStr">
        <is>
          <t>Grass</t>
        </is>
      </c>
      <c r="M398" t="inlineStr">
        <is>
          <t>Flowers, Trees, Shrubs, Ferns; U.S. Invasive Species</t>
        </is>
      </c>
      <c r="N398"/>
      <c r="O398"/>
      <c r="P398"/>
      <c r="Q398"/>
      <c r="R398"/>
      <c r="S398"/>
      <c r="T398"/>
      <c r="U398"/>
      <c r="V398" t="inlineStr">
        <is>
          <t>Hydroponic</t>
        </is>
      </c>
      <c r="W398" t="inlineStr">
        <is>
          <t>Hydroponic</t>
        </is>
      </c>
      <c r="X398" t="inlineStr">
        <is>
          <t>Lab</t>
        </is>
      </c>
      <c r="Y398" t="n">
        <v>3.0</v>
      </c>
      <c r="Z398" t="inlineStr">
        <is>
          <t>Active ingredient</t>
        </is>
      </c>
      <c r="AA398"/>
      <c r="AB398" t="n">
        <v>10.0</v>
      </c>
      <c r="AC398"/>
      <c r="AD398"/>
      <c r="AE398"/>
      <c r="AF398"/>
      <c r="AG398" t="inlineStr">
        <is>
          <t>ug/L</t>
        </is>
      </c>
      <c r="AH398"/>
      <c r="AI398"/>
      <c r="AJ398"/>
      <c r="AK398"/>
      <c r="AL398"/>
      <c r="AM398"/>
      <c r="AN398"/>
      <c r="AO398"/>
      <c r="AP398"/>
      <c r="AQ398"/>
      <c r="AR398"/>
      <c r="AS398"/>
      <c r="AT398"/>
      <c r="AU398"/>
      <c r="AV398"/>
      <c r="AW398"/>
      <c r="AX398" t="inlineStr">
        <is>
          <t>Accumulation</t>
        </is>
      </c>
      <c r="AY398" t="inlineStr">
        <is>
          <t>Residue</t>
        </is>
      </c>
      <c r="AZ398" t="inlineStr">
        <is>
          <t>BAF</t>
        </is>
      </c>
      <c r="BA398"/>
      <c r="BB398" t="n">
        <v>15.9</v>
      </c>
      <c r="BC398"/>
      <c r="BD398"/>
      <c r="BE398"/>
      <c r="BF398"/>
      <c r="BG398"/>
      <c r="BH398"/>
      <c r="BI398" t="inlineStr">
        <is>
          <t>L/kg</t>
        </is>
      </c>
      <c r="BJ398" t="inlineStr">
        <is>
          <t>Whole organism</t>
        </is>
      </c>
      <c r="BK398"/>
      <c r="BL398" t="n">
        <v>7.0</v>
      </c>
      <c r="BM398"/>
      <c r="BN398"/>
      <c r="BO398"/>
      <c r="BP398"/>
      <c r="BQ398" t="inlineStr">
        <is>
          <t>Day(s)</t>
        </is>
      </c>
      <c r="BR398" t="inlineStr">
        <is>
          <t>Awad,J., G. Brunetti, A. Juhasz, M. Williams, D. Navarro, B. Drigo, J. Bougoure, J. Vanderzalm, and S. Beecham</t>
        </is>
      </c>
      <c r="BS398" t="n">
        <v>191324.0</v>
      </c>
      <c r="BT398" t="inlineStr">
        <is>
          <t>Application of Native Plants in Constructed Floating Wetlands as a Passive Remediation Approach for PFAS-Impacted Surface Water</t>
        </is>
      </c>
      <c r="BU398" t="inlineStr">
        <is>
          <t>J. Hazard. Mater.429:11 p.</t>
        </is>
      </c>
      <c r="BV398" t="n">
        <v>2022.0</v>
      </c>
      <c r="BW39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99">
      <c r="A399" t="n">
        <v>2795393.0</v>
      </c>
      <c r="B399" t="inlineStr">
        <is>
          <t>1,1,2,2,3,3,4,4,5,5,6,6,7,7,8,8,8-Heptadecafluoro-1-octanesulfonic acid potassium salt</t>
        </is>
      </c>
      <c r="C399"/>
      <c r="D399" t="inlineStr">
        <is>
          <t>Chemical analysis reported</t>
        </is>
      </c>
      <c r="E399" t="inlineStr">
        <is>
          <t>&gt;=</t>
        </is>
      </c>
      <c r="F399" t="n">
        <v>98.0</v>
      </c>
      <c r="G399"/>
      <c r="H399"/>
      <c r="I399"/>
      <c r="J399"/>
      <c r="K399" t="inlineStr">
        <is>
          <t>Phragmites australis</t>
        </is>
      </c>
      <c r="L399" t="inlineStr">
        <is>
          <t>Grass</t>
        </is>
      </c>
      <c r="M399" t="inlineStr">
        <is>
          <t>Flowers, Trees, Shrubs, Ferns; U.S. Invasive Species</t>
        </is>
      </c>
      <c r="N399"/>
      <c r="O399"/>
      <c r="P399"/>
      <c r="Q399"/>
      <c r="R399"/>
      <c r="S399"/>
      <c r="T399"/>
      <c r="U399"/>
      <c r="V399" t="inlineStr">
        <is>
          <t>Hydroponic</t>
        </is>
      </c>
      <c r="W399" t="inlineStr">
        <is>
          <t>Hydroponic</t>
        </is>
      </c>
      <c r="X399" t="inlineStr">
        <is>
          <t>Lab</t>
        </is>
      </c>
      <c r="Y399" t="n">
        <v>3.0</v>
      </c>
      <c r="Z399" t="inlineStr">
        <is>
          <t>Active ingredient</t>
        </is>
      </c>
      <c r="AA399"/>
      <c r="AB399" t="n">
        <v>30.0</v>
      </c>
      <c r="AC399"/>
      <c r="AD399"/>
      <c r="AE399"/>
      <c r="AF399"/>
      <c r="AG399" t="inlineStr">
        <is>
          <t>ug/L</t>
        </is>
      </c>
      <c r="AH399"/>
      <c r="AI399"/>
      <c r="AJ399"/>
      <c r="AK399"/>
      <c r="AL399"/>
      <c r="AM399"/>
      <c r="AN399"/>
      <c r="AO399"/>
      <c r="AP399"/>
      <c r="AQ399"/>
      <c r="AR399"/>
      <c r="AS399"/>
      <c r="AT399"/>
      <c r="AU399"/>
      <c r="AV399"/>
      <c r="AW399"/>
      <c r="AX399" t="inlineStr">
        <is>
          <t>Accumulation</t>
        </is>
      </c>
      <c r="AY399" t="inlineStr">
        <is>
          <t>Residue</t>
        </is>
      </c>
      <c r="AZ399" t="inlineStr">
        <is>
          <t>BAF</t>
        </is>
      </c>
      <c r="BA399"/>
      <c r="BB399" t="n">
        <v>5.39</v>
      </c>
      <c r="BC399"/>
      <c r="BD399"/>
      <c r="BE399"/>
      <c r="BF399"/>
      <c r="BG399"/>
      <c r="BH399"/>
      <c r="BI399" t="inlineStr">
        <is>
          <t>L/kg</t>
        </is>
      </c>
      <c r="BJ399" t="inlineStr">
        <is>
          <t>Shoot</t>
        </is>
      </c>
      <c r="BK399"/>
      <c r="BL399" t="n">
        <v>28.0</v>
      </c>
      <c r="BM399"/>
      <c r="BN399"/>
      <c r="BO399"/>
      <c r="BP399"/>
      <c r="BQ399" t="inlineStr">
        <is>
          <t>Day(s)</t>
        </is>
      </c>
      <c r="BR399" t="inlineStr">
        <is>
          <t>Awad,J., G. Brunetti, A. Juhasz, M. Williams, D. Navarro, B. Drigo, J. Bougoure, J. Vanderzalm, and S. Beecham</t>
        </is>
      </c>
      <c r="BS399" t="n">
        <v>191324.0</v>
      </c>
      <c r="BT399" t="inlineStr">
        <is>
          <t>Application of Native Plants in Constructed Floating Wetlands as a Passive Remediation Approach for PFAS-Impacted Surface Water</t>
        </is>
      </c>
      <c r="BU399" t="inlineStr">
        <is>
          <t>J. Hazard. Mater.429:11 p.</t>
        </is>
      </c>
      <c r="BV399" t="n">
        <v>2022.0</v>
      </c>
      <c r="BW39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0">
      <c r="A400" t="n">
        <v>2795393.0</v>
      </c>
      <c r="B400" t="inlineStr">
        <is>
          <t>1,1,2,2,3,3,4,4,5,5,6,6,7,7,8,8,8-Heptadecafluoro-1-octanesulfonic acid potassium salt</t>
        </is>
      </c>
      <c r="C400"/>
      <c r="D400" t="inlineStr">
        <is>
          <t>Chemical analysis reported</t>
        </is>
      </c>
      <c r="E400" t="inlineStr">
        <is>
          <t>&gt;=</t>
        </is>
      </c>
      <c r="F400" t="n">
        <v>98.0</v>
      </c>
      <c r="G400"/>
      <c r="H400"/>
      <c r="I400"/>
      <c r="J400"/>
      <c r="K400" t="inlineStr">
        <is>
          <t>Phragmites australis</t>
        </is>
      </c>
      <c r="L400" t="inlineStr">
        <is>
          <t>Grass</t>
        </is>
      </c>
      <c r="M400" t="inlineStr">
        <is>
          <t>Flowers, Trees, Shrubs, Ferns; U.S. Invasive Species</t>
        </is>
      </c>
      <c r="N400"/>
      <c r="O400"/>
      <c r="P400"/>
      <c r="Q400"/>
      <c r="R400"/>
      <c r="S400"/>
      <c r="T400"/>
      <c r="U400"/>
      <c r="V400" t="inlineStr">
        <is>
          <t>Hydroponic</t>
        </is>
      </c>
      <c r="W400" t="inlineStr">
        <is>
          <t>Hydroponic</t>
        </is>
      </c>
      <c r="X400" t="inlineStr">
        <is>
          <t>Lab</t>
        </is>
      </c>
      <c r="Y400" t="n">
        <v>3.0</v>
      </c>
      <c r="Z400" t="inlineStr">
        <is>
          <t>Active ingredient</t>
        </is>
      </c>
      <c r="AA400"/>
      <c r="AB400" t="n">
        <v>10.0</v>
      </c>
      <c r="AC400"/>
      <c r="AD400"/>
      <c r="AE400"/>
      <c r="AF400"/>
      <c r="AG400" t="inlineStr">
        <is>
          <t>ug/L</t>
        </is>
      </c>
      <c r="AH400"/>
      <c r="AI400"/>
      <c r="AJ400"/>
      <c r="AK400"/>
      <c r="AL400"/>
      <c r="AM400"/>
      <c r="AN400"/>
      <c r="AO400"/>
      <c r="AP400"/>
      <c r="AQ400"/>
      <c r="AR400"/>
      <c r="AS400"/>
      <c r="AT400"/>
      <c r="AU400"/>
      <c r="AV400"/>
      <c r="AW400"/>
      <c r="AX400" t="inlineStr">
        <is>
          <t>Accumulation</t>
        </is>
      </c>
      <c r="AY400" t="inlineStr">
        <is>
          <t>Residue</t>
        </is>
      </c>
      <c r="AZ400" t="inlineStr">
        <is>
          <t>BAF</t>
        </is>
      </c>
      <c r="BA400"/>
      <c r="BB400" t="n">
        <v>6.9</v>
      </c>
      <c r="BC400"/>
      <c r="BD400"/>
      <c r="BE400"/>
      <c r="BF400"/>
      <c r="BG400"/>
      <c r="BH400"/>
      <c r="BI400" t="inlineStr">
        <is>
          <t>L/kg</t>
        </is>
      </c>
      <c r="BJ400" t="inlineStr">
        <is>
          <t>Shoot</t>
        </is>
      </c>
      <c r="BK400"/>
      <c r="BL400" t="n">
        <v>28.0</v>
      </c>
      <c r="BM400"/>
      <c r="BN400"/>
      <c r="BO400"/>
      <c r="BP400"/>
      <c r="BQ400" t="inlineStr">
        <is>
          <t>Day(s)</t>
        </is>
      </c>
      <c r="BR400" t="inlineStr">
        <is>
          <t>Awad,J., G. Brunetti, A. Juhasz, M. Williams, D. Navarro, B. Drigo, J. Bougoure, J. Vanderzalm, and S. Beecham</t>
        </is>
      </c>
      <c r="BS400" t="n">
        <v>191324.0</v>
      </c>
      <c r="BT400" t="inlineStr">
        <is>
          <t>Application of Native Plants in Constructed Floating Wetlands as a Passive Remediation Approach for PFAS-Impacted Surface Water</t>
        </is>
      </c>
      <c r="BU400" t="inlineStr">
        <is>
          <t>J. Hazard. Mater.429:11 p.</t>
        </is>
      </c>
      <c r="BV400" t="n">
        <v>2022.0</v>
      </c>
      <c r="BW40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1">
      <c r="A401" t="n">
        <v>2795393.0</v>
      </c>
      <c r="B401" t="inlineStr">
        <is>
          <t>1,1,2,2,3,3,4,4,5,5,6,6,7,7,8,8,8-Heptadecafluoro-1-octanesulfonic acid potassium salt</t>
        </is>
      </c>
      <c r="C401"/>
      <c r="D401" t="inlineStr">
        <is>
          <t>Chemical analysis reported</t>
        </is>
      </c>
      <c r="E401" t="inlineStr">
        <is>
          <t>&gt;=</t>
        </is>
      </c>
      <c r="F401" t="n">
        <v>98.0</v>
      </c>
      <c r="G401"/>
      <c r="H401"/>
      <c r="I401"/>
      <c r="J401"/>
      <c r="K401" t="inlineStr">
        <is>
          <t>Phragmites australis</t>
        </is>
      </c>
      <c r="L401" t="inlineStr">
        <is>
          <t>Grass</t>
        </is>
      </c>
      <c r="M401" t="inlineStr">
        <is>
          <t>Flowers, Trees, Shrubs, Ferns; U.S. Invasive Species</t>
        </is>
      </c>
      <c r="N401"/>
      <c r="O401"/>
      <c r="P401"/>
      <c r="Q401"/>
      <c r="R401"/>
      <c r="S401"/>
      <c r="T401"/>
      <c r="U401"/>
      <c r="V401" t="inlineStr">
        <is>
          <t>Hydroponic</t>
        </is>
      </c>
      <c r="W401" t="inlineStr">
        <is>
          <t>Hydroponic</t>
        </is>
      </c>
      <c r="X401" t="inlineStr">
        <is>
          <t>Lab</t>
        </is>
      </c>
      <c r="Y401" t="n">
        <v>3.0</v>
      </c>
      <c r="Z401" t="inlineStr">
        <is>
          <t>Active ingredient</t>
        </is>
      </c>
      <c r="AA401"/>
      <c r="AB401" t="n">
        <v>10.0</v>
      </c>
      <c r="AC401"/>
      <c r="AD401"/>
      <c r="AE401"/>
      <c r="AF401"/>
      <c r="AG401" t="inlineStr">
        <is>
          <t>ug/L</t>
        </is>
      </c>
      <c r="AH401"/>
      <c r="AI401"/>
      <c r="AJ401"/>
      <c r="AK401"/>
      <c r="AL401"/>
      <c r="AM401"/>
      <c r="AN401"/>
      <c r="AO401"/>
      <c r="AP401"/>
      <c r="AQ401"/>
      <c r="AR401"/>
      <c r="AS401"/>
      <c r="AT401"/>
      <c r="AU401"/>
      <c r="AV401"/>
      <c r="AW401"/>
      <c r="AX401" t="inlineStr">
        <is>
          <t>Accumulation</t>
        </is>
      </c>
      <c r="AY401" t="inlineStr">
        <is>
          <t>Residue</t>
        </is>
      </c>
      <c r="AZ401" t="inlineStr">
        <is>
          <t>BAF</t>
        </is>
      </c>
      <c r="BA401"/>
      <c r="BB401" t="n">
        <v>26.5</v>
      </c>
      <c r="BC401"/>
      <c r="BD401"/>
      <c r="BE401"/>
      <c r="BF401"/>
      <c r="BG401"/>
      <c r="BH401"/>
      <c r="BI401" t="inlineStr">
        <is>
          <t>L/kg</t>
        </is>
      </c>
      <c r="BJ401" t="inlineStr">
        <is>
          <t>Root</t>
        </is>
      </c>
      <c r="BK401"/>
      <c r="BL401" t="n">
        <v>28.0</v>
      </c>
      <c r="BM401"/>
      <c r="BN401"/>
      <c r="BO401"/>
      <c r="BP401"/>
      <c r="BQ401" t="inlineStr">
        <is>
          <t>Day(s)</t>
        </is>
      </c>
      <c r="BR401" t="inlineStr">
        <is>
          <t>Awad,J., G. Brunetti, A. Juhasz, M. Williams, D. Navarro, B. Drigo, J. Bougoure, J. Vanderzalm, and S. Beecham</t>
        </is>
      </c>
      <c r="BS401" t="n">
        <v>191324.0</v>
      </c>
      <c r="BT401" t="inlineStr">
        <is>
          <t>Application of Native Plants in Constructed Floating Wetlands as a Passive Remediation Approach for PFAS-Impacted Surface Water</t>
        </is>
      </c>
      <c r="BU401" t="inlineStr">
        <is>
          <t>J. Hazard. Mater.429:11 p.</t>
        </is>
      </c>
      <c r="BV401" t="n">
        <v>2022.0</v>
      </c>
      <c r="BW40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2">
      <c r="A402" t="n">
        <v>2795393.0</v>
      </c>
      <c r="B402" t="inlineStr">
        <is>
          <t>1,1,2,2,3,3,4,4,5,5,6,6,7,7,8,8,8-Heptadecafluoro-1-octanesulfonic acid potassium salt</t>
        </is>
      </c>
      <c r="C402"/>
      <c r="D402" t="inlineStr">
        <is>
          <t>Chemical analysis reported</t>
        </is>
      </c>
      <c r="E402" t="inlineStr">
        <is>
          <t>&gt;=</t>
        </is>
      </c>
      <c r="F402" t="n">
        <v>98.0</v>
      </c>
      <c r="G402"/>
      <c r="H402"/>
      <c r="I402"/>
      <c r="J402"/>
      <c r="K402" t="inlineStr">
        <is>
          <t>Phragmites australis</t>
        </is>
      </c>
      <c r="L402" t="inlineStr">
        <is>
          <t>Grass</t>
        </is>
      </c>
      <c r="M402" t="inlineStr">
        <is>
          <t>Flowers, Trees, Shrubs, Ferns; U.S. Invasive Species</t>
        </is>
      </c>
      <c r="N402"/>
      <c r="O402"/>
      <c r="P402"/>
      <c r="Q402"/>
      <c r="R402"/>
      <c r="S402"/>
      <c r="T402"/>
      <c r="U402"/>
      <c r="V402" t="inlineStr">
        <is>
          <t>Hydroponic</t>
        </is>
      </c>
      <c r="W402" t="inlineStr">
        <is>
          <t>Hydroponic</t>
        </is>
      </c>
      <c r="X402" t="inlineStr">
        <is>
          <t>Lab</t>
        </is>
      </c>
      <c r="Y402" t="n">
        <v>3.0</v>
      </c>
      <c r="Z402" t="inlineStr">
        <is>
          <t>Active ingredient</t>
        </is>
      </c>
      <c r="AA402"/>
      <c r="AB402" t="n">
        <v>10.0</v>
      </c>
      <c r="AC402"/>
      <c r="AD402"/>
      <c r="AE402"/>
      <c r="AF402"/>
      <c r="AG402" t="inlineStr">
        <is>
          <t>ug/L</t>
        </is>
      </c>
      <c r="AH402"/>
      <c r="AI402"/>
      <c r="AJ402"/>
      <c r="AK402"/>
      <c r="AL402"/>
      <c r="AM402"/>
      <c r="AN402"/>
      <c r="AO402"/>
      <c r="AP402"/>
      <c r="AQ402"/>
      <c r="AR402"/>
      <c r="AS402"/>
      <c r="AT402"/>
      <c r="AU402"/>
      <c r="AV402"/>
      <c r="AW402"/>
      <c r="AX402" t="inlineStr">
        <is>
          <t>Accumulation</t>
        </is>
      </c>
      <c r="AY402" t="inlineStr">
        <is>
          <t>Residue</t>
        </is>
      </c>
      <c r="AZ402" t="inlineStr">
        <is>
          <t>BAF</t>
        </is>
      </c>
      <c r="BA402"/>
      <c r="BB402" t="n">
        <v>28.8</v>
      </c>
      <c r="BC402"/>
      <c r="BD402"/>
      <c r="BE402"/>
      <c r="BF402"/>
      <c r="BG402"/>
      <c r="BH402"/>
      <c r="BI402" t="inlineStr">
        <is>
          <t>L/kg</t>
        </is>
      </c>
      <c r="BJ402" t="inlineStr">
        <is>
          <t>Root</t>
        </is>
      </c>
      <c r="BK402"/>
      <c r="BL402" t="n">
        <v>1.0</v>
      </c>
      <c r="BM402"/>
      <c r="BN402"/>
      <c r="BO402"/>
      <c r="BP402"/>
      <c r="BQ402" t="inlineStr">
        <is>
          <t>Day(s)</t>
        </is>
      </c>
      <c r="BR402" t="inlineStr">
        <is>
          <t>Awad,J., G. Brunetti, A. Juhasz, M. Williams, D. Navarro, B. Drigo, J. Bougoure, J. Vanderzalm, and S. Beecham</t>
        </is>
      </c>
      <c r="BS402" t="n">
        <v>191324.0</v>
      </c>
      <c r="BT402" t="inlineStr">
        <is>
          <t>Application of Native Plants in Constructed Floating Wetlands as a Passive Remediation Approach for PFAS-Impacted Surface Water</t>
        </is>
      </c>
      <c r="BU402" t="inlineStr">
        <is>
          <t>J. Hazard. Mater.429:11 p.</t>
        </is>
      </c>
      <c r="BV402" t="n">
        <v>2022.0</v>
      </c>
      <c r="BW40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3">
      <c r="A403" t="n">
        <v>2795393.0</v>
      </c>
      <c r="B403" t="inlineStr">
        <is>
          <t>1,1,2,2,3,3,4,4,5,5,6,6,7,7,8,8,8-Heptadecafluoro-1-octanesulfonic acid potassium salt</t>
        </is>
      </c>
      <c r="C403"/>
      <c r="D403" t="inlineStr">
        <is>
          <t>Chemical analysis reported</t>
        </is>
      </c>
      <c r="E403" t="inlineStr">
        <is>
          <t>&gt;=</t>
        </is>
      </c>
      <c r="F403" t="n">
        <v>98.0</v>
      </c>
      <c r="G403"/>
      <c r="H403"/>
      <c r="I403"/>
      <c r="J403"/>
      <c r="K403" t="inlineStr">
        <is>
          <t>Phragmites australis</t>
        </is>
      </c>
      <c r="L403" t="inlineStr">
        <is>
          <t>Grass</t>
        </is>
      </c>
      <c r="M403" t="inlineStr">
        <is>
          <t>Flowers, Trees, Shrubs, Ferns; U.S. Invasive Species</t>
        </is>
      </c>
      <c r="N403"/>
      <c r="O403"/>
      <c r="P403"/>
      <c r="Q403"/>
      <c r="R403"/>
      <c r="S403"/>
      <c r="T403"/>
      <c r="U403"/>
      <c r="V403" t="inlineStr">
        <is>
          <t>Hydroponic</t>
        </is>
      </c>
      <c r="W403" t="inlineStr">
        <is>
          <t>Hydroponic</t>
        </is>
      </c>
      <c r="X403" t="inlineStr">
        <is>
          <t>Lab</t>
        </is>
      </c>
      <c r="Y403" t="n">
        <v>3.0</v>
      </c>
      <c r="Z403" t="inlineStr">
        <is>
          <t>Active ingredient</t>
        </is>
      </c>
      <c r="AA403"/>
      <c r="AB403" t="n">
        <v>10.0</v>
      </c>
      <c r="AC403"/>
      <c r="AD403"/>
      <c r="AE403"/>
      <c r="AF403"/>
      <c r="AG403" t="inlineStr">
        <is>
          <t>ug/L</t>
        </is>
      </c>
      <c r="AH403"/>
      <c r="AI403"/>
      <c r="AJ403"/>
      <c r="AK403"/>
      <c r="AL403"/>
      <c r="AM403"/>
      <c r="AN403"/>
      <c r="AO403"/>
      <c r="AP403"/>
      <c r="AQ403"/>
      <c r="AR403"/>
      <c r="AS403"/>
      <c r="AT403"/>
      <c r="AU403"/>
      <c r="AV403"/>
      <c r="AW403"/>
      <c r="AX403" t="inlineStr">
        <is>
          <t>Accumulation</t>
        </is>
      </c>
      <c r="AY403" t="inlineStr">
        <is>
          <t>Residue</t>
        </is>
      </c>
      <c r="AZ403" t="inlineStr">
        <is>
          <t>BAF</t>
        </is>
      </c>
      <c r="BA403"/>
      <c r="BB403" t="n">
        <v>23.4</v>
      </c>
      <c r="BC403"/>
      <c r="BD403"/>
      <c r="BE403"/>
      <c r="BF403"/>
      <c r="BG403"/>
      <c r="BH403"/>
      <c r="BI403" t="inlineStr">
        <is>
          <t>L/kg</t>
        </is>
      </c>
      <c r="BJ403" t="inlineStr">
        <is>
          <t>Root</t>
        </is>
      </c>
      <c r="BK403"/>
      <c r="BL403" t="n">
        <v>7.0</v>
      </c>
      <c r="BM403"/>
      <c r="BN403"/>
      <c r="BO403"/>
      <c r="BP403"/>
      <c r="BQ403" t="inlineStr">
        <is>
          <t>Day(s)</t>
        </is>
      </c>
      <c r="BR403" t="inlineStr">
        <is>
          <t>Awad,J., G. Brunetti, A. Juhasz, M. Williams, D. Navarro, B. Drigo, J. Bougoure, J. Vanderzalm, and S. Beecham</t>
        </is>
      </c>
      <c r="BS403" t="n">
        <v>191324.0</v>
      </c>
      <c r="BT403" t="inlineStr">
        <is>
          <t>Application of Native Plants in Constructed Floating Wetlands as a Passive Remediation Approach for PFAS-Impacted Surface Water</t>
        </is>
      </c>
      <c r="BU403" t="inlineStr">
        <is>
          <t>J. Hazard. Mater.429:11 p.</t>
        </is>
      </c>
      <c r="BV403" t="n">
        <v>2022.0</v>
      </c>
      <c r="BW40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4">
      <c r="A404" t="n">
        <v>2795393.0</v>
      </c>
      <c r="B404" t="inlineStr">
        <is>
          <t>1,1,2,2,3,3,4,4,5,5,6,6,7,7,8,8,8-Heptadecafluoro-1-octanesulfonic acid potassium salt</t>
        </is>
      </c>
      <c r="C404"/>
      <c r="D404" t="inlineStr">
        <is>
          <t>Chemical analysis reported</t>
        </is>
      </c>
      <c r="E404" t="inlineStr">
        <is>
          <t>&gt;=</t>
        </is>
      </c>
      <c r="F404" t="n">
        <v>98.0</v>
      </c>
      <c r="G404"/>
      <c r="H404"/>
      <c r="I404"/>
      <c r="J404"/>
      <c r="K404" t="inlineStr">
        <is>
          <t>Phragmites australis</t>
        </is>
      </c>
      <c r="L404" t="inlineStr">
        <is>
          <t>Grass</t>
        </is>
      </c>
      <c r="M404" t="inlineStr">
        <is>
          <t>Flowers, Trees, Shrubs, Ferns; U.S. Invasive Species</t>
        </is>
      </c>
      <c r="N404"/>
      <c r="O404"/>
      <c r="P404"/>
      <c r="Q404"/>
      <c r="R404"/>
      <c r="S404"/>
      <c r="T404"/>
      <c r="U404"/>
      <c r="V404" t="inlineStr">
        <is>
          <t>Hydroponic</t>
        </is>
      </c>
      <c r="W404" t="inlineStr">
        <is>
          <t>Hydroponic</t>
        </is>
      </c>
      <c r="X404" t="inlineStr">
        <is>
          <t>Lab</t>
        </is>
      </c>
      <c r="Y404" t="n">
        <v>3.0</v>
      </c>
      <c r="Z404" t="inlineStr">
        <is>
          <t>Active ingredient</t>
        </is>
      </c>
      <c r="AA404"/>
      <c r="AB404" t="n">
        <v>30.0</v>
      </c>
      <c r="AC404"/>
      <c r="AD404"/>
      <c r="AE404"/>
      <c r="AF404"/>
      <c r="AG404" t="inlineStr">
        <is>
          <t>ug/L</t>
        </is>
      </c>
      <c r="AH404"/>
      <c r="AI404"/>
      <c r="AJ404"/>
      <c r="AK404"/>
      <c r="AL404"/>
      <c r="AM404"/>
      <c r="AN404"/>
      <c r="AO404"/>
      <c r="AP404"/>
      <c r="AQ404"/>
      <c r="AR404"/>
      <c r="AS404"/>
      <c r="AT404"/>
      <c r="AU404"/>
      <c r="AV404"/>
      <c r="AW404"/>
      <c r="AX404" t="inlineStr">
        <is>
          <t>Accumulation</t>
        </is>
      </c>
      <c r="AY404" t="inlineStr">
        <is>
          <t>Residue</t>
        </is>
      </c>
      <c r="AZ404" t="inlineStr">
        <is>
          <t>BAF</t>
        </is>
      </c>
      <c r="BA404"/>
      <c r="BB404" t="n">
        <v>19.72</v>
      </c>
      <c r="BC404"/>
      <c r="BD404"/>
      <c r="BE404"/>
      <c r="BF404"/>
      <c r="BG404"/>
      <c r="BH404"/>
      <c r="BI404" t="inlineStr">
        <is>
          <t>L/kg</t>
        </is>
      </c>
      <c r="BJ404" t="inlineStr">
        <is>
          <t>Root</t>
        </is>
      </c>
      <c r="BK404"/>
      <c r="BL404" t="n">
        <v>7.0</v>
      </c>
      <c r="BM404"/>
      <c r="BN404"/>
      <c r="BO404"/>
      <c r="BP404"/>
      <c r="BQ404" t="inlineStr">
        <is>
          <t>Day(s)</t>
        </is>
      </c>
      <c r="BR404" t="inlineStr">
        <is>
          <t>Awad,J., G. Brunetti, A. Juhasz, M. Williams, D. Navarro, B. Drigo, J. Bougoure, J. Vanderzalm, and S. Beecham</t>
        </is>
      </c>
      <c r="BS404" t="n">
        <v>191324.0</v>
      </c>
      <c r="BT404" t="inlineStr">
        <is>
          <t>Application of Native Plants in Constructed Floating Wetlands as a Passive Remediation Approach for PFAS-Impacted Surface Water</t>
        </is>
      </c>
      <c r="BU404" t="inlineStr">
        <is>
          <t>J. Hazard. Mater.429:11 p.</t>
        </is>
      </c>
      <c r="BV404" t="n">
        <v>2022.0</v>
      </c>
      <c r="BW40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5">
      <c r="A405" t="n">
        <v>2795393.0</v>
      </c>
      <c r="B405" t="inlineStr">
        <is>
          <t>1,1,2,2,3,3,4,4,5,5,6,6,7,7,8,8,8-Heptadecafluoro-1-octanesulfonic acid potassium salt</t>
        </is>
      </c>
      <c r="C405"/>
      <c r="D405" t="inlineStr">
        <is>
          <t>Chemical analysis reported</t>
        </is>
      </c>
      <c r="E405" t="inlineStr">
        <is>
          <t>&gt;=</t>
        </is>
      </c>
      <c r="F405" t="n">
        <v>98.0</v>
      </c>
      <c r="G405"/>
      <c r="H405"/>
      <c r="I405"/>
      <c r="J405"/>
      <c r="K405" t="inlineStr">
        <is>
          <t>Phragmites australis</t>
        </is>
      </c>
      <c r="L405" t="inlineStr">
        <is>
          <t>Grass</t>
        </is>
      </c>
      <c r="M405" t="inlineStr">
        <is>
          <t>Flowers, Trees, Shrubs, Ferns; U.S. Invasive Species</t>
        </is>
      </c>
      <c r="N405"/>
      <c r="O405"/>
      <c r="P405"/>
      <c r="Q405"/>
      <c r="R405"/>
      <c r="S405"/>
      <c r="T405"/>
      <c r="U405"/>
      <c r="V405" t="inlineStr">
        <is>
          <t>Hydroponic</t>
        </is>
      </c>
      <c r="W405" t="inlineStr">
        <is>
          <t>Hydroponic</t>
        </is>
      </c>
      <c r="X405" t="inlineStr">
        <is>
          <t>Lab</t>
        </is>
      </c>
      <c r="Y405" t="n">
        <v>3.0</v>
      </c>
      <c r="Z405" t="inlineStr">
        <is>
          <t>Active ingredient</t>
        </is>
      </c>
      <c r="AA405"/>
      <c r="AB405" t="n">
        <v>30.0</v>
      </c>
      <c r="AC405"/>
      <c r="AD405"/>
      <c r="AE405"/>
      <c r="AF405"/>
      <c r="AG405" t="inlineStr">
        <is>
          <t>ug/L</t>
        </is>
      </c>
      <c r="AH405"/>
      <c r="AI405"/>
      <c r="AJ405"/>
      <c r="AK405"/>
      <c r="AL405"/>
      <c r="AM405"/>
      <c r="AN405"/>
      <c r="AO405"/>
      <c r="AP405"/>
      <c r="AQ405"/>
      <c r="AR405"/>
      <c r="AS405"/>
      <c r="AT405"/>
      <c r="AU405"/>
      <c r="AV405"/>
      <c r="AW405"/>
      <c r="AX405" t="inlineStr">
        <is>
          <t>Accumulation</t>
        </is>
      </c>
      <c r="AY405" t="inlineStr">
        <is>
          <t>Residue</t>
        </is>
      </c>
      <c r="AZ405" t="inlineStr">
        <is>
          <t>BAF</t>
        </is>
      </c>
      <c r="BA405"/>
      <c r="BB405" t="n">
        <v>3.43</v>
      </c>
      <c r="BC405"/>
      <c r="BD405"/>
      <c r="BE405"/>
      <c r="BF405"/>
      <c r="BG405"/>
      <c r="BH405"/>
      <c r="BI405" t="inlineStr">
        <is>
          <t>L/kg</t>
        </is>
      </c>
      <c r="BJ405" t="inlineStr">
        <is>
          <t>Shoot</t>
        </is>
      </c>
      <c r="BK405"/>
      <c r="BL405" t="n">
        <v>7.0</v>
      </c>
      <c r="BM405"/>
      <c r="BN405"/>
      <c r="BO405"/>
      <c r="BP405"/>
      <c r="BQ405" t="inlineStr">
        <is>
          <t>Day(s)</t>
        </is>
      </c>
      <c r="BR405" t="inlineStr">
        <is>
          <t>Awad,J., G. Brunetti, A. Juhasz, M. Williams, D. Navarro, B. Drigo, J. Bougoure, J. Vanderzalm, and S. Beecham</t>
        </is>
      </c>
      <c r="BS405" t="n">
        <v>191324.0</v>
      </c>
      <c r="BT405" t="inlineStr">
        <is>
          <t>Application of Native Plants in Constructed Floating Wetlands as a Passive Remediation Approach for PFAS-Impacted Surface Water</t>
        </is>
      </c>
      <c r="BU405" t="inlineStr">
        <is>
          <t>J. Hazard. Mater.429:11 p.</t>
        </is>
      </c>
      <c r="BV405" t="n">
        <v>2022.0</v>
      </c>
      <c r="BW40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6">
      <c r="A406" t="n">
        <v>2795393.0</v>
      </c>
      <c r="B406" t="inlineStr">
        <is>
          <t>1,1,2,2,3,3,4,4,5,5,6,6,7,7,8,8,8-Heptadecafluoro-1-octanesulfonic acid potassium salt</t>
        </is>
      </c>
      <c r="C406"/>
      <c r="D406" t="inlineStr">
        <is>
          <t>Chemical analysis reported</t>
        </is>
      </c>
      <c r="E406" t="inlineStr">
        <is>
          <t>&gt;=</t>
        </is>
      </c>
      <c r="F406" t="n">
        <v>98.0</v>
      </c>
      <c r="G406"/>
      <c r="H406"/>
      <c r="I406"/>
      <c r="J406"/>
      <c r="K406" t="inlineStr">
        <is>
          <t>Phragmites australis</t>
        </is>
      </c>
      <c r="L406" t="inlineStr">
        <is>
          <t>Grass</t>
        </is>
      </c>
      <c r="M406" t="inlineStr">
        <is>
          <t>Flowers, Trees, Shrubs, Ferns; U.S. Invasive Species</t>
        </is>
      </c>
      <c r="N406"/>
      <c r="O406"/>
      <c r="P406"/>
      <c r="Q406"/>
      <c r="R406"/>
      <c r="S406"/>
      <c r="T406"/>
      <c r="U406"/>
      <c r="V406" t="inlineStr">
        <is>
          <t>Hydroponic</t>
        </is>
      </c>
      <c r="W406" t="inlineStr">
        <is>
          <t>Hydroponic</t>
        </is>
      </c>
      <c r="X406" t="inlineStr">
        <is>
          <t>Lab</t>
        </is>
      </c>
      <c r="Y406" t="n">
        <v>3.0</v>
      </c>
      <c r="Z406" t="inlineStr">
        <is>
          <t>Active ingredient</t>
        </is>
      </c>
      <c r="AA406"/>
      <c r="AB406" t="n">
        <v>30.0</v>
      </c>
      <c r="AC406"/>
      <c r="AD406"/>
      <c r="AE406"/>
      <c r="AF406"/>
      <c r="AG406" t="inlineStr">
        <is>
          <t>ug/L</t>
        </is>
      </c>
      <c r="AH406"/>
      <c r="AI406"/>
      <c r="AJ406"/>
      <c r="AK406"/>
      <c r="AL406"/>
      <c r="AM406"/>
      <c r="AN406"/>
      <c r="AO406"/>
      <c r="AP406"/>
      <c r="AQ406"/>
      <c r="AR406"/>
      <c r="AS406"/>
      <c r="AT406"/>
      <c r="AU406"/>
      <c r="AV406"/>
      <c r="AW406"/>
      <c r="AX406" t="inlineStr">
        <is>
          <t>Accumulation</t>
        </is>
      </c>
      <c r="AY406" t="inlineStr">
        <is>
          <t>Residue</t>
        </is>
      </c>
      <c r="AZ406" t="inlineStr">
        <is>
          <t>BAF</t>
        </is>
      </c>
      <c r="BA406"/>
      <c r="BB406" t="n">
        <v>13.72</v>
      </c>
      <c r="BC406"/>
      <c r="BD406"/>
      <c r="BE406"/>
      <c r="BF406"/>
      <c r="BG406"/>
      <c r="BH406"/>
      <c r="BI406" t="inlineStr">
        <is>
          <t>L/kg</t>
        </is>
      </c>
      <c r="BJ406" t="inlineStr">
        <is>
          <t>Whole organism</t>
        </is>
      </c>
      <c r="BK406"/>
      <c r="BL406" t="n">
        <v>7.0</v>
      </c>
      <c r="BM406"/>
      <c r="BN406"/>
      <c r="BO406"/>
      <c r="BP406"/>
      <c r="BQ406" t="inlineStr">
        <is>
          <t>Day(s)</t>
        </is>
      </c>
      <c r="BR406" t="inlineStr">
        <is>
          <t>Awad,J., G. Brunetti, A. Juhasz, M. Williams, D. Navarro, B. Drigo, J. Bougoure, J. Vanderzalm, and S. Beecham</t>
        </is>
      </c>
      <c r="BS406" t="n">
        <v>191324.0</v>
      </c>
      <c r="BT406" t="inlineStr">
        <is>
          <t>Application of Native Plants in Constructed Floating Wetlands as a Passive Remediation Approach for PFAS-Impacted Surface Water</t>
        </is>
      </c>
      <c r="BU406" t="inlineStr">
        <is>
          <t>J. Hazard. Mater.429:11 p.</t>
        </is>
      </c>
      <c r="BV406" t="n">
        <v>2022.0</v>
      </c>
      <c r="BW40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7">
      <c r="A407" t="n">
        <v>2795393.0</v>
      </c>
      <c r="B407" t="inlineStr">
        <is>
          <t>1,1,2,2,3,3,4,4,5,5,6,6,7,7,8,8,8-Heptadecafluoro-1-octanesulfonic acid potassium salt</t>
        </is>
      </c>
      <c r="C407"/>
      <c r="D407" t="inlineStr">
        <is>
          <t>Chemical analysis reported</t>
        </is>
      </c>
      <c r="E407" t="inlineStr">
        <is>
          <t>&gt;=</t>
        </is>
      </c>
      <c r="F407" t="n">
        <v>98.0</v>
      </c>
      <c r="G407"/>
      <c r="H407"/>
      <c r="I407"/>
      <c r="J407"/>
      <c r="K407" t="inlineStr">
        <is>
          <t>Phragmites australis</t>
        </is>
      </c>
      <c r="L407" t="inlineStr">
        <is>
          <t>Grass</t>
        </is>
      </c>
      <c r="M407" t="inlineStr">
        <is>
          <t>Flowers, Trees, Shrubs, Ferns; U.S. Invasive Species</t>
        </is>
      </c>
      <c r="N407"/>
      <c r="O407"/>
      <c r="P407"/>
      <c r="Q407"/>
      <c r="R407"/>
      <c r="S407"/>
      <c r="T407"/>
      <c r="U407"/>
      <c r="V407" t="inlineStr">
        <is>
          <t>Hydroponic</t>
        </is>
      </c>
      <c r="W407" t="inlineStr">
        <is>
          <t>Hydroponic</t>
        </is>
      </c>
      <c r="X407" t="inlineStr">
        <is>
          <t>Lab</t>
        </is>
      </c>
      <c r="Y407" t="n">
        <v>3.0</v>
      </c>
      <c r="Z407" t="inlineStr">
        <is>
          <t>Active ingredient</t>
        </is>
      </c>
      <c r="AA407"/>
      <c r="AB407" t="n">
        <v>10.0</v>
      </c>
      <c r="AC407"/>
      <c r="AD407"/>
      <c r="AE407"/>
      <c r="AF407"/>
      <c r="AG407" t="inlineStr">
        <is>
          <t>ug/L</t>
        </is>
      </c>
      <c r="AH407"/>
      <c r="AI407"/>
      <c r="AJ407"/>
      <c r="AK407"/>
      <c r="AL407"/>
      <c r="AM407"/>
      <c r="AN407"/>
      <c r="AO407"/>
      <c r="AP407"/>
      <c r="AQ407"/>
      <c r="AR407"/>
      <c r="AS407"/>
      <c r="AT407"/>
      <c r="AU407"/>
      <c r="AV407"/>
      <c r="AW407"/>
      <c r="AX407" t="inlineStr">
        <is>
          <t>Accumulation</t>
        </is>
      </c>
      <c r="AY407" t="inlineStr">
        <is>
          <t>Residue</t>
        </is>
      </c>
      <c r="AZ407" t="inlineStr">
        <is>
          <t>BAF</t>
        </is>
      </c>
      <c r="BA407"/>
      <c r="BB407" t="n">
        <v>25.1</v>
      </c>
      <c r="BC407"/>
      <c r="BD407"/>
      <c r="BE407"/>
      <c r="BF407"/>
      <c r="BG407"/>
      <c r="BH407"/>
      <c r="BI407" t="inlineStr">
        <is>
          <t>L/kg</t>
        </is>
      </c>
      <c r="BJ407" t="inlineStr">
        <is>
          <t>Root</t>
        </is>
      </c>
      <c r="BK407"/>
      <c r="BL407" t="n">
        <v>4.0</v>
      </c>
      <c r="BM407"/>
      <c r="BN407"/>
      <c r="BO407"/>
      <c r="BP407"/>
      <c r="BQ407" t="inlineStr">
        <is>
          <t>Day(s)</t>
        </is>
      </c>
      <c r="BR407" t="inlineStr">
        <is>
          <t>Awad,J., G. Brunetti, A. Juhasz, M. Williams, D. Navarro, B. Drigo, J. Bougoure, J. Vanderzalm, and S. Beecham</t>
        </is>
      </c>
      <c r="BS407" t="n">
        <v>191324.0</v>
      </c>
      <c r="BT407" t="inlineStr">
        <is>
          <t>Application of Native Plants in Constructed Floating Wetlands as a Passive Remediation Approach for PFAS-Impacted Surface Water</t>
        </is>
      </c>
      <c r="BU407" t="inlineStr">
        <is>
          <t>J. Hazard. Mater.429:11 p.</t>
        </is>
      </c>
      <c r="BV407" t="n">
        <v>2022.0</v>
      </c>
      <c r="BW40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8">
      <c r="A408" t="n">
        <v>2795393.0</v>
      </c>
      <c r="B408" t="inlineStr">
        <is>
          <t>1,1,2,2,3,3,4,4,5,5,6,6,7,7,8,8,8-Heptadecafluoro-1-octanesulfonic acid potassium salt</t>
        </is>
      </c>
      <c r="C408"/>
      <c r="D408" t="inlineStr">
        <is>
          <t>Chemical analysis reported</t>
        </is>
      </c>
      <c r="E408" t="inlineStr">
        <is>
          <t>&gt;=</t>
        </is>
      </c>
      <c r="F408" t="n">
        <v>98.0</v>
      </c>
      <c r="G408"/>
      <c r="H408"/>
      <c r="I408"/>
      <c r="J408"/>
      <c r="K408" t="inlineStr">
        <is>
          <t>Phragmites australis</t>
        </is>
      </c>
      <c r="L408" t="inlineStr">
        <is>
          <t>Grass</t>
        </is>
      </c>
      <c r="M408" t="inlineStr">
        <is>
          <t>Flowers, Trees, Shrubs, Ferns; U.S. Invasive Species</t>
        </is>
      </c>
      <c r="N408"/>
      <c r="O408"/>
      <c r="P408"/>
      <c r="Q408"/>
      <c r="R408"/>
      <c r="S408"/>
      <c r="T408"/>
      <c r="U408"/>
      <c r="V408" t="inlineStr">
        <is>
          <t>Hydroponic</t>
        </is>
      </c>
      <c r="W408" t="inlineStr">
        <is>
          <t>Hydroponic</t>
        </is>
      </c>
      <c r="X408" t="inlineStr">
        <is>
          <t>Lab</t>
        </is>
      </c>
      <c r="Y408" t="n">
        <v>3.0</v>
      </c>
      <c r="Z408" t="inlineStr">
        <is>
          <t>Active ingredient</t>
        </is>
      </c>
      <c r="AA408"/>
      <c r="AB408" t="n">
        <v>10.0</v>
      </c>
      <c r="AC408"/>
      <c r="AD408"/>
      <c r="AE408"/>
      <c r="AF408"/>
      <c r="AG408" t="inlineStr">
        <is>
          <t>ug/L</t>
        </is>
      </c>
      <c r="AH408"/>
      <c r="AI408"/>
      <c r="AJ408"/>
      <c r="AK408"/>
      <c r="AL408"/>
      <c r="AM408"/>
      <c r="AN408"/>
      <c r="AO408"/>
      <c r="AP408"/>
      <c r="AQ408"/>
      <c r="AR408"/>
      <c r="AS408"/>
      <c r="AT408"/>
      <c r="AU408"/>
      <c r="AV408"/>
      <c r="AW408"/>
      <c r="AX408" t="inlineStr">
        <is>
          <t>Accumulation</t>
        </is>
      </c>
      <c r="AY408" t="inlineStr">
        <is>
          <t>Residue</t>
        </is>
      </c>
      <c r="AZ408" t="inlineStr">
        <is>
          <t>BAF</t>
        </is>
      </c>
      <c r="BA408"/>
      <c r="BB408" t="n">
        <v>14.8</v>
      </c>
      <c r="BC408"/>
      <c r="BD408"/>
      <c r="BE408"/>
      <c r="BF408"/>
      <c r="BG408"/>
      <c r="BH408"/>
      <c r="BI408" t="inlineStr">
        <is>
          <t>L/kg</t>
        </is>
      </c>
      <c r="BJ408" t="inlineStr">
        <is>
          <t>Whole organism</t>
        </is>
      </c>
      <c r="BK408"/>
      <c r="BL408" t="n">
        <v>28.0</v>
      </c>
      <c r="BM408"/>
      <c r="BN408"/>
      <c r="BO408"/>
      <c r="BP408"/>
      <c r="BQ408" t="inlineStr">
        <is>
          <t>Day(s)</t>
        </is>
      </c>
      <c r="BR408" t="inlineStr">
        <is>
          <t>Awad,J., G. Brunetti, A. Juhasz, M. Williams, D. Navarro, B. Drigo, J. Bougoure, J. Vanderzalm, and S. Beecham</t>
        </is>
      </c>
      <c r="BS408" t="n">
        <v>191324.0</v>
      </c>
      <c r="BT408" t="inlineStr">
        <is>
          <t>Application of Native Plants in Constructed Floating Wetlands as a Passive Remediation Approach for PFAS-Impacted Surface Water</t>
        </is>
      </c>
      <c r="BU408" t="inlineStr">
        <is>
          <t>J. Hazard. Mater.429:11 p.</t>
        </is>
      </c>
      <c r="BV408" t="n">
        <v>2022.0</v>
      </c>
      <c r="BW40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9">
      <c r="A409" t="n">
        <v>2795393.0</v>
      </c>
      <c r="B409" t="inlineStr">
        <is>
          <t>1,1,2,2,3,3,4,4,5,5,6,6,7,7,8,8,8-Heptadecafluoro-1-octanesulfonic acid potassium salt</t>
        </is>
      </c>
      <c r="C409"/>
      <c r="D409" t="inlineStr">
        <is>
          <t>Chemical analysis reported</t>
        </is>
      </c>
      <c r="E409" t="inlineStr">
        <is>
          <t>&gt;=</t>
        </is>
      </c>
      <c r="F409" t="n">
        <v>98.0</v>
      </c>
      <c r="G409"/>
      <c r="H409"/>
      <c r="I409"/>
      <c r="J409"/>
      <c r="K409" t="inlineStr">
        <is>
          <t>Phragmites australis</t>
        </is>
      </c>
      <c r="L409" t="inlineStr">
        <is>
          <t>Grass</t>
        </is>
      </c>
      <c r="M409" t="inlineStr">
        <is>
          <t>Flowers, Trees, Shrubs, Ferns; U.S. Invasive Species</t>
        </is>
      </c>
      <c r="N409"/>
      <c r="O409"/>
      <c r="P409"/>
      <c r="Q409"/>
      <c r="R409"/>
      <c r="S409"/>
      <c r="T409"/>
      <c r="U409"/>
      <c r="V409" t="inlineStr">
        <is>
          <t>Hydroponic</t>
        </is>
      </c>
      <c r="W409" t="inlineStr">
        <is>
          <t>Hydroponic</t>
        </is>
      </c>
      <c r="X409" t="inlineStr">
        <is>
          <t>Lab</t>
        </is>
      </c>
      <c r="Y409" t="n">
        <v>3.0</v>
      </c>
      <c r="Z409" t="inlineStr">
        <is>
          <t>Active ingredient</t>
        </is>
      </c>
      <c r="AA409"/>
      <c r="AB409" t="n">
        <v>10.0</v>
      </c>
      <c r="AC409"/>
      <c r="AD409"/>
      <c r="AE409"/>
      <c r="AF409"/>
      <c r="AG409" t="inlineStr">
        <is>
          <t>ug/L</t>
        </is>
      </c>
      <c r="AH409"/>
      <c r="AI409"/>
      <c r="AJ409"/>
      <c r="AK409"/>
      <c r="AL409"/>
      <c r="AM409"/>
      <c r="AN409"/>
      <c r="AO409"/>
      <c r="AP409"/>
      <c r="AQ409"/>
      <c r="AR409"/>
      <c r="AS409"/>
      <c r="AT409"/>
      <c r="AU409"/>
      <c r="AV409"/>
      <c r="AW409"/>
      <c r="AX409" t="inlineStr">
        <is>
          <t>Accumulation</t>
        </is>
      </c>
      <c r="AY409" t="inlineStr">
        <is>
          <t>Residue</t>
        </is>
      </c>
      <c r="AZ409" t="inlineStr">
        <is>
          <t>BAF</t>
        </is>
      </c>
      <c r="BA409"/>
      <c r="BB409" t="n">
        <v>2.1</v>
      </c>
      <c r="BC409"/>
      <c r="BD409"/>
      <c r="BE409"/>
      <c r="BF409"/>
      <c r="BG409"/>
      <c r="BH409"/>
      <c r="BI409" t="inlineStr">
        <is>
          <t>L/kg</t>
        </is>
      </c>
      <c r="BJ409" t="inlineStr">
        <is>
          <t>Shoot</t>
        </is>
      </c>
      <c r="BK409"/>
      <c r="BL409" t="n">
        <v>4.0</v>
      </c>
      <c r="BM409"/>
      <c r="BN409"/>
      <c r="BO409"/>
      <c r="BP409"/>
      <c r="BQ409" t="inlineStr">
        <is>
          <t>Day(s)</t>
        </is>
      </c>
      <c r="BR409" t="inlineStr">
        <is>
          <t>Awad,J., G. Brunetti, A. Juhasz, M. Williams, D. Navarro, B. Drigo, J. Bougoure, J. Vanderzalm, and S. Beecham</t>
        </is>
      </c>
      <c r="BS409" t="n">
        <v>191324.0</v>
      </c>
      <c r="BT409" t="inlineStr">
        <is>
          <t>Application of Native Plants in Constructed Floating Wetlands as a Passive Remediation Approach for PFAS-Impacted Surface Water</t>
        </is>
      </c>
      <c r="BU409" t="inlineStr">
        <is>
          <t>J. Hazard. Mater.429:11 p.</t>
        </is>
      </c>
      <c r="BV409" t="n">
        <v>2022.0</v>
      </c>
      <c r="BW40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0">
      <c r="A410" t="n">
        <v>2795393.0</v>
      </c>
      <c r="B410" t="inlineStr">
        <is>
          <t>1,1,2,2,3,3,4,4,5,5,6,6,7,7,8,8,8-Heptadecafluoro-1-octanesulfonic acid potassium salt</t>
        </is>
      </c>
      <c r="C410"/>
      <c r="D410" t="inlineStr">
        <is>
          <t>Chemical analysis reported</t>
        </is>
      </c>
      <c r="E410" t="inlineStr">
        <is>
          <t>&gt;=</t>
        </is>
      </c>
      <c r="F410" t="n">
        <v>98.0</v>
      </c>
      <c r="G410"/>
      <c r="H410"/>
      <c r="I410"/>
      <c r="J410"/>
      <c r="K410" t="inlineStr">
        <is>
          <t>Phragmites australis</t>
        </is>
      </c>
      <c r="L410" t="inlineStr">
        <is>
          <t>Grass</t>
        </is>
      </c>
      <c r="M410" t="inlineStr">
        <is>
          <t>Flowers, Trees, Shrubs, Ferns; U.S. Invasive Species</t>
        </is>
      </c>
      <c r="N410"/>
      <c r="O410"/>
      <c r="P410"/>
      <c r="Q410"/>
      <c r="R410"/>
      <c r="S410"/>
      <c r="T410"/>
      <c r="U410"/>
      <c r="V410" t="inlineStr">
        <is>
          <t>Hydroponic</t>
        </is>
      </c>
      <c r="W410" t="inlineStr">
        <is>
          <t>Hydroponic</t>
        </is>
      </c>
      <c r="X410" t="inlineStr">
        <is>
          <t>Lab</t>
        </is>
      </c>
      <c r="Y410" t="n">
        <v>3.0</v>
      </c>
      <c r="Z410" t="inlineStr">
        <is>
          <t>Active ingredient</t>
        </is>
      </c>
      <c r="AA410"/>
      <c r="AB410" t="n">
        <v>10.0</v>
      </c>
      <c r="AC410"/>
      <c r="AD410"/>
      <c r="AE410"/>
      <c r="AF410"/>
      <c r="AG410" t="inlineStr">
        <is>
          <t>ug/L</t>
        </is>
      </c>
      <c r="AH410"/>
      <c r="AI410"/>
      <c r="AJ410"/>
      <c r="AK410"/>
      <c r="AL410"/>
      <c r="AM410"/>
      <c r="AN410"/>
      <c r="AO410"/>
      <c r="AP410"/>
      <c r="AQ410"/>
      <c r="AR410"/>
      <c r="AS410"/>
      <c r="AT410"/>
      <c r="AU410"/>
      <c r="AV410"/>
      <c r="AW410"/>
      <c r="AX410" t="inlineStr">
        <is>
          <t>Accumulation</t>
        </is>
      </c>
      <c r="AY410" t="inlineStr">
        <is>
          <t>Residue</t>
        </is>
      </c>
      <c r="AZ410" t="inlineStr">
        <is>
          <t>BAF</t>
        </is>
      </c>
      <c r="BA410"/>
      <c r="BB410" t="n">
        <v>6.3</v>
      </c>
      <c r="BC410"/>
      <c r="BD410"/>
      <c r="BE410"/>
      <c r="BF410"/>
      <c r="BG410"/>
      <c r="BH410"/>
      <c r="BI410" t="inlineStr">
        <is>
          <t>L/kg</t>
        </is>
      </c>
      <c r="BJ410" t="inlineStr">
        <is>
          <t>Shoot</t>
        </is>
      </c>
      <c r="BK410"/>
      <c r="BL410" t="n">
        <v>14.0</v>
      </c>
      <c r="BM410"/>
      <c r="BN410"/>
      <c r="BO410"/>
      <c r="BP410"/>
      <c r="BQ410" t="inlineStr">
        <is>
          <t>Day(s)</t>
        </is>
      </c>
      <c r="BR410" t="inlineStr">
        <is>
          <t>Awad,J., G. Brunetti, A. Juhasz, M. Williams, D. Navarro, B. Drigo, J. Bougoure, J. Vanderzalm, and S. Beecham</t>
        </is>
      </c>
      <c r="BS410" t="n">
        <v>191324.0</v>
      </c>
      <c r="BT410" t="inlineStr">
        <is>
          <t>Application of Native Plants in Constructed Floating Wetlands as a Passive Remediation Approach for PFAS-Impacted Surface Water</t>
        </is>
      </c>
      <c r="BU410" t="inlineStr">
        <is>
          <t>J. Hazard. Mater.429:11 p.</t>
        </is>
      </c>
      <c r="BV410" t="n">
        <v>2022.0</v>
      </c>
      <c r="BW41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1">
      <c r="A411" t="n">
        <v>2795393.0</v>
      </c>
      <c r="B411" t="inlineStr">
        <is>
          <t>1,1,2,2,3,3,4,4,5,5,6,6,7,7,8,8,8-Heptadecafluoro-1-octanesulfonic acid potassium salt</t>
        </is>
      </c>
      <c r="C411"/>
      <c r="D411" t="inlineStr">
        <is>
          <t>Chemical analysis reported</t>
        </is>
      </c>
      <c r="E411" t="inlineStr">
        <is>
          <t>&gt;=</t>
        </is>
      </c>
      <c r="F411" t="n">
        <v>98.0</v>
      </c>
      <c r="G411"/>
      <c r="H411"/>
      <c r="I411"/>
      <c r="J411"/>
      <c r="K411" t="inlineStr">
        <is>
          <t>Phragmites australis</t>
        </is>
      </c>
      <c r="L411" t="inlineStr">
        <is>
          <t>Grass</t>
        </is>
      </c>
      <c r="M411" t="inlineStr">
        <is>
          <t>Flowers, Trees, Shrubs, Ferns; U.S. Invasive Species</t>
        </is>
      </c>
      <c r="N411"/>
      <c r="O411"/>
      <c r="P411"/>
      <c r="Q411"/>
      <c r="R411"/>
      <c r="S411"/>
      <c r="T411"/>
      <c r="U411"/>
      <c r="V411" t="inlineStr">
        <is>
          <t>Hydroponic</t>
        </is>
      </c>
      <c r="W411" t="inlineStr">
        <is>
          <t>Hydroponic</t>
        </is>
      </c>
      <c r="X411" t="inlineStr">
        <is>
          <t>Lab</t>
        </is>
      </c>
      <c r="Y411" t="n">
        <v>3.0</v>
      </c>
      <c r="Z411" t="inlineStr">
        <is>
          <t>Active ingredient</t>
        </is>
      </c>
      <c r="AA411"/>
      <c r="AB411" t="n">
        <v>30.0</v>
      </c>
      <c r="AC411"/>
      <c r="AD411"/>
      <c r="AE411"/>
      <c r="AF411"/>
      <c r="AG411" t="inlineStr">
        <is>
          <t>ug/L</t>
        </is>
      </c>
      <c r="AH411"/>
      <c r="AI411"/>
      <c r="AJ411"/>
      <c r="AK411"/>
      <c r="AL411"/>
      <c r="AM411"/>
      <c r="AN411"/>
      <c r="AO411"/>
      <c r="AP411"/>
      <c r="AQ411"/>
      <c r="AR411"/>
      <c r="AS411"/>
      <c r="AT411"/>
      <c r="AU411"/>
      <c r="AV411"/>
      <c r="AW411"/>
      <c r="AX411" t="inlineStr">
        <is>
          <t>Accumulation</t>
        </is>
      </c>
      <c r="AY411" t="inlineStr">
        <is>
          <t>Residue</t>
        </is>
      </c>
      <c r="AZ411" t="inlineStr">
        <is>
          <t>BAF</t>
        </is>
      </c>
      <c r="BA411"/>
      <c r="BB411" t="n">
        <v>24.93</v>
      </c>
      <c r="BC411"/>
      <c r="BD411"/>
      <c r="BE411"/>
      <c r="BF411"/>
      <c r="BG411"/>
      <c r="BH411"/>
      <c r="BI411" t="inlineStr">
        <is>
          <t>L/kg</t>
        </is>
      </c>
      <c r="BJ411" t="inlineStr">
        <is>
          <t>Root</t>
        </is>
      </c>
      <c r="BK411"/>
      <c r="BL411" t="n">
        <v>1.0</v>
      </c>
      <c r="BM411"/>
      <c r="BN411"/>
      <c r="BO411"/>
      <c r="BP411"/>
      <c r="BQ411" t="inlineStr">
        <is>
          <t>Day(s)</t>
        </is>
      </c>
      <c r="BR411" t="inlineStr">
        <is>
          <t>Awad,J., G. Brunetti, A. Juhasz, M. Williams, D. Navarro, B. Drigo, J. Bougoure, J. Vanderzalm, and S. Beecham</t>
        </is>
      </c>
      <c r="BS411" t="n">
        <v>191324.0</v>
      </c>
      <c r="BT411" t="inlineStr">
        <is>
          <t>Application of Native Plants in Constructed Floating Wetlands as a Passive Remediation Approach for PFAS-Impacted Surface Water</t>
        </is>
      </c>
      <c r="BU411" t="inlineStr">
        <is>
          <t>J. Hazard. Mater.429:11 p.</t>
        </is>
      </c>
      <c r="BV411" t="n">
        <v>2022.0</v>
      </c>
      <c r="BW41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2">
      <c r="A412" t="n">
        <v>2795393.0</v>
      </c>
      <c r="B412" t="inlineStr">
        <is>
          <t>1,1,2,2,3,3,4,4,5,5,6,6,7,7,8,8,8-Heptadecafluoro-1-octanesulfonic acid potassium salt</t>
        </is>
      </c>
      <c r="C412"/>
      <c r="D412" t="inlineStr">
        <is>
          <t>Chemical analysis reported</t>
        </is>
      </c>
      <c r="E412" t="inlineStr">
        <is>
          <t>&gt;=</t>
        </is>
      </c>
      <c r="F412" t="n">
        <v>98.0</v>
      </c>
      <c r="G412"/>
      <c r="H412"/>
      <c r="I412"/>
      <c r="J412"/>
      <c r="K412" t="inlineStr">
        <is>
          <t>Phragmites australis</t>
        </is>
      </c>
      <c r="L412" t="inlineStr">
        <is>
          <t>Grass</t>
        </is>
      </c>
      <c r="M412" t="inlineStr">
        <is>
          <t>Flowers, Trees, Shrubs, Ferns; U.S. Invasive Species</t>
        </is>
      </c>
      <c r="N412"/>
      <c r="O412"/>
      <c r="P412"/>
      <c r="Q412"/>
      <c r="R412"/>
      <c r="S412"/>
      <c r="T412"/>
      <c r="U412"/>
      <c r="V412" t="inlineStr">
        <is>
          <t>Hydroponic</t>
        </is>
      </c>
      <c r="W412" t="inlineStr">
        <is>
          <t>Hydroponic</t>
        </is>
      </c>
      <c r="X412" t="inlineStr">
        <is>
          <t>Lab</t>
        </is>
      </c>
      <c r="Y412" t="n">
        <v>3.0</v>
      </c>
      <c r="Z412" t="inlineStr">
        <is>
          <t>Active ingredient</t>
        </is>
      </c>
      <c r="AA412"/>
      <c r="AB412" t="n">
        <v>30.0</v>
      </c>
      <c r="AC412"/>
      <c r="AD412"/>
      <c r="AE412"/>
      <c r="AF412"/>
      <c r="AG412" t="inlineStr">
        <is>
          <t>ug/L</t>
        </is>
      </c>
      <c r="AH412"/>
      <c r="AI412"/>
      <c r="AJ412"/>
      <c r="AK412"/>
      <c r="AL412"/>
      <c r="AM412"/>
      <c r="AN412"/>
      <c r="AO412"/>
      <c r="AP412"/>
      <c r="AQ412"/>
      <c r="AR412"/>
      <c r="AS412"/>
      <c r="AT412"/>
      <c r="AU412"/>
      <c r="AV412"/>
      <c r="AW412"/>
      <c r="AX412" t="inlineStr">
        <is>
          <t>Accumulation</t>
        </is>
      </c>
      <c r="AY412" t="inlineStr">
        <is>
          <t>Residue</t>
        </is>
      </c>
      <c r="AZ412" t="inlineStr">
        <is>
          <t>BAF</t>
        </is>
      </c>
      <c r="BA412"/>
      <c r="BB412" t="n">
        <v>4.2</v>
      </c>
      <c r="BC412"/>
      <c r="BD412"/>
      <c r="BE412"/>
      <c r="BF412"/>
      <c r="BG412"/>
      <c r="BH412"/>
      <c r="BI412" t="inlineStr">
        <is>
          <t>L/kg</t>
        </is>
      </c>
      <c r="BJ412" t="inlineStr">
        <is>
          <t>Shoot</t>
        </is>
      </c>
      <c r="BK412"/>
      <c r="BL412" t="n">
        <v>14.0</v>
      </c>
      <c r="BM412"/>
      <c r="BN412"/>
      <c r="BO412"/>
      <c r="BP412"/>
      <c r="BQ412" t="inlineStr">
        <is>
          <t>Day(s)</t>
        </is>
      </c>
      <c r="BR412" t="inlineStr">
        <is>
          <t>Awad,J., G. Brunetti, A. Juhasz, M. Williams, D. Navarro, B. Drigo, J. Bougoure, J. Vanderzalm, and S. Beecham</t>
        </is>
      </c>
      <c r="BS412" t="n">
        <v>191324.0</v>
      </c>
      <c r="BT412" t="inlineStr">
        <is>
          <t>Application of Native Plants in Constructed Floating Wetlands as a Passive Remediation Approach for PFAS-Impacted Surface Water</t>
        </is>
      </c>
      <c r="BU412" t="inlineStr">
        <is>
          <t>J. Hazard. Mater.429:11 p.</t>
        </is>
      </c>
      <c r="BV412" t="n">
        <v>2022.0</v>
      </c>
      <c r="BW41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3">
      <c r="A413" t="n">
        <v>2795393.0</v>
      </c>
      <c r="B413" t="inlineStr">
        <is>
          <t>1,1,2,2,3,3,4,4,5,5,6,6,7,7,8,8,8-Heptadecafluoro-1-octanesulfonic acid potassium salt</t>
        </is>
      </c>
      <c r="C413"/>
      <c r="D413" t="inlineStr">
        <is>
          <t>Chemical analysis reported</t>
        </is>
      </c>
      <c r="E413" t="inlineStr">
        <is>
          <t>&gt;=</t>
        </is>
      </c>
      <c r="F413" t="n">
        <v>98.0</v>
      </c>
      <c r="G413"/>
      <c r="H413"/>
      <c r="I413"/>
      <c r="J413"/>
      <c r="K413" t="inlineStr">
        <is>
          <t>Phragmites australis</t>
        </is>
      </c>
      <c r="L413" t="inlineStr">
        <is>
          <t>Grass</t>
        </is>
      </c>
      <c r="M413" t="inlineStr">
        <is>
          <t>Flowers, Trees, Shrubs, Ferns; U.S. Invasive Species</t>
        </is>
      </c>
      <c r="N413"/>
      <c r="O413"/>
      <c r="P413"/>
      <c r="Q413"/>
      <c r="R413"/>
      <c r="S413"/>
      <c r="T413"/>
      <c r="U413"/>
      <c r="V413" t="inlineStr">
        <is>
          <t>Hydroponic</t>
        </is>
      </c>
      <c r="W413" t="inlineStr">
        <is>
          <t>Hydroponic</t>
        </is>
      </c>
      <c r="X413" t="inlineStr">
        <is>
          <t>Lab</t>
        </is>
      </c>
      <c r="Y413" t="n">
        <v>3.0</v>
      </c>
      <c r="Z413" t="inlineStr">
        <is>
          <t>Active ingredient</t>
        </is>
      </c>
      <c r="AA413"/>
      <c r="AB413" t="n">
        <v>30.0</v>
      </c>
      <c r="AC413"/>
      <c r="AD413"/>
      <c r="AE413"/>
      <c r="AF413"/>
      <c r="AG413" t="inlineStr">
        <is>
          <t>ug/L</t>
        </is>
      </c>
      <c r="AH413"/>
      <c r="AI413"/>
      <c r="AJ413"/>
      <c r="AK413"/>
      <c r="AL413"/>
      <c r="AM413"/>
      <c r="AN413"/>
      <c r="AO413"/>
      <c r="AP413"/>
      <c r="AQ413"/>
      <c r="AR413"/>
      <c r="AS413"/>
      <c r="AT413"/>
      <c r="AU413"/>
      <c r="AV413"/>
      <c r="AW413"/>
      <c r="AX413" t="inlineStr">
        <is>
          <t>Accumulation</t>
        </is>
      </c>
      <c r="AY413" t="inlineStr">
        <is>
          <t>Residue</t>
        </is>
      </c>
      <c r="AZ413" t="inlineStr">
        <is>
          <t>BAF</t>
        </is>
      </c>
      <c r="BA413"/>
      <c r="BB413" t="n">
        <v>25.27</v>
      </c>
      <c r="BC413"/>
      <c r="BD413"/>
      <c r="BE413"/>
      <c r="BF413"/>
      <c r="BG413"/>
      <c r="BH413"/>
      <c r="BI413" t="inlineStr">
        <is>
          <t>L/kg</t>
        </is>
      </c>
      <c r="BJ413" t="inlineStr">
        <is>
          <t>Root</t>
        </is>
      </c>
      <c r="BK413"/>
      <c r="BL413" t="n">
        <v>4.0</v>
      </c>
      <c r="BM413"/>
      <c r="BN413"/>
      <c r="BO413"/>
      <c r="BP413"/>
      <c r="BQ413" t="inlineStr">
        <is>
          <t>Day(s)</t>
        </is>
      </c>
      <c r="BR413" t="inlineStr">
        <is>
          <t>Awad,J., G. Brunetti, A. Juhasz, M. Williams, D. Navarro, B. Drigo, J. Bougoure, J. Vanderzalm, and S. Beecham</t>
        </is>
      </c>
      <c r="BS413" t="n">
        <v>191324.0</v>
      </c>
      <c r="BT413" t="inlineStr">
        <is>
          <t>Application of Native Plants in Constructed Floating Wetlands as a Passive Remediation Approach for PFAS-Impacted Surface Water</t>
        </is>
      </c>
      <c r="BU413" t="inlineStr">
        <is>
          <t>J. Hazard. Mater.429:11 p.</t>
        </is>
      </c>
      <c r="BV413" t="n">
        <v>2022.0</v>
      </c>
      <c r="BW41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4">
      <c r="A414" t="n">
        <v>2795393.0</v>
      </c>
      <c r="B414" t="inlineStr">
        <is>
          <t>1,1,2,2,3,3,4,4,5,5,6,6,7,7,8,8,8-Heptadecafluoro-1-octanesulfonic acid potassium salt</t>
        </is>
      </c>
      <c r="C414"/>
      <c r="D414" t="inlineStr">
        <is>
          <t>Chemical analysis reported</t>
        </is>
      </c>
      <c r="E414" t="inlineStr">
        <is>
          <t>&gt;=</t>
        </is>
      </c>
      <c r="F414" t="n">
        <v>98.0</v>
      </c>
      <c r="G414"/>
      <c r="H414"/>
      <c r="I414"/>
      <c r="J414"/>
      <c r="K414" t="inlineStr">
        <is>
          <t>Phragmites australis</t>
        </is>
      </c>
      <c r="L414" t="inlineStr">
        <is>
          <t>Grass</t>
        </is>
      </c>
      <c r="M414" t="inlineStr">
        <is>
          <t>Flowers, Trees, Shrubs, Ferns; U.S. Invasive Species</t>
        </is>
      </c>
      <c r="N414"/>
      <c r="O414"/>
      <c r="P414"/>
      <c r="Q414"/>
      <c r="R414"/>
      <c r="S414"/>
      <c r="T414"/>
      <c r="U414"/>
      <c r="V414" t="inlineStr">
        <is>
          <t>Hydroponic</t>
        </is>
      </c>
      <c r="W414" t="inlineStr">
        <is>
          <t>Hydroponic</t>
        </is>
      </c>
      <c r="X414" t="inlineStr">
        <is>
          <t>Lab</t>
        </is>
      </c>
      <c r="Y414" t="n">
        <v>3.0</v>
      </c>
      <c r="Z414" t="inlineStr">
        <is>
          <t>Active ingredient</t>
        </is>
      </c>
      <c r="AA414"/>
      <c r="AB414" t="n">
        <v>30.0</v>
      </c>
      <c r="AC414"/>
      <c r="AD414"/>
      <c r="AE414"/>
      <c r="AF414"/>
      <c r="AG414" t="inlineStr">
        <is>
          <t>ug/L</t>
        </is>
      </c>
      <c r="AH414"/>
      <c r="AI414"/>
      <c r="AJ414"/>
      <c r="AK414"/>
      <c r="AL414"/>
      <c r="AM414"/>
      <c r="AN414"/>
      <c r="AO414"/>
      <c r="AP414"/>
      <c r="AQ414"/>
      <c r="AR414"/>
      <c r="AS414"/>
      <c r="AT414"/>
      <c r="AU414"/>
      <c r="AV414"/>
      <c r="AW414"/>
      <c r="AX414" t="inlineStr">
        <is>
          <t>Accumulation</t>
        </is>
      </c>
      <c r="AY414" t="inlineStr">
        <is>
          <t>Residue</t>
        </is>
      </c>
      <c r="AZ414" t="inlineStr">
        <is>
          <t>BAF</t>
        </is>
      </c>
      <c r="BA414"/>
      <c r="BB414" t="n">
        <v>22.54</v>
      </c>
      <c r="BC414"/>
      <c r="BD414"/>
      <c r="BE414"/>
      <c r="BF414"/>
      <c r="BG414"/>
      <c r="BH414"/>
      <c r="BI414" t="inlineStr">
        <is>
          <t>L/kg</t>
        </is>
      </c>
      <c r="BJ414" t="inlineStr">
        <is>
          <t>Root</t>
        </is>
      </c>
      <c r="BK414"/>
      <c r="BL414" t="n">
        <v>14.0</v>
      </c>
      <c r="BM414"/>
      <c r="BN414"/>
      <c r="BO414"/>
      <c r="BP414"/>
      <c r="BQ414" t="inlineStr">
        <is>
          <t>Day(s)</t>
        </is>
      </c>
      <c r="BR414" t="inlineStr">
        <is>
          <t>Awad,J., G. Brunetti, A. Juhasz, M. Williams, D. Navarro, B. Drigo, J. Bougoure, J. Vanderzalm, and S. Beecham</t>
        </is>
      </c>
      <c r="BS414" t="n">
        <v>191324.0</v>
      </c>
      <c r="BT414" t="inlineStr">
        <is>
          <t>Application of Native Plants in Constructed Floating Wetlands as a Passive Remediation Approach for PFAS-Impacted Surface Water</t>
        </is>
      </c>
      <c r="BU414" t="inlineStr">
        <is>
          <t>J. Hazard. Mater.429:11 p.</t>
        </is>
      </c>
      <c r="BV414" t="n">
        <v>2022.0</v>
      </c>
      <c r="BW41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5">
      <c r="A415" t="n">
        <v>2795393.0</v>
      </c>
      <c r="B415" t="inlineStr">
        <is>
          <t>1,1,2,2,3,3,4,4,5,5,6,6,7,7,8,8,8-Heptadecafluoro-1-octanesulfonic acid potassium salt</t>
        </is>
      </c>
      <c r="C415"/>
      <c r="D415" t="inlineStr">
        <is>
          <t>Chemical analysis reported</t>
        </is>
      </c>
      <c r="E415" t="inlineStr">
        <is>
          <t>&gt;=</t>
        </is>
      </c>
      <c r="F415" t="n">
        <v>98.0</v>
      </c>
      <c r="G415"/>
      <c r="H415"/>
      <c r="I415"/>
      <c r="J415"/>
      <c r="K415" t="inlineStr">
        <is>
          <t>Phragmites australis</t>
        </is>
      </c>
      <c r="L415" t="inlineStr">
        <is>
          <t>Grass</t>
        </is>
      </c>
      <c r="M415" t="inlineStr">
        <is>
          <t>Flowers, Trees, Shrubs, Ferns; U.S. Invasive Species</t>
        </is>
      </c>
      <c r="N415"/>
      <c r="O415"/>
      <c r="P415"/>
      <c r="Q415"/>
      <c r="R415"/>
      <c r="S415"/>
      <c r="T415"/>
      <c r="U415"/>
      <c r="V415" t="inlineStr">
        <is>
          <t>Hydroponic</t>
        </is>
      </c>
      <c r="W415" t="inlineStr">
        <is>
          <t>Hydroponic</t>
        </is>
      </c>
      <c r="X415" t="inlineStr">
        <is>
          <t>Lab</t>
        </is>
      </c>
      <c r="Y415" t="n">
        <v>3.0</v>
      </c>
      <c r="Z415" t="inlineStr">
        <is>
          <t>Active ingredient</t>
        </is>
      </c>
      <c r="AA415"/>
      <c r="AB415" t="n">
        <v>30.0</v>
      </c>
      <c r="AC415"/>
      <c r="AD415"/>
      <c r="AE415"/>
      <c r="AF415"/>
      <c r="AG415" t="inlineStr">
        <is>
          <t>ug/L</t>
        </is>
      </c>
      <c r="AH415"/>
      <c r="AI415"/>
      <c r="AJ415"/>
      <c r="AK415"/>
      <c r="AL415"/>
      <c r="AM415"/>
      <c r="AN415"/>
      <c r="AO415"/>
      <c r="AP415"/>
      <c r="AQ415"/>
      <c r="AR415"/>
      <c r="AS415"/>
      <c r="AT415"/>
      <c r="AU415"/>
      <c r="AV415"/>
      <c r="AW415"/>
      <c r="AX415" t="inlineStr">
        <is>
          <t>Accumulation</t>
        </is>
      </c>
      <c r="AY415" t="inlineStr">
        <is>
          <t>Residue</t>
        </is>
      </c>
      <c r="AZ415" t="inlineStr">
        <is>
          <t>BAF</t>
        </is>
      </c>
      <c r="BA415"/>
      <c r="BB415" t="n">
        <v>3.15</v>
      </c>
      <c r="BC415"/>
      <c r="BD415"/>
      <c r="BE415"/>
      <c r="BF415"/>
      <c r="BG415"/>
      <c r="BH415"/>
      <c r="BI415" t="inlineStr">
        <is>
          <t>L/kg</t>
        </is>
      </c>
      <c r="BJ415" t="inlineStr">
        <is>
          <t>Shoot</t>
        </is>
      </c>
      <c r="BK415"/>
      <c r="BL415" t="n">
        <v>4.0</v>
      </c>
      <c r="BM415"/>
      <c r="BN415"/>
      <c r="BO415"/>
      <c r="BP415"/>
      <c r="BQ415" t="inlineStr">
        <is>
          <t>Day(s)</t>
        </is>
      </c>
      <c r="BR415" t="inlineStr">
        <is>
          <t>Awad,J., G. Brunetti, A. Juhasz, M. Williams, D. Navarro, B. Drigo, J. Bougoure, J. Vanderzalm, and S. Beecham</t>
        </is>
      </c>
      <c r="BS415" t="n">
        <v>191324.0</v>
      </c>
      <c r="BT415" t="inlineStr">
        <is>
          <t>Application of Native Plants in Constructed Floating Wetlands as a Passive Remediation Approach for PFAS-Impacted Surface Water</t>
        </is>
      </c>
      <c r="BU415" t="inlineStr">
        <is>
          <t>J. Hazard. Mater.429:11 p.</t>
        </is>
      </c>
      <c r="BV415" t="n">
        <v>2022.0</v>
      </c>
      <c r="BW41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6">
      <c r="A416" t="n">
        <v>2795393.0</v>
      </c>
      <c r="B416" t="inlineStr">
        <is>
          <t>1,1,2,2,3,3,4,4,5,5,6,6,7,7,8,8,8-Heptadecafluoro-1-octanesulfonic acid potassium salt</t>
        </is>
      </c>
      <c r="C416"/>
      <c r="D416" t="inlineStr">
        <is>
          <t>Chemical analysis reported</t>
        </is>
      </c>
      <c r="E416" t="inlineStr">
        <is>
          <t>&gt;=</t>
        </is>
      </c>
      <c r="F416" t="n">
        <v>98.0</v>
      </c>
      <c r="G416"/>
      <c r="H416"/>
      <c r="I416"/>
      <c r="J416"/>
      <c r="K416" t="inlineStr">
        <is>
          <t>Phragmites australis</t>
        </is>
      </c>
      <c r="L416" t="inlineStr">
        <is>
          <t>Grass</t>
        </is>
      </c>
      <c r="M416" t="inlineStr">
        <is>
          <t>Flowers, Trees, Shrubs, Ferns; U.S. Invasive Species</t>
        </is>
      </c>
      <c r="N416"/>
      <c r="O416"/>
      <c r="P416"/>
      <c r="Q416"/>
      <c r="R416"/>
      <c r="S416"/>
      <c r="T416"/>
      <c r="U416"/>
      <c r="V416" t="inlineStr">
        <is>
          <t>Hydroponic</t>
        </is>
      </c>
      <c r="W416" t="inlineStr">
        <is>
          <t>Hydroponic</t>
        </is>
      </c>
      <c r="X416" t="inlineStr">
        <is>
          <t>Lab</t>
        </is>
      </c>
      <c r="Y416" t="n">
        <v>3.0</v>
      </c>
      <c r="Z416" t="inlineStr">
        <is>
          <t>Active ingredient</t>
        </is>
      </c>
      <c r="AA416"/>
      <c r="AB416" t="n">
        <v>10.0</v>
      </c>
      <c r="AC416"/>
      <c r="AD416"/>
      <c r="AE416"/>
      <c r="AF416"/>
      <c r="AG416" t="inlineStr">
        <is>
          <t>ug/L</t>
        </is>
      </c>
      <c r="AH416"/>
      <c r="AI416"/>
      <c r="AJ416"/>
      <c r="AK416"/>
      <c r="AL416"/>
      <c r="AM416"/>
      <c r="AN416"/>
      <c r="AO416"/>
      <c r="AP416"/>
      <c r="AQ416"/>
      <c r="AR416"/>
      <c r="AS416"/>
      <c r="AT416"/>
      <c r="AU416"/>
      <c r="AV416"/>
      <c r="AW416"/>
      <c r="AX416" t="inlineStr">
        <is>
          <t>Accumulation</t>
        </is>
      </c>
      <c r="AY416" t="inlineStr">
        <is>
          <t>Residue</t>
        </is>
      </c>
      <c r="AZ416" t="inlineStr">
        <is>
          <t>BAF</t>
        </is>
      </c>
      <c r="BA416"/>
      <c r="BB416" t="n">
        <v>12.5</v>
      </c>
      <c r="BC416"/>
      <c r="BD416"/>
      <c r="BE416"/>
      <c r="BF416"/>
      <c r="BG416"/>
      <c r="BH416"/>
      <c r="BI416" t="inlineStr">
        <is>
          <t>L/kg</t>
        </is>
      </c>
      <c r="BJ416" t="inlineStr">
        <is>
          <t>Whole organism</t>
        </is>
      </c>
      <c r="BK416"/>
      <c r="BL416" t="n">
        <v>14.0</v>
      </c>
      <c r="BM416"/>
      <c r="BN416"/>
      <c r="BO416"/>
      <c r="BP416"/>
      <c r="BQ416" t="inlineStr">
        <is>
          <t>Day(s)</t>
        </is>
      </c>
      <c r="BR416" t="inlineStr">
        <is>
          <t>Awad,J., G. Brunetti, A. Juhasz, M. Williams, D. Navarro, B. Drigo, J. Bougoure, J. Vanderzalm, and S. Beecham</t>
        </is>
      </c>
      <c r="BS416" t="n">
        <v>191324.0</v>
      </c>
      <c r="BT416" t="inlineStr">
        <is>
          <t>Application of Native Plants in Constructed Floating Wetlands as a Passive Remediation Approach for PFAS-Impacted Surface Water</t>
        </is>
      </c>
      <c r="BU416" t="inlineStr">
        <is>
          <t>J. Hazard. Mater.429:11 p.</t>
        </is>
      </c>
      <c r="BV416" t="n">
        <v>2022.0</v>
      </c>
      <c r="BW41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7">
      <c r="A417" t="n">
        <v>2795393.0</v>
      </c>
      <c r="B417" t="inlineStr">
        <is>
          <t>1,1,2,2,3,3,4,4,5,5,6,6,7,7,8,8,8-Heptadecafluoro-1-octanesulfonic acid potassium salt</t>
        </is>
      </c>
      <c r="C417"/>
      <c r="D417" t="inlineStr">
        <is>
          <t>Chemical analysis reported</t>
        </is>
      </c>
      <c r="E417" t="inlineStr">
        <is>
          <t>&gt;=</t>
        </is>
      </c>
      <c r="F417" t="n">
        <v>98.0</v>
      </c>
      <c r="G417"/>
      <c r="H417"/>
      <c r="I417"/>
      <c r="J417"/>
      <c r="K417" t="inlineStr">
        <is>
          <t>Phragmites australis</t>
        </is>
      </c>
      <c r="L417" t="inlineStr">
        <is>
          <t>Grass</t>
        </is>
      </c>
      <c r="M417" t="inlineStr">
        <is>
          <t>Flowers, Trees, Shrubs, Ferns; U.S. Invasive Species</t>
        </is>
      </c>
      <c r="N417"/>
      <c r="O417"/>
      <c r="P417"/>
      <c r="Q417"/>
      <c r="R417"/>
      <c r="S417"/>
      <c r="T417"/>
      <c r="U417"/>
      <c r="V417" t="inlineStr">
        <is>
          <t>Hydroponic</t>
        </is>
      </c>
      <c r="W417" t="inlineStr">
        <is>
          <t>Hydroponic</t>
        </is>
      </c>
      <c r="X417" t="inlineStr">
        <is>
          <t>Lab</t>
        </is>
      </c>
      <c r="Y417" t="n">
        <v>3.0</v>
      </c>
      <c r="Z417" t="inlineStr">
        <is>
          <t>Active ingredient</t>
        </is>
      </c>
      <c r="AA417"/>
      <c r="AB417" t="n">
        <v>10.0</v>
      </c>
      <c r="AC417"/>
      <c r="AD417"/>
      <c r="AE417"/>
      <c r="AF417"/>
      <c r="AG417" t="inlineStr">
        <is>
          <t>ug/L</t>
        </is>
      </c>
      <c r="AH417"/>
      <c r="AI417"/>
      <c r="AJ417"/>
      <c r="AK417"/>
      <c r="AL417"/>
      <c r="AM417"/>
      <c r="AN417"/>
      <c r="AO417"/>
      <c r="AP417"/>
      <c r="AQ417"/>
      <c r="AR417"/>
      <c r="AS417"/>
      <c r="AT417"/>
      <c r="AU417"/>
      <c r="AV417"/>
      <c r="AW417"/>
      <c r="AX417" t="inlineStr">
        <is>
          <t>Accumulation</t>
        </is>
      </c>
      <c r="AY417" t="inlineStr">
        <is>
          <t>Residue</t>
        </is>
      </c>
      <c r="AZ417" t="inlineStr">
        <is>
          <t>BAF</t>
        </is>
      </c>
      <c r="BA417"/>
      <c r="BB417" t="n">
        <v>16.8</v>
      </c>
      <c r="BC417"/>
      <c r="BD417"/>
      <c r="BE417"/>
      <c r="BF417"/>
      <c r="BG417"/>
      <c r="BH417"/>
      <c r="BI417" t="inlineStr">
        <is>
          <t>L/kg</t>
        </is>
      </c>
      <c r="BJ417" t="inlineStr">
        <is>
          <t>Root</t>
        </is>
      </c>
      <c r="BK417"/>
      <c r="BL417" t="n">
        <v>14.0</v>
      </c>
      <c r="BM417"/>
      <c r="BN417"/>
      <c r="BO417"/>
      <c r="BP417"/>
      <c r="BQ417" t="inlineStr">
        <is>
          <t>Day(s)</t>
        </is>
      </c>
      <c r="BR417" t="inlineStr">
        <is>
          <t>Awad,J., G. Brunetti, A. Juhasz, M. Williams, D. Navarro, B. Drigo, J. Bougoure, J. Vanderzalm, and S. Beecham</t>
        </is>
      </c>
      <c r="BS417" t="n">
        <v>191324.0</v>
      </c>
      <c r="BT417" t="inlineStr">
        <is>
          <t>Application of Native Plants in Constructed Floating Wetlands as a Passive Remediation Approach for PFAS-Impacted Surface Water</t>
        </is>
      </c>
      <c r="BU417" t="inlineStr">
        <is>
          <t>J. Hazard. Mater.429:11 p.</t>
        </is>
      </c>
      <c r="BV417" t="n">
        <v>2022.0</v>
      </c>
      <c r="BW41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8">
      <c r="A418" t="n">
        <v>2795393.0</v>
      </c>
      <c r="B418" t="inlineStr">
        <is>
          <t>1,1,2,2,3,3,4,4,5,5,6,6,7,7,8,8,8-Heptadecafluoro-1-octanesulfonic acid potassium salt</t>
        </is>
      </c>
      <c r="C418"/>
      <c r="D418" t="inlineStr">
        <is>
          <t>Chemical analysis reported</t>
        </is>
      </c>
      <c r="E418" t="inlineStr">
        <is>
          <t>&gt;=</t>
        </is>
      </c>
      <c r="F418" t="n">
        <v>98.0</v>
      </c>
      <c r="G418"/>
      <c r="H418"/>
      <c r="I418"/>
      <c r="J418"/>
      <c r="K418" t="inlineStr">
        <is>
          <t>Phragmites australis</t>
        </is>
      </c>
      <c r="L418" t="inlineStr">
        <is>
          <t>Grass</t>
        </is>
      </c>
      <c r="M418" t="inlineStr">
        <is>
          <t>Flowers, Trees, Shrubs, Ferns; U.S. Invasive Species</t>
        </is>
      </c>
      <c r="N418"/>
      <c r="O418"/>
      <c r="P418"/>
      <c r="Q418"/>
      <c r="R418"/>
      <c r="S418"/>
      <c r="T418"/>
      <c r="U418"/>
      <c r="V418" t="inlineStr">
        <is>
          <t>Hydroponic</t>
        </is>
      </c>
      <c r="W418" t="inlineStr">
        <is>
          <t>Hydroponic</t>
        </is>
      </c>
      <c r="X418" t="inlineStr">
        <is>
          <t>Lab</t>
        </is>
      </c>
      <c r="Y418" t="n">
        <v>3.0</v>
      </c>
      <c r="Z418" t="inlineStr">
        <is>
          <t>Active ingredient</t>
        </is>
      </c>
      <c r="AA418"/>
      <c r="AB418" t="n">
        <v>30.0</v>
      </c>
      <c r="AC418"/>
      <c r="AD418"/>
      <c r="AE418"/>
      <c r="AF418"/>
      <c r="AG418" t="inlineStr">
        <is>
          <t>ug/L</t>
        </is>
      </c>
      <c r="AH418"/>
      <c r="AI418"/>
      <c r="AJ418"/>
      <c r="AK418"/>
      <c r="AL418"/>
      <c r="AM418"/>
      <c r="AN418"/>
      <c r="AO418"/>
      <c r="AP418"/>
      <c r="AQ418"/>
      <c r="AR418"/>
      <c r="AS418"/>
      <c r="AT418"/>
      <c r="AU418"/>
      <c r="AV418"/>
      <c r="AW418"/>
      <c r="AX418" t="inlineStr">
        <is>
          <t>Accumulation</t>
        </is>
      </c>
      <c r="AY418" t="inlineStr">
        <is>
          <t>Residue</t>
        </is>
      </c>
      <c r="AZ418" t="inlineStr">
        <is>
          <t>BAF</t>
        </is>
      </c>
      <c r="BA418"/>
      <c r="BB418" t="n">
        <v>14.78</v>
      </c>
      <c r="BC418"/>
      <c r="BD418"/>
      <c r="BE418"/>
      <c r="BF418"/>
      <c r="BG418"/>
      <c r="BH418"/>
      <c r="BI418" t="inlineStr">
        <is>
          <t>L/kg</t>
        </is>
      </c>
      <c r="BJ418" t="inlineStr">
        <is>
          <t>Whole organism</t>
        </is>
      </c>
      <c r="BK418"/>
      <c r="BL418" t="n">
        <v>14.0</v>
      </c>
      <c r="BM418"/>
      <c r="BN418"/>
      <c r="BO418"/>
      <c r="BP418"/>
      <c r="BQ418" t="inlineStr">
        <is>
          <t>Day(s)</t>
        </is>
      </c>
      <c r="BR418" t="inlineStr">
        <is>
          <t>Awad,J., G. Brunetti, A. Juhasz, M. Williams, D. Navarro, B. Drigo, J. Bougoure, J. Vanderzalm, and S. Beecham</t>
        </is>
      </c>
      <c r="BS418" t="n">
        <v>191324.0</v>
      </c>
      <c r="BT418" t="inlineStr">
        <is>
          <t>Application of Native Plants in Constructed Floating Wetlands as a Passive Remediation Approach for PFAS-Impacted Surface Water</t>
        </is>
      </c>
      <c r="BU418" t="inlineStr">
        <is>
          <t>J. Hazard. Mater.429:11 p.</t>
        </is>
      </c>
      <c r="BV418" t="n">
        <v>2022.0</v>
      </c>
      <c r="BW41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9">
      <c r="A419" t="n">
        <v>2795393.0</v>
      </c>
      <c r="B419" t="inlineStr">
        <is>
          <t>1,1,2,2,3,3,4,4,5,5,6,6,7,7,8,8,8-Heptadecafluoro-1-octanesulfonic acid potassium salt</t>
        </is>
      </c>
      <c r="C419"/>
      <c r="D419" t="inlineStr">
        <is>
          <t>Chemical analysis reported</t>
        </is>
      </c>
      <c r="E419" t="inlineStr">
        <is>
          <t>&gt;=</t>
        </is>
      </c>
      <c r="F419" t="n">
        <v>98.0</v>
      </c>
      <c r="G419"/>
      <c r="H419"/>
      <c r="I419"/>
      <c r="J419"/>
      <c r="K419" t="inlineStr">
        <is>
          <t>Phragmites australis</t>
        </is>
      </c>
      <c r="L419" t="inlineStr">
        <is>
          <t>Grass</t>
        </is>
      </c>
      <c r="M419" t="inlineStr">
        <is>
          <t>Flowers, Trees, Shrubs, Ferns; U.S. Invasive Species</t>
        </is>
      </c>
      <c r="N419"/>
      <c r="O419"/>
      <c r="P419"/>
      <c r="Q419"/>
      <c r="R419"/>
      <c r="S419"/>
      <c r="T419"/>
      <c r="U419"/>
      <c r="V419" t="inlineStr">
        <is>
          <t>Hydroponic</t>
        </is>
      </c>
      <c r="W419" t="inlineStr">
        <is>
          <t>Hydroponic</t>
        </is>
      </c>
      <c r="X419" t="inlineStr">
        <is>
          <t>Lab</t>
        </is>
      </c>
      <c r="Y419" t="n">
        <v>3.0</v>
      </c>
      <c r="Z419" t="inlineStr">
        <is>
          <t>Active ingredient</t>
        </is>
      </c>
      <c r="AA419"/>
      <c r="AB419" t="n">
        <v>10.0</v>
      </c>
      <c r="AC419"/>
      <c r="AD419"/>
      <c r="AE419"/>
      <c r="AF419"/>
      <c r="AG419" t="inlineStr">
        <is>
          <t>ug/L</t>
        </is>
      </c>
      <c r="AH419"/>
      <c r="AI419"/>
      <c r="AJ419"/>
      <c r="AK419"/>
      <c r="AL419"/>
      <c r="AM419"/>
      <c r="AN419"/>
      <c r="AO419"/>
      <c r="AP419"/>
      <c r="AQ419"/>
      <c r="AR419"/>
      <c r="AS419"/>
      <c r="AT419"/>
      <c r="AU419"/>
      <c r="AV419"/>
      <c r="AW419"/>
      <c r="AX419" t="inlineStr">
        <is>
          <t>Accumulation</t>
        </is>
      </c>
      <c r="AY419" t="inlineStr">
        <is>
          <t>Residue</t>
        </is>
      </c>
      <c r="AZ419" t="inlineStr">
        <is>
          <t>BAF</t>
        </is>
      </c>
      <c r="BA419"/>
      <c r="BB419" t="n">
        <v>20.4</v>
      </c>
      <c r="BC419"/>
      <c r="BD419"/>
      <c r="BE419"/>
      <c r="BF419"/>
      <c r="BG419"/>
      <c r="BH419"/>
      <c r="BI419" t="inlineStr">
        <is>
          <t>L/kg</t>
        </is>
      </c>
      <c r="BJ419" t="inlineStr">
        <is>
          <t>Whole organism</t>
        </is>
      </c>
      <c r="BK419"/>
      <c r="BL419" t="n">
        <v>1.0</v>
      </c>
      <c r="BM419"/>
      <c r="BN419"/>
      <c r="BO419"/>
      <c r="BP419"/>
      <c r="BQ419" t="inlineStr">
        <is>
          <t>Day(s)</t>
        </is>
      </c>
      <c r="BR419" t="inlineStr">
        <is>
          <t>Awad,J., G. Brunetti, A. Juhasz, M. Williams, D. Navarro, B. Drigo, J. Bougoure, J. Vanderzalm, and S. Beecham</t>
        </is>
      </c>
      <c r="BS419" t="n">
        <v>191324.0</v>
      </c>
      <c r="BT419" t="inlineStr">
        <is>
          <t>Application of Native Plants in Constructed Floating Wetlands as a Passive Remediation Approach for PFAS-Impacted Surface Water</t>
        </is>
      </c>
      <c r="BU419" t="inlineStr">
        <is>
          <t>J. Hazard. Mater.429:11 p.</t>
        </is>
      </c>
      <c r="BV419" t="n">
        <v>2022.0</v>
      </c>
      <c r="BW41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20">
      <c r="A420" t="n">
        <v>2795393.0</v>
      </c>
      <c r="B420" t="inlineStr">
        <is>
          <t>1,1,2,2,3,3,4,4,5,5,6,6,7,7,8,8,8-Heptadecafluoro-1-octanesulfonic acid potassium salt</t>
        </is>
      </c>
      <c r="C420"/>
      <c r="D420" t="inlineStr">
        <is>
          <t>Chemical analysis reported</t>
        </is>
      </c>
      <c r="E420" t="inlineStr">
        <is>
          <t>&gt;=</t>
        </is>
      </c>
      <c r="F420" t="n">
        <v>98.0</v>
      </c>
      <c r="G420"/>
      <c r="H420"/>
      <c r="I420"/>
      <c r="J420"/>
      <c r="K420" t="inlineStr">
        <is>
          <t>Phragmites australis</t>
        </is>
      </c>
      <c r="L420" t="inlineStr">
        <is>
          <t>Grass</t>
        </is>
      </c>
      <c r="M420" t="inlineStr">
        <is>
          <t>Flowers, Trees, Shrubs, Ferns; U.S. Invasive Species</t>
        </is>
      </c>
      <c r="N420"/>
      <c r="O420"/>
      <c r="P420"/>
      <c r="Q420"/>
      <c r="R420"/>
      <c r="S420"/>
      <c r="T420"/>
      <c r="U420"/>
      <c r="V420" t="inlineStr">
        <is>
          <t>Hydroponic</t>
        </is>
      </c>
      <c r="W420" t="inlineStr">
        <is>
          <t>Hydroponic</t>
        </is>
      </c>
      <c r="X420" t="inlineStr">
        <is>
          <t>Lab</t>
        </is>
      </c>
      <c r="Y420" t="n">
        <v>3.0</v>
      </c>
      <c r="Z420" t="inlineStr">
        <is>
          <t>Active ingredient</t>
        </is>
      </c>
      <c r="AA420"/>
      <c r="AB420" t="n">
        <v>10.0</v>
      </c>
      <c r="AC420"/>
      <c r="AD420"/>
      <c r="AE420"/>
      <c r="AF420"/>
      <c r="AG420" t="inlineStr">
        <is>
          <t>ug/L</t>
        </is>
      </c>
      <c r="AH420"/>
      <c r="AI420"/>
      <c r="AJ420"/>
      <c r="AK420"/>
      <c r="AL420"/>
      <c r="AM420"/>
      <c r="AN420"/>
      <c r="AO420"/>
      <c r="AP420"/>
      <c r="AQ420"/>
      <c r="AR420"/>
      <c r="AS420"/>
      <c r="AT420"/>
      <c r="AU420"/>
      <c r="AV420"/>
      <c r="AW420"/>
      <c r="AX420" t="inlineStr">
        <is>
          <t>Accumulation</t>
        </is>
      </c>
      <c r="AY420" t="inlineStr">
        <is>
          <t>Residue</t>
        </is>
      </c>
      <c r="AZ420" t="inlineStr">
        <is>
          <t>BAF</t>
        </is>
      </c>
      <c r="BA420"/>
      <c r="BB420" t="n">
        <v>3.0</v>
      </c>
      <c r="BC420"/>
      <c r="BD420"/>
      <c r="BE420"/>
      <c r="BF420"/>
      <c r="BG420"/>
      <c r="BH420"/>
      <c r="BI420" t="inlineStr">
        <is>
          <t>L/kg</t>
        </is>
      </c>
      <c r="BJ420" t="inlineStr">
        <is>
          <t>Shoot</t>
        </is>
      </c>
      <c r="BK420"/>
      <c r="BL420" t="n">
        <v>1.0</v>
      </c>
      <c r="BM420"/>
      <c r="BN420"/>
      <c r="BO420"/>
      <c r="BP420"/>
      <c r="BQ420" t="inlineStr">
        <is>
          <t>Day(s)</t>
        </is>
      </c>
      <c r="BR420" t="inlineStr">
        <is>
          <t>Awad,J., G. Brunetti, A. Juhasz, M. Williams, D. Navarro, B. Drigo, J. Bougoure, J. Vanderzalm, and S. Beecham</t>
        </is>
      </c>
      <c r="BS420" t="n">
        <v>191324.0</v>
      </c>
      <c r="BT420" t="inlineStr">
        <is>
          <t>Application of Native Plants in Constructed Floating Wetlands as a Passive Remediation Approach for PFAS-Impacted Surface Water</t>
        </is>
      </c>
      <c r="BU420" t="inlineStr">
        <is>
          <t>J. Hazard. Mater.429:11 p.</t>
        </is>
      </c>
      <c r="BV420" t="n">
        <v>2022.0</v>
      </c>
      <c r="BW42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21">
      <c r="A421" t="n">
        <v>2795393.0</v>
      </c>
      <c r="B421" t="inlineStr">
        <is>
          <t>1,1,2,2,3,3,4,4,5,5,6,6,7,7,8,8,8-Heptadecafluoro-1-octanesulfonic acid potassium salt</t>
        </is>
      </c>
      <c r="C421"/>
      <c r="D421" t="inlineStr">
        <is>
          <t>Chemical analysis reported</t>
        </is>
      </c>
      <c r="E421" t="inlineStr">
        <is>
          <t>&gt;=</t>
        </is>
      </c>
      <c r="F421" t="n">
        <v>98.0</v>
      </c>
      <c r="G421"/>
      <c r="H421"/>
      <c r="I421"/>
      <c r="J421"/>
      <c r="K421" t="inlineStr">
        <is>
          <t>Phragmites australis</t>
        </is>
      </c>
      <c r="L421" t="inlineStr">
        <is>
          <t>Grass</t>
        </is>
      </c>
      <c r="M421" t="inlineStr">
        <is>
          <t>Flowers, Trees, Shrubs, Ferns; U.S. Invasive Species</t>
        </is>
      </c>
      <c r="N421"/>
      <c r="O421"/>
      <c r="P421"/>
      <c r="Q421"/>
      <c r="R421"/>
      <c r="S421"/>
      <c r="T421"/>
      <c r="U421"/>
      <c r="V421" t="inlineStr">
        <is>
          <t>Hydroponic</t>
        </is>
      </c>
      <c r="W421" t="inlineStr">
        <is>
          <t>Hydroponic</t>
        </is>
      </c>
      <c r="X421" t="inlineStr">
        <is>
          <t>Lab</t>
        </is>
      </c>
      <c r="Y421" t="n">
        <v>3.0</v>
      </c>
      <c r="Z421" t="inlineStr">
        <is>
          <t>Active ingredient</t>
        </is>
      </c>
      <c r="AA421"/>
      <c r="AB421" t="n">
        <v>30.0</v>
      </c>
      <c r="AC421"/>
      <c r="AD421"/>
      <c r="AE421"/>
      <c r="AF421"/>
      <c r="AG421" t="inlineStr">
        <is>
          <t>ug/L</t>
        </is>
      </c>
      <c r="AH421"/>
      <c r="AI421"/>
      <c r="AJ421"/>
      <c r="AK421"/>
      <c r="AL421"/>
      <c r="AM421"/>
      <c r="AN421"/>
      <c r="AO421"/>
      <c r="AP421"/>
      <c r="AQ421"/>
      <c r="AR421"/>
      <c r="AS421"/>
      <c r="AT421"/>
      <c r="AU421"/>
      <c r="AV421"/>
      <c r="AW421"/>
      <c r="AX421" t="inlineStr">
        <is>
          <t>Accumulation</t>
        </is>
      </c>
      <c r="AY421" t="inlineStr">
        <is>
          <t>Residue</t>
        </is>
      </c>
      <c r="AZ421" t="inlineStr">
        <is>
          <t>BAF</t>
        </is>
      </c>
      <c r="BA421"/>
      <c r="BB421" t="n">
        <v>18.97</v>
      </c>
      <c r="BC421"/>
      <c r="BD421"/>
      <c r="BE421"/>
      <c r="BF421"/>
      <c r="BG421"/>
      <c r="BH421"/>
      <c r="BI421" t="inlineStr">
        <is>
          <t>L/kg</t>
        </is>
      </c>
      <c r="BJ421" t="inlineStr">
        <is>
          <t>Whole organism</t>
        </is>
      </c>
      <c r="BK421"/>
      <c r="BL421" t="n">
        <v>1.0</v>
      </c>
      <c r="BM421"/>
      <c r="BN421"/>
      <c r="BO421"/>
      <c r="BP421"/>
      <c r="BQ421" t="inlineStr">
        <is>
          <t>Day(s)</t>
        </is>
      </c>
      <c r="BR421" t="inlineStr">
        <is>
          <t>Awad,J., G. Brunetti, A. Juhasz, M. Williams, D. Navarro, B. Drigo, J. Bougoure, J. Vanderzalm, and S. Beecham</t>
        </is>
      </c>
      <c r="BS421" t="n">
        <v>191324.0</v>
      </c>
      <c r="BT421" t="inlineStr">
        <is>
          <t>Application of Native Plants in Constructed Floating Wetlands as a Passive Remediation Approach for PFAS-Impacted Surface Water</t>
        </is>
      </c>
      <c r="BU421" t="inlineStr">
        <is>
          <t>J. Hazard. Mater.429:11 p.</t>
        </is>
      </c>
      <c r="BV421" t="n">
        <v>2022.0</v>
      </c>
      <c r="BW42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22">
      <c r="A422" t="n">
        <v>2795393.0</v>
      </c>
      <c r="B422" t="inlineStr">
        <is>
          <t>1,1,2,2,3,3,4,4,5,5,6,6,7,7,8,8,8-Heptadecafluoro-1-octanesulfonic acid potassium salt</t>
        </is>
      </c>
      <c r="C422"/>
      <c r="D422" t="inlineStr">
        <is>
          <t>Chemical analysis reported</t>
        </is>
      </c>
      <c r="E422" t="inlineStr">
        <is>
          <t>&gt;=</t>
        </is>
      </c>
      <c r="F422" t="n">
        <v>98.0</v>
      </c>
      <c r="G422"/>
      <c r="H422"/>
      <c r="I422"/>
      <c r="J422"/>
      <c r="K422" t="inlineStr">
        <is>
          <t>Phragmites australis</t>
        </is>
      </c>
      <c r="L422" t="inlineStr">
        <is>
          <t>Grass</t>
        </is>
      </c>
      <c r="M422" t="inlineStr">
        <is>
          <t>Flowers, Trees, Shrubs, Ferns; U.S. Invasive Species</t>
        </is>
      </c>
      <c r="N422"/>
      <c r="O422"/>
      <c r="P422"/>
      <c r="Q422"/>
      <c r="R422"/>
      <c r="S422"/>
      <c r="T422"/>
      <c r="U422"/>
      <c r="V422" t="inlineStr">
        <is>
          <t>Hydroponic</t>
        </is>
      </c>
      <c r="W422" t="inlineStr">
        <is>
          <t>Hydroponic</t>
        </is>
      </c>
      <c r="X422" t="inlineStr">
        <is>
          <t>Lab</t>
        </is>
      </c>
      <c r="Y422" t="n">
        <v>3.0</v>
      </c>
      <c r="Z422" t="inlineStr">
        <is>
          <t>Active ingredient</t>
        </is>
      </c>
      <c r="AA422"/>
      <c r="AB422" t="n">
        <v>30.0</v>
      </c>
      <c r="AC422"/>
      <c r="AD422"/>
      <c r="AE422"/>
      <c r="AF422"/>
      <c r="AG422" t="inlineStr">
        <is>
          <t>ug/L</t>
        </is>
      </c>
      <c r="AH422"/>
      <c r="AI422"/>
      <c r="AJ422"/>
      <c r="AK422"/>
      <c r="AL422"/>
      <c r="AM422"/>
      <c r="AN422"/>
      <c r="AO422"/>
      <c r="AP422"/>
      <c r="AQ422"/>
      <c r="AR422"/>
      <c r="AS422"/>
      <c r="AT422"/>
      <c r="AU422"/>
      <c r="AV422"/>
      <c r="AW422"/>
      <c r="AX422" t="inlineStr">
        <is>
          <t>Accumulation</t>
        </is>
      </c>
      <c r="AY422" t="inlineStr">
        <is>
          <t>Residue</t>
        </is>
      </c>
      <c r="AZ422" t="inlineStr">
        <is>
          <t>BAF</t>
        </is>
      </c>
      <c r="BA422"/>
      <c r="BB422" t="n">
        <v>2.86</v>
      </c>
      <c r="BC422"/>
      <c r="BD422"/>
      <c r="BE422"/>
      <c r="BF422"/>
      <c r="BG422"/>
      <c r="BH422"/>
      <c r="BI422" t="inlineStr">
        <is>
          <t>L/kg</t>
        </is>
      </c>
      <c r="BJ422" t="inlineStr">
        <is>
          <t>Shoot</t>
        </is>
      </c>
      <c r="BK422"/>
      <c r="BL422" t="n">
        <v>1.0</v>
      </c>
      <c r="BM422"/>
      <c r="BN422"/>
      <c r="BO422"/>
      <c r="BP422"/>
      <c r="BQ422" t="inlineStr">
        <is>
          <t>Day(s)</t>
        </is>
      </c>
      <c r="BR422" t="inlineStr">
        <is>
          <t>Awad,J., G. Brunetti, A. Juhasz, M. Williams, D. Navarro, B. Drigo, J. Bougoure, J. Vanderzalm, and S. Beecham</t>
        </is>
      </c>
      <c r="BS422" t="n">
        <v>191324.0</v>
      </c>
      <c r="BT422" t="inlineStr">
        <is>
          <t>Application of Native Plants in Constructed Floating Wetlands as a Passive Remediation Approach for PFAS-Impacted Surface Water</t>
        </is>
      </c>
      <c r="BU422" t="inlineStr">
        <is>
          <t>J. Hazard. Mater.429:11 p.</t>
        </is>
      </c>
      <c r="BV422" t="n">
        <v>2022.0</v>
      </c>
      <c r="BW42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23">
      <c r="A423" t="n">
        <v>2795393.0</v>
      </c>
      <c r="B423" t="inlineStr">
        <is>
          <t>1,1,2,2,3,3,4,4,5,5,6,6,7,7,8,8,8-Heptadecafluoro-1-octanesulfonic acid potassium salt</t>
        </is>
      </c>
      <c r="C423"/>
      <c r="D423" t="inlineStr">
        <is>
          <t>Unmeasured</t>
        </is>
      </c>
      <c r="E423" t="inlineStr">
        <is>
          <t>&gt;</t>
        </is>
      </c>
      <c r="F423" t="n">
        <v>98.0</v>
      </c>
      <c r="G423"/>
      <c r="H423"/>
      <c r="I423"/>
      <c r="J423"/>
      <c r="K423" t="inlineStr">
        <is>
          <t>Rattus norvegicus</t>
        </is>
      </c>
      <c r="L423" t="inlineStr">
        <is>
          <t>Norway Rat</t>
        </is>
      </c>
      <c r="M423" t="inlineStr">
        <is>
          <t>Mammals; Standard Test Species</t>
        </is>
      </c>
      <c r="N423"/>
      <c r="O423" t="inlineStr">
        <is>
          <t>~</t>
        </is>
      </c>
      <c r="P423" t="n">
        <v>11.0</v>
      </c>
      <c r="Q423"/>
      <c r="R423"/>
      <c r="S423"/>
      <c r="T423"/>
      <c r="U423" t="inlineStr">
        <is>
          <t>Week(s)</t>
        </is>
      </c>
      <c r="V423" t="inlineStr">
        <is>
          <t>Gavage</t>
        </is>
      </c>
      <c r="W423" t="inlineStr">
        <is>
          <t>No substrate</t>
        </is>
      </c>
      <c r="X423" t="inlineStr">
        <is>
          <t>Lab</t>
        </is>
      </c>
      <c r="Y423" t="n">
        <v>2.0</v>
      </c>
      <c r="Z423" t="inlineStr">
        <is>
          <t>Active ingredient</t>
        </is>
      </c>
      <c r="AA423"/>
      <c r="AB423" t="n">
        <v>10.0</v>
      </c>
      <c r="AC423"/>
      <c r="AD423"/>
      <c r="AE423"/>
      <c r="AF423"/>
      <c r="AG423" t="inlineStr">
        <is>
          <t>mg/kg bdwt/d</t>
        </is>
      </c>
      <c r="AH423"/>
      <c r="AI423"/>
      <c r="AJ423"/>
      <c r="AK423"/>
      <c r="AL423"/>
      <c r="AM423"/>
      <c r="AN423"/>
      <c r="AO423"/>
      <c r="AP423"/>
      <c r="AQ423"/>
      <c r="AR423"/>
      <c r="AS423"/>
      <c r="AT423"/>
      <c r="AU423"/>
      <c r="AV423"/>
      <c r="AW423"/>
      <c r="AX423" t="inlineStr">
        <is>
          <t>Accumulation</t>
        </is>
      </c>
      <c r="AY423" t="inlineStr">
        <is>
          <t>Residue</t>
        </is>
      </c>
      <c r="AZ423"/>
      <c r="BA423"/>
      <c r="BB423" t="n">
        <v>10.0</v>
      </c>
      <c r="BC423"/>
      <c r="BD423"/>
      <c r="BE423"/>
      <c r="BF423"/>
      <c r="BG423"/>
      <c r="BH423"/>
      <c r="BI423" t="inlineStr">
        <is>
          <t>mg/kg bdwt/d</t>
        </is>
      </c>
      <c r="BJ423" t="inlineStr">
        <is>
          <t>Multiple entries</t>
        </is>
      </c>
      <c r="BK423"/>
      <c r="BL423"/>
      <c r="BM423"/>
      <c r="BN423" t="n">
        <v>2.0</v>
      </c>
      <c r="BO423"/>
      <c r="BP423" t="n">
        <v>6.0</v>
      </c>
      <c r="BQ423" t="inlineStr">
        <is>
          <t>Day(s)</t>
        </is>
      </c>
      <c r="BR423" t="inlineStr">
        <is>
          <t>Martin,M.T., R.J. Brennan, W. Hu, E. Ayanoglu, C. Lau, H. Ren, C.R. Wood, J.C. Corton, R.J. Kavlock, and D.J. Dix</t>
        </is>
      </c>
      <c r="BS423" t="n">
        <v>104399.0</v>
      </c>
      <c r="BT423" t="inlineStr">
        <is>
          <t>Toxicogenomic Study of Triazole Fungicides and Perfluoroalkyl Acids in Rat Livers Predicts Toxicity and Categorizes Chemicals Based on Mechanisms of Toxicity</t>
        </is>
      </c>
      <c r="BU423" t="inlineStr">
        <is>
          <t>Toxicol. Sci.97(2): 595-613</t>
        </is>
      </c>
      <c r="BV423" t="n">
        <v>2007.0</v>
      </c>
      <c r="BW423" t="inlineStr">
        <is>
          <t>Martin,M.T., R.J. Brennan, W. Hu, E. Ayanoglu, C. Lau, H. Ren, C.R. Wood, J.C. Corton, R.J. Kavlock, and D.J. Dix (2007). Toxicogenomic Study of Triazole Fungicides and Perfluoroalkyl Acids in Rat Livers Predicts Toxicity and Categorizes Chemicals Based on Mechanisms of Toxicity. Toxicol. Sci., 97, (2), 595-613. doi:10.1093/toxsci/kfm065. ECOREF#:104399</t>
        </is>
      </c>
    </row>
    <row r="424">
      <c r="A424" t="n">
        <v>2795393.0</v>
      </c>
      <c r="B424" t="inlineStr">
        <is>
          <t>1,1,2,2,3,3,4,4,5,5,6,6,7,7,8,8,8-Heptadecafluoro-1-octanesulfonic acid potassium salt</t>
        </is>
      </c>
      <c r="C424"/>
      <c r="D424" t="inlineStr">
        <is>
          <t>Unmeasured</t>
        </is>
      </c>
      <c r="E424"/>
      <c r="F424"/>
      <c r="G424"/>
      <c r="H424"/>
      <c r="I424"/>
      <c r="J424"/>
      <c r="K424" t="inlineStr">
        <is>
          <t>Rattus norvegicus</t>
        </is>
      </c>
      <c r="L424" t="inlineStr">
        <is>
          <t>Norway Rat</t>
        </is>
      </c>
      <c r="M424" t="inlineStr">
        <is>
          <t>Mammals; Standard Test Species</t>
        </is>
      </c>
      <c r="N424"/>
      <c r="O424"/>
      <c r="P424" t="n">
        <v>60.0</v>
      </c>
      <c r="Q424"/>
      <c r="R424"/>
      <c r="S424"/>
      <c r="T424"/>
      <c r="U424" t="inlineStr">
        <is>
          <t>Day(s)</t>
        </is>
      </c>
      <c r="V424" t="inlineStr">
        <is>
          <t>Gavage</t>
        </is>
      </c>
      <c r="W424" t="inlineStr">
        <is>
          <t>No substrate</t>
        </is>
      </c>
      <c r="X424" t="inlineStr">
        <is>
          <t>Lab</t>
        </is>
      </c>
      <c r="Y424" t="n">
        <v>2.0</v>
      </c>
      <c r="Z424" t="inlineStr">
        <is>
          <t>Formulation</t>
        </is>
      </c>
      <c r="AA424"/>
      <c r="AB424" t="n">
        <v>5.0</v>
      </c>
      <c r="AC424"/>
      <c r="AD424"/>
      <c r="AE424"/>
      <c r="AF424"/>
      <c r="AG424" t="inlineStr">
        <is>
          <t>mg/kg/d</t>
        </is>
      </c>
      <c r="AH424"/>
      <c r="AI424"/>
      <c r="AJ424"/>
      <c r="AK424"/>
      <c r="AL424"/>
      <c r="AM424"/>
      <c r="AN424"/>
      <c r="AO424"/>
      <c r="AP424"/>
      <c r="AQ424"/>
      <c r="AR424"/>
      <c r="AS424"/>
      <c r="AT424"/>
      <c r="AU424"/>
      <c r="AV424"/>
      <c r="AW424"/>
      <c r="AX424" t="inlineStr">
        <is>
          <t>Accumulation</t>
        </is>
      </c>
      <c r="AY424" t="inlineStr">
        <is>
          <t>Residue</t>
        </is>
      </c>
      <c r="AZ424"/>
      <c r="BA424"/>
      <c r="BB424" t="n">
        <v>5.0</v>
      </c>
      <c r="BC424"/>
      <c r="BD424"/>
      <c r="BE424"/>
      <c r="BF424"/>
      <c r="BG424"/>
      <c r="BH424"/>
      <c r="BI424" t="inlineStr">
        <is>
          <t>mg/kg/d</t>
        </is>
      </c>
      <c r="BJ424" t="inlineStr">
        <is>
          <t>Liver</t>
        </is>
      </c>
      <c r="BK424"/>
      <c r="BL424" t="n">
        <v>3.0</v>
      </c>
      <c r="BM424"/>
      <c r="BN424"/>
      <c r="BO424"/>
      <c r="BP424"/>
      <c r="BQ424" t="inlineStr">
        <is>
          <t>Day(s)</t>
        </is>
      </c>
      <c r="BR424" t="inlineStr">
        <is>
          <t>Hu,W., P.D. Jones, B.L. Upham, J.E. Trosko, C. Lau, and J.P. Giesy</t>
        </is>
      </c>
      <c r="BS424" t="n">
        <v>178466.0</v>
      </c>
      <c r="BT424" t="inlineStr">
        <is>
          <t>Inhibition of Gap Junctional Intercellular Communication by Perfluorinated Compounds in Rat Liver and Dolphin Kidney Epithelial Cell Lines In Vitro and Sprague-Dawley Rats In Vivo</t>
        </is>
      </c>
      <c r="BU424" t="inlineStr">
        <is>
          <t>Toxicol. Sci.68(2): 429-436</t>
        </is>
      </c>
      <c r="BV424" t="n">
        <v>2002.0</v>
      </c>
      <c r="BW424" t="inlineStr">
        <is>
          <t>Hu,W., P.D. Jones, B.L. Upham, J.E. Trosko, C. Lau, and J.P. Giesy (2002). Inhibition of Gap Junctional Intercellular Communication by Perfluorinated Compounds in Rat Liver and Dolphin Kidney Epithelial Cell Lines In Vitro and Sprague-Dawley Rats In Vivo. Toxicol. Sci., 68, (2), 429-436. doi:10.1093/toxsci/68.2.429. ECOREF#:178466</t>
        </is>
      </c>
    </row>
    <row r="425">
      <c r="A425" t="n">
        <v>2795393.0</v>
      </c>
      <c r="B425" t="inlineStr">
        <is>
          <t>1,1,2,2,3,3,4,4,5,5,6,6,7,7,8,8,8-Heptadecafluoro-1-octanesulfonic acid potassium salt</t>
        </is>
      </c>
      <c r="C425"/>
      <c r="D425" t="inlineStr">
        <is>
          <t>Unmeasured</t>
        </is>
      </c>
      <c r="E425"/>
      <c r="F425"/>
      <c r="G425"/>
      <c r="H425"/>
      <c r="I425"/>
      <c r="J425"/>
      <c r="K425" t="inlineStr">
        <is>
          <t>Rattus norvegicus</t>
        </is>
      </c>
      <c r="L425" t="inlineStr">
        <is>
          <t>Norway Rat</t>
        </is>
      </c>
      <c r="M425" t="inlineStr">
        <is>
          <t>Mammals; Standard Test Species</t>
        </is>
      </c>
      <c r="N425"/>
      <c r="O425"/>
      <c r="P425" t="n">
        <v>60.0</v>
      </c>
      <c r="Q425"/>
      <c r="R425"/>
      <c r="S425"/>
      <c r="T425"/>
      <c r="U425" t="inlineStr">
        <is>
          <t>Day(s)</t>
        </is>
      </c>
      <c r="V425" t="inlineStr">
        <is>
          <t>Gavage</t>
        </is>
      </c>
      <c r="W425" t="inlineStr">
        <is>
          <t>No substrate</t>
        </is>
      </c>
      <c r="X425" t="inlineStr">
        <is>
          <t>Lab</t>
        </is>
      </c>
      <c r="Y425" t="n">
        <v>2.0</v>
      </c>
      <c r="Z425" t="inlineStr">
        <is>
          <t>Formulation</t>
        </is>
      </c>
      <c r="AA425"/>
      <c r="AB425" t="n">
        <v>5.0</v>
      </c>
      <c r="AC425"/>
      <c r="AD425"/>
      <c r="AE425"/>
      <c r="AF425"/>
      <c r="AG425" t="inlineStr">
        <is>
          <t>mg/kg/d</t>
        </is>
      </c>
      <c r="AH425"/>
      <c r="AI425"/>
      <c r="AJ425"/>
      <c r="AK425"/>
      <c r="AL425"/>
      <c r="AM425"/>
      <c r="AN425"/>
      <c r="AO425"/>
      <c r="AP425"/>
      <c r="AQ425"/>
      <c r="AR425"/>
      <c r="AS425"/>
      <c r="AT425"/>
      <c r="AU425"/>
      <c r="AV425"/>
      <c r="AW425"/>
      <c r="AX425" t="inlineStr">
        <is>
          <t>Accumulation</t>
        </is>
      </c>
      <c r="AY425" t="inlineStr">
        <is>
          <t>Residue</t>
        </is>
      </c>
      <c r="AZ425"/>
      <c r="BA425"/>
      <c r="BB425" t="n">
        <v>5.0</v>
      </c>
      <c r="BC425"/>
      <c r="BD425"/>
      <c r="BE425"/>
      <c r="BF425"/>
      <c r="BG425"/>
      <c r="BH425"/>
      <c r="BI425" t="inlineStr">
        <is>
          <t>mg/kg/d</t>
        </is>
      </c>
      <c r="BJ425" t="inlineStr">
        <is>
          <t>Liver</t>
        </is>
      </c>
      <c r="BK425"/>
      <c r="BL425" t="n">
        <v>21.0</v>
      </c>
      <c r="BM425"/>
      <c r="BN425"/>
      <c r="BO425"/>
      <c r="BP425"/>
      <c r="BQ425" t="inlineStr">
        <is>
          <t>Day(s)</t>
        </is>
      </c>
      <c r="BR425" t="inlineStr">
        <is>
          <t>Hu,W., P.D. Jones, B.L. Upham, J.E. Trosko, C. Lau, and J.P. Giesy</t>
        </is>
      </c>
      <c r="BS425" t="n">
        <v>178466.0</v>
      </c>
      <c r="BT425" t="inlineStr">
        <is>
          <t>Inhibition of Gap Junctional Intercellular Communication by Perfluorinated Compounds in Rat Liver and Dolphin Kidney Epithelial Cell Lines In Vitro and Sprague-Dawley Rats In Vivo</t>
        </is>
      </c>
      <c r="BU425" t="inlineStr">
        <is>
          <t>Toxicol. Sci.68(2): 429-436</t>
        </is>
      </c>
      <c r="BV425" t="n">
        <v>2002.0</v>
      </c>
      <c r="BW425" t="inlineStr">
        <is>
          <t>Hu,W., P.D. Jones, B.L. Upham, J.E. Trosko, C. Lau, and J.P. Giesy (2002). Inhibition of Gap Junctional Intercellular Communication by Perfluorinated Compounds in Rat Liver and Dolphin Kidney Epithelial Cell Lines In Vitro and Sprague-Dawley Rats In Vivo. Toxicol. Sci., 68, (2), 429-436. doi:10.1093/toxsci/68.2.429. ECOREF#:178466</t>
        </is>
      </c>
    </row>
    <row r="426">
      <c r="A426" t="n">
        <v>2795393.0</v>
      </c>
      <c r="B426" t="inlineStr">
        <is>
          <t>1,1,2,2,3,3,4,4,5,5,6,6,7,7,8,8,8-Heptadecafluoro-1-octanesulfonic acid potassium salt</t>
        </is>
      </c>
      <c r="C426"/>
      <c r="D426" t="inlineStr">
        <is>
          <t>Unmeasured</t>
        </is>
      </c>
      <c r="E426"/>
      <c r="F426"/>
      <c r="G426"/>
      <c r="H426"/>
      <c r="I426"/>
      <c r="J426"/>
      <c r="K426" t="inlineStr">
        <is>
          <t>Rattus norvegicus</t>
        </is>
      </c>
      <c r="L426" t="inlineStr">
        <is>
          <t>Norway Rat</t>
        </is>
      </c>
      <c r="M426" t="inlineStr">
        <is>
          <t>Mammals; Standard Test Species</t>
        </is>
      </c>
      <c r="N426"/>
      <c r="O426"/>
      <c r="P426" t="n">
        <v>60.0</v>
      </c>
      <c r="Q426"/>
      <c r="R426"/>
      <c r="S426"/>
      <c r="T426"/>
      <c r="U426" t="inlineStr">
        <is>
          <t>Day(s)</t>
        </is>
      </c>
      <c r="V426" t="inlineStr">
        <is>
          <t>Gavage</t>
        </is>
      </c>
      <c r="W426" t="inlineStr">
        <is>
          <t>No substrate</t>
        </is>
      </c>
      <c r="X426" t="inlineStr">
        <is>
          <t>Lab</t>
        </is>
      </c>
      <c r="Y426" t="n">
        <v>2.0</v>
      </c>
      <c r="Z426" t="inlineStr">
        <is>
          <t>Formulation</t>
        </is>
      </c>
      <c r="AA426"/>
      <c r="AB426" t="n">
        <v>5.0</v>
      </c>
      <c r="AC426"/>
      <c r="AD426"/>
      <c r="AE426"/>
      <c r="AF426"/>
      <c r="AG426" t="inlineStr">
        <is>
          <t>mg/kg/d</t>
        </is>
      </c>
      <c r="AH426"/>
      <c r="AI426"/>
      <c r="AJ426"/>
      <c r="AK426"/>
      <c r="AL426"/>
      <c r="AM426"/>
      <c r="AN426"/>
      <c r="AO426"/>
      <c r="AP426"/>
      <c r="AQ426"/>
      <c r="AR426"/>
      <c r="AS426"/>
      <c r="AT426"/>
      <c r="AU426"/>
      <c r="AV426"/>
      <c r="AW426"/>
      <c r="AX426" t="inlineStr">
        <is>
          <t>Accumulation</t>
        </is>
      </c>
      <c r="AY426" t="inlineStr">
        <is>
          <t>Residue</t>
        </is>
      </c>
      <c r="AZ426"/>
      <c r="BA426"/>
      <c r="BB426" t="n">
        <v>5.0</v>
      </c>
      <c r="BC426"/>
      <c r="BD426"/>
      <c r="BE426"/>
      <c r="BF426"/>
      <c r="BG426"/>
      <c r="BH426"/>
      <c r="BI426" t="inlineStr">
        <is>
          <t>mg/kg/d</t>
        </is>
      </c>
      <c r="BJ426" t="inlineStr">
        <is>
          <t>Liver</t>
        </is>
      </c>
      <c r="BK426"/>
      <c r="BL426" t="n">
        <v>21.0</v>
      </c>
      <c r="BM426"/>
      <c r="BN426"/>
      <c r="BO426"/>
      <c r="BP426"/>
      <c r="BQ426" t="inlineStr">
        <is>
          <t>Day(s)</t>
        </is>
      </c>
      <c r="BR426" t="inlineStr">
        <is>
          <t>Hu,W., P.D. Jones, B.L. Upham, J.E. Trosko, C. Lau, and J.P. Giesy</t>
        </is>
      </c>
      <c r="BS426" t="n">
        <v>178466.0</v>
      </c>
      <c r="BT426" t="inlineStr">
        <is>
          <t>Inhibition of Gap Junctional Intercellular Communication by Perfluorinated Compounds in Rat Liver and Dolphin Kidney Epithelial Cell Lines In Vitro and Sprague-Dawley Rats In Vivo</t>
        </is>
      </c>
      <c r="BU426" t="inlineStr">
        <is>
          <t>Toxicol. Sci.68(2): 429-436</t>
        </is>
      </c>
      <c r="BV426" t="n">
        <v>2002.0</v>
      </c>
      <c r="BW426" t="inlineStr">
        <is>
          <t>Hu,W., P.D. Jones, B.L. Upham, J.E. Trosko, C. Lau, and J.P. Giesy (2002). Inhibition of Gap Junctional Intercellular Communication by Perfluorinated Compounds in Rat Liver and Dolphin Kidney Epithelial Cell Lines In Vitro and Sprague-Dawley Rats In Vivo. Toxicol. Sci., 68, (2), 429-436. doi:10.1093/toxsci/68.2.429. ECOREF#:178466</t>
        </is>
      </c>
    </row>
    <row r="427">
      <c r="A427" t="n">
        <v>2795393.0</v>
      </c>
      <c r="B427" t="inlineStr">
        <is>
          <t>1,1,2,2,3,3,4,4,5,5,6,6,7,7,8,8,8-Heptadecafluoro-1-octanesulfonic acid potassium salt</t>
        </is>
      </c>
      <c r="C427"/>
      <c r="D427" t="inlineStr">
        <is>
          <t>Unmeasured</t>
        </is>
      </c>
      <c r="E427"/>
      <c r="F427"/>
      <c r="G427"/>
      <c r="H427"/>
      <c r="I427"/>
      <c r="J427"/>
      <c r="K427" t="inlineStr">
        <is>
          <t>Rattus norvegicus</t>
        </is>
      </c>
      <c r="L427" t="inlineStr">
        <is>
          <t>Norway Rat</t>
        </is>
      </c>
      <c r="M427" t="inlineStr">
        <is>
          <t>Mammals; Standard Test Species</t>
        </is>
      </c>
      <c r="N427"/>
      <c r="O427"/>
      <c r="P427" t="n">
        <v>60.0</v>
      </c>
      <c r="Q427"/>
      <c r="R427"/>
      <c r="S427"/>
      <c r="T427"/>
      <c r="U427" t="inlineStr">
        <is>
          <t>Day(s)</t>
        </is>
      </c>
      <c r="V427" t="inlineStr">
        <is>
          <t>Gavage</t>
        </is>
      </c>
      <c r="W427" t="inlineStr">
        <is>
          <t>No substrate</t>
        </is>
      </c>
      <c r="X427" t="inlineStr">
        <is>
          <t>Lab</t>
        </is>
      </c>
      <c r="Y427" t="n">
        <v>2.0</v>
      </c>
      <c r="Z427" t="inlineStr">
        <is>
          <t>Formulation</t>
        </is>
      </c>
      <c r="AA427"/>
      <c r="AB427" t="n">
        <v>5.0</v>
      </c>
      <c r="AC427"/>
      <c r="AD427"/>
      <c r="AE427"/>
      <c r="AF427"/>
      <c r="AG427" t="inlineStr">
        <is>
          <t>mg/kg/d</t>
        </is>
      </c>
      <c r="AH427"/>
      <c r="AI427"/>
      <c r="AJ427"/>
      <c r="AK427"/>
      <c r="AL427"/>
      <c r="AM427"/>
      <c r="AN427"/>
      <c r="AO427"/>
      <c r="AP427"/>
      <c r="AQ427"/>
      <c r="AR427"/>
      <c r="AS427"/>
      <c r="AT427"/>
      <c r="AU427"/>
      <c r="AV427"/>
      <c r="AW427"/>
      <c r="AX427" t="inlineStr">
        <is>
          <t>Accumulation</t>
        </is>
      </c>
      <c r="AY427" t="inlineStr">
        <is>
          <t>Residue</t>
        </is>
      </c>
      <c r="AZ427"/>
      <c r="BA427"/>
      <c r="BB427" t="n">
        <v>5.0</v>
      </c>
      <c r="BC427"/>
      <c r="BD427"/>
      <c r="BE427"/>
      <c r="BF427"/>
      <c r="BG427"/>
      <c r="BH427"/>
      <c r="BI427" t="inlineStr">
        <is>
          <t>mg/kg/d</t>
        </is>
      </c>
      <c r="BJ427" t="inlineStr">
        <is>
          <t>Liver</t>
        </is>
      </c>
      <c r="BK427"/>
      <c r="BL427" t="n">
        <v>3.0</v>
      </c>
      <c r="BM427"/>
      <c r="BN427"/>
      <c r="BO427"/>
      <c r="BP427"/>
      <c r="BQ427" t="inlineStr">
        <is>
          <t>Day(s)</t>
        </is>
      </c>
      <c r="BR427" t="inlineStr">
        <is>
          <t>Hu,W., P.D. Jones, B.L. Upham, J.E. Trosko, C. Lau, and J.P. Giesy</t>
        </is>
      </c>
      <c r="BS427" t="n">
        <v>178466.0</v>
      </c>
      <c r="BT427" t="inlineStr">
        <is>
          <t>Inhibition of Gap Junctional Intercellular Communication by Perfluorinated Compounds in Rat Liver and Dolphin Kidney Epithelial Cell Lines In Vitro and Sprague-Dawley Rats In Vivo</t>
        </is>
      </c>
      <c r="BU427" t="inlineStr">
        <is>
          <t>Toxicol. Sci.68(2): 429-436</t>
        </is>
      </c>
      <c r="BV427" t="n">
        <v>2002.0</v>
      </c>
      <c r="BW427" t="inlineStr">
        <is>
          <t>Hu,W., P.D. Jones, B.L. Upham, J.E. Trosko, C. Lau, and J.P. Giesy (2002). Inhibition of Gap Junctional Intercellular Communication by Perfluorinated Compounds in Rat Liver and Dolphin Kidney Epithelial Cell Lines In Vitro and Sprague-Dawley Rats In Vivo. Toxicol. Sci., 68, (2), 429-436. doi:10.1093/toxsci/68.2.429. ECOREF#:178466</t>
        </is>
      </c>
    </row>
    <row r="428">
      <c r="A428" t="n">
        <v>2795393.0</v>
      </c>
      <c r="B428" t="inlineStr">
        <is>
          <t>1,1,2,2,3,3,4,4,5,5,6,6,7,7,8,8,8-Heptadecafluoro-1-octanesulfonic acid potassium salt</t>
        </is>
      </c>
      <c r="C428"/>
      <c r="D428" t="inlineStr">
        <is>
          <t>Unmeasured</t>
        </is>
      </c>
      <c r="E428" t="inlineStr">
        <is>
          <t>&gt;=</t>
        </is>
      </c>
      <c r="F428" t="n">
        <v>98.0</v>
      </c>
      <c r="G428"/>
      <c r="H428"/>
      <c r="I428"/>
      <c r="J428"/>
      <c r="K428" t="inlineStr">
        <is>
          <t>Solanum lycopersicum</t>
        </is>
      </c>
      <c r="L428" t="inlineStr">
        <is>
          <t xml:space="preserve">Garden Tomato </t>
        </is>
      </c>
      <c r="M428" t="inlineStr">
        <is>
          <t>Flowers, Trees, Shrubs, Ferns; Standard Test Species</t>
        </is>
      </c>
      <c r="N428" t="inlineStr">
        <is>
          <t>Seedling</t>
        </is>
      </c>
      <c r="O428"/>
      <c r="P428" t="n">
        <v>14.0</v>
      </c>
      <c r="Q428"/>
      <c r="R428"/>
      <c r="S428"/>
      <c r="T428"/>
      <c r="U428" t="inlineStr">
        <is>
          <t>Days post planting/sowing</t>
        </is>
      </c>
      <c r="V428" t="inlineStr">
        <is>
          <t>Hydroponic</t>
        </is>
      </c>
      <c r="W428" t="inlineStr">
        <is>
          <t>Culture</t>
        </is>
      </c>
      <c r="X428" t="inlineStr">
        <is>
          <t>Lab</t>
        </is>
      </c>
      <c r="Y428" t="n">
        <v>5.0</v>
      </c>
      <c r="Z428" t="inlineStr">
        <is>
          <t>Active ingredient</t>
        </is>
      </c>
      <c r="AA428"/>
      <c r="AB428"/>
      <c r="AC428"/>
      <c r="AD428" t="n">
        <v>10.0</v>
      </c>
      <c r="AE428"/>
      <c r="AF428" t="n">
        <v>1000.0</v>
      </c>
      <c r="AG428" t="inlineStr">
        <is>
          <t>ng/L</t>
        </is>
      </c>
      <c r="AH428"/>
      <c r="AI428"/>
      <c r="AJ428"/>
      <c r="AK428"/>
      <c r="AL428"/>
      <c r="AM428"/>
      <c r="AN428"/>
      <c r="AO428"/>
      <c r="AP428"/>
      <c r="AQ428"/>
      <c r="AR428"/>
      <c r="AS428"/>
      <c r="AT428"/>
      <c r="AU428"/>
      <c r="AV428"/>
      <c r="AW428"/>
      <c r="AX428" t="inlineStr">
        <is>
          <t>Accumulation</t>
        </is>
      </c>
      <c r="AY428" t="inlineStr">
        <is>
          <t>Residue</t>
        </is>
      </c>
      <c r="AZ428" t="inlineStr">
        <is>
          <t>BCF</t>
        </is>
      </c>
      <c r="BA428"/>
      <c r="BB428"/>
      <c r="BC428"/>
      <c r="BD428" t="n">
        <v>6.0</v>
      </c>
      <c r="BE428"/>
      <c r="BF428" t="n">
        <v>8.0</v>
      </c>
      <c r="BG428"/>
      <c r="BH428"/>
      <c r="BI428" t="inlineStr">
        <is>
          <t>ml/g</t>
        </is>
      </c>
      <c r="BJ428" t="inlineStr">
        <is>
          <t>Petiole</t>
        </is>
      </c>
      <c r="BK428"/>
      <c r="BL428"/>
      <c r="BM428"/>
      <c r="BN428" t="n">
        <v>84.0</v>
      </c>
      <c r="BO428"/>
      <c r="BP428" t="n">
        <v>138.0</v>
      </c>
      <c r="BQ428" t="inlineStr">
        <is>
          <t>Day(s)</t>
        </is>
      </c>
      <c r="BR428" t="inlineStr">
        <is>
          <t>Felizeter,S., M.S. McLachlan, and P. De Voogt</t>
        </is>
      </c>
      <c r="BS428" t="n">
        <v>176914.0</v>
      </c>
      <c r="BT428" t="inlineStr">
        <is>
          <t>Root Uptake and Translocation of Perfluorinated Alkyl Acids by Three Hydroponically Grown Crops</t>
        </is>
      </c>
      <c r="BU428" t="inlineStr">
        <is>
          <t>J. Agric. Food Chem.62(15): 3334-3342</t>
        </is>
      </c>
      <c r="BV428" t="n">
        <v>2014.0</v>
      </c>
      <c r="BW428" t="inlineStr">
        <is>
          <t>Felizeter,S., M.S. McLachlan, and P. De Voogt (2014). Root Uptake and Translocation of Perfluorinated Alkyl Acids by Three Hydroponically Grown Crops. J. Agric. Food Chem., 62, (15), 3334-3342. doi:10.1021/jf500674j. ECOREF#:176914</t>
        </is>
      </c>
    </row>
    <row r="429">
      <c r="A429" t="n">
        <v>2795393.0</v>
      </c>
      <c r="B429" t="inlineStr">
        <is>
          <t>1,1,2,2,3,3,4,4,5,5,6,6,7,7,8,8,8-Heptadecafluoro-1-octanesulfonic acid potassium salt</t>
        </is>
      </c>
      <c r="C429"/>
      <c r="D429" t="inlineStr">
        <is>
          <t>Unmeasured</t>
        </is>
      </c>
      <c r="E429" t="inlineStr">
        <is>
          <t>&gt;=</t>
        </is>
      </c>
      <c r="F429" t="n">
        <v>98.0</v>
      </c>
      <c r="G429"/>
      <c r="H429"/>
      <c r="I429"/>
      <c r="J429"/>
      <c r="K429" t="inlineStr">
        <is>
          <t>Solanum lycopersicum</t>
        </is>
      </c>
      <c r="L429" t="inlineStr">
        <is>
          <t xml:space="preserve">Garden Tomato </t>
        </is>
      </c>
      <c r="M429" t="inlineStr">
        <is>
          <t>Flowers, Trees, Shrubs, Ferns; Standard Test Species</t>
        </is>
      </c>
      <c r="N429" t="inlineStr">
        <is>
          <t>Seedling</t>
        </is>
      </c>
      <c r="O429"/>
      <c r="P429" t="n">
        <v>14.0</v>
      </c>
      <c r="Q429"/>
      <c r="R429"/>
      <c r="S429"/>
      <c r="T429"/>
      <c r="U429" t="inlineStr">
        <is>
          <t>Days post planting/sowing</t>
        </is>
      </c>
      <c r="V429" t="inlineStr">
        <is>
          <t>Hydroponic</t>
        </is>
      </c>
      <c r="W429" t="inlineStr">
        <is>
          <t>Culture</t>
        </is>
      </c>
      <c r="X429" t="inlineStr">
        <is>
          <t>Lab</t>
        </is>
      </c>
      <c r="Y429" t="n">
        <v>5.0</v>
      </c>
      <c r="Z429" t="inlineStr">
        <is>
          <t>Active ingredient</t>
        </is>
      </c>
      <c r="AA429"/>
      <c r="AB429"/>
      <c r="AC429"/>
      <c r="AD429" t="n">
        <v>10.0</v>
      </c>
      <c r="AE429"/>
      <c r="AF429" t="n">
        <v>1000.0</v>
      </c>
      <c r="AG429" t="inlineStr">
        <is>
          <t>ng/L</t>
        </is>
      </c>
      <c r="AH429"/>
      <c r="AI429"/>
      <c r="AJ429"/>
      <c r="AK429"/>
      <c r="AL429"/>
      <c r="AM429"/>
      <c r="AN429"/>
      <c r="AO429"/>
      <c r="AP429"/>
      <c r="AQ429"/>
      <c r="AR429"/>
      <c r="AS429"/>
      <c r="AT429"/>
      <c r="AU429"/>
      <c r="AV429"/>
      <c r="AW429"/>
      <c r="AX429" t="inlineStr">
        <is>
          <t>Accumulation</t>
        </is>
      </c>
      <c r="AY429" t="inlineStr">
        <is>
          <t>Residue</t>
        </is>
      </c>
      <c r="AZ429" t="inlineStr">
        <is>
          <t>BCF</t>
        </is>
      </c>
      <c r="BA429"/>
      <c r="BB429"/>
      <c r="BC429"/>
      <c r="BD429" t="n">
        <v>8.0</v>
      </c>
      <c r="BE429"/>
      <c r="BF429" t="n">
        <v>10.0</v>
      </c>
      <c r="BG429"/>
      <c r="BH429"/>
      <c r="BI429" t="inlineStr">
        <is>
          <t>ml/g</t>
        </is>
      </c>
      <c r="BJ429" t="inlineStr">
        <is>
          <t>Stem</t>
        </is>
      </c>
      <c r="BK429"/>
      <c r="BL429"/>
      <c r="BM429"/>
      <c r="BN429" t="n">
        <v>84.0</v>
      </c>
      <c r="BO429"/>
      <c r="BP429" t="n">
        <v>138.0</v>
      </c>
      <c r="BQ429" t="inlineStr">
        <is>
          <t>Day(s)</t>
        </is>
      </c>
      <c r="BR429" t="inlineStr">
        <is>
          <t>Felizeter,S., M.S. McLachlan, and P. De Voogt</t>
        </is>
      </c>
      <c r="BS429" t="n">
        <v>176914.0</v>
      </c>
      <c r="BT429" t="inlineStr">
        <is>
          <t>Root Uptake and Translocation of Perfluorinated Alkyl Acids by Three Hydroponically Grown Crops</t>
        </is>
      </c>
      <c r="BU429" t="inlineStr">
        <is>
          <t>J. Agric. Food Chem.62(15): 3334-3342</t>
        </is>
      </c>
      <c r="BV429" t="n">
        <v>2014.0</v>
      </c>
      <c r="BW429" t="inlineStr">
        <is>
          <t>Felizeter,S., M.S. McLachlan, and P. De Voogt (2014). Root Uptake and Translocation of Perfluorinated Alkyl Acids by Three Hydroponically Grown Crops. J. Agric. Food Chem., 62, (15), 3334-3342. doi:10.1021/jf500674j. ECOREF#:176914</t>
        </is>
      </c>
    </row>
    <row r="430">
      <c r="A430" t="n">
        <v>2795393.0</v>
      </c>
      <c r="B430" t="inlineStr">
        <is>
          <t>1,1,2,2,3,3,4,4,5,5,6,6,7,7,8,8,8-Heptadecafluoro-1-octanesulfonic acid potassium salt</t>
        </is>
      </c>
      <c r="C430"/>
      <c r="D430" t="inlineStr">
        <is>
          <t>Unmeasured</t>
        </is>
      </c>
      <c r="E430" t="inlineStr">
        <is>
          <t>&gt;=</t>
        </is>
      </c>
      <c r="F430" t="n">
        <v>98.0</v>
      </c>
      <c r="G430"/>
      <c r="H430"/>
      <c r="I430"/>
      <c r="J430"/>
      <c r="K430" t="inlineStr">
        <is>
          <t>Solanum lycopersicum</t>
        </is>
      </c>
      <c r="L430" t="inlineStr">
        <is>
          <t xml:space="preserve">Garden Tomato </t>
        </is>
      </c>
      <c r="M430" t="inlineStr">
        <is>
          <t>Flowers, Trees, Shrubs, Ferns; Standard Test Species</t>
        </is>
      </c>
      <c r="N430" t="inlineStr">
        <is>
          <t>Seedling</t>
        </is>
      </c>
      <c r="O430"/>
      <c r="P430" t="n">
        <v>14.0</v>
      </c>
      <c r="Q430"/>
      <c r="R430"/>
      <c r="S430"/>
      <c r="T430"/>
      <c r="U430" t="inlineStr">
        <is>
          <t>Days post planting/sowing</t>
        </is>
      </c>
      <c r="V430" t="inlineStr">
        <is>
          <t>Hydroponic</t>
        </is>
      </c>
      <c r="W430" t="inlineStr">
        <is>
          <t>Culture</t>
        </is>
      </c>
      <c r="X430" t="inlineStr">
        <is>
          <t>Lab</t>
        </is>
      </c>
      <c r="Y430" t="n">
        <v>5.0</v>
      </c>
      <c r="Z430" t="inlineStr">
        <is>
          <t>Active ingredient</t>
        </is>
      </c>
      <c r="AA430"/>
      <c r="AB430"/>
      <c r="AC430"/>
      <c r="AD430" t="n">
        <v>10.0</v>
      </c>
      <c r="AE430"/>
      <c r="AF430" t="n">
        <v>1000.0</v>
      </c>
      <c r="AG430" t="inlineStr">
        <is>
          <t>ng/L</t>
        </is>
      </c>
      <c r="AH430"/>
      <c r="AI430"/>
      <c r="AJ430"/>
      <c r="AK430"/>
      <c r="AL430"/>
      <c r="AM430"/>
      <c r="AN430"/>
      <c r="AO430"/>
      <c r="AP430"/>
      <c r="AQ430"/>
      <c r="AR430"/>
      <c r="AS430"/>
      <c r="AT430"/>
      <c r="AU430"/>
      <c r="AV430"/>
      <c r="AW430"/>
      <c r="AX430" t="inlineStr">
        <is>
          <t>Accumulation</t>
        </is>
      </c>
      <c r="AY430" t="inlineStr">
        <is>
          <t>Residue</t>
        </is>
      </c>
      <c r="AZ430" t="inlineStr">
        <is>
          <t>BCF</t>
        </is>
      </c>
      <c r="BA430"/>
      <c r="BB430"/>
      <c r="BC430"/>
      <c r="BD430" t="n">
        <v>10.0</v>
      </c>
      <c r="BE430"/>
      <c r="BF430" t="n">
        <v>100.0</v>
      </c>
      <c r="BG430"/>
      <c r="BH430"/>
      <c r="BI430" t="inlineStr">
        <is>
          <t>ml/g</t>
        </is>
      </c>
      <c r="BJ430" t="inlineStr">
        <is>
          <t>Root</t>
        </is>
      </c>
      <c r="BK430"/>
      <c r="BL430"/>
      <c r="BM430"/>
      <c r="BN430" t="n">
        <v>84.0</v>
      </c>
      <c r="BO430"/>
      <c r="BP430" t="n">
        <v>138.0</v>
      </c>
      <c r="BQ430" t="inlineStr">
        <is>
          <t>Day(s)</t>
        </is>
      </c>
      <c r="BR430" t="inlineStr">
        <is>
          <t>Felizeter,S., M.S. McLachlan, and P. De Voogt</t>
        </is>
      </c>
      <c r="BS430" t="n">
        <v>176914.0</v>
      </c>
      <c r="BT430" t="inlineStr">
        <is>
          <t>Root Uptake and Translocation of Perfluorinated Alkyl Acids by Three Hydroponically Grown Crops</t>
        </is>
      </c>
      <c r="BU430" t="inlineStr">
        <is>
          <t>J. Agric. Food Chem.62(15): 3334-3342</t>
        </is>
      </c>
      <c r="BV430" t="n">
        <v>2014.0</v>
      </c>
      <c r="BW430" t="inlineStr">
        <is>
          <t>Felizeter,S., M.S. McLachlan, and P. De Voogt (2014). Root Uptake and Translocation of Perfluorinated Alkyl Acids by Three Hydroponically Grown Crops. J. Agric. Food Chem., 62, (15), 3334-3342. doi:10.1021/jf500674j. ECOREF#:176914</t>
        </is>
      </c>
    </row>
    <row r="431">
      <c r="A431" t="n">
        <v>2795393.0</v>
      </c>
      <c r="B431" t="inlineStr">
        <is>
          <t>1,1,2,2,3,3,4,4,5,5,6,6,7,7,8,8,8-Heptadecafluoro-1-octanesulfonic acid potassium salt</t>
        </is>
      </c>
      <c r="C431"/>
      <c r="D431" t="inlineStr">
        <is>
          <t>Unmeasured</t>
        </is>
      </c>
      <c r="E431" t="inlineStr">
        <is>
          <t>&gt;=</t>
        </is>
      </c>
      <c r="F431" t="n">
        <v>98.0</v>
      </c>
      <c r="G431"/>
      <c r="H431"/>
      <c r="I431"/>
      <c r="J431"/>
      <c r="K431" t="inlineStr">
        <is>
          <t>Solanum lycopersicum</t>
        </is>
      </c>
      <c r="L431" t="inlineStr">
        <is>
          <t xml:space="preserve">Garden Tomato </t>
        </is>
      </c>
      <c r="M431" t="inlineStr">
        <is>
          <t>Flowers, Trees, Shrubs, Ferns; Standard Test Species</t>
        </is>
      </c>
      <c r="N431" t="inlineStr">
        <is>
          <t>Seedling</t>
        </is>
      </c>
      <c r="O431"/>
      <c r="P431" t="n">
        <v>14.0</v>
      </c>
      <c r="Q431"/>
      <c r="R431"/>
      <c r="S431"/>
      <c r="T431"/>
      <c r="U431" t="inlineStr">
        <is>
          <t>Days post planting/sowing</t>
        </is>
      </c>
      <c r="V431" t="inlineStr">
        <is>
          <t>Hydroponic</t>
        </is>
      </c>
      <c r="W431" t="inlineStr">
        <is>
          <t>Culture</t>
        </is>
      </c>
      <c r="X431" t="inlineStr">
        <is>
          <t>Lab</t>
        </is>
      </c>
      <c r="Y431" t="n">
        <v>5.0</v>
      </c>
      <c r="Z431" t="inlineStr">
        <is>
          <t>Active ingredient</t>
        </is>
      </c>
      <c r="AA431"/>
      <c r="AB431"/>
      <c r="AC431"/>
      <c r="AD431" t="n">
        <v>10.0</v>
      </c>
      <c r="AE431"/>
      <c r="AF431" t="n">
        <v>1000.0</v>
      </c>
      <c r="AG431" t="inlineStr">
        <is>
          <t>ng/L</t>
        </is>
      </c>
      <c r="AH431"/>
      <c r="AI431"/>
      <c r="AJ431"/>
      <c r="AK431"/>
      <c r="AL431"/>
      <c r="AM431"/>
      <c r="AN431"/>
      <c r="AO431"/>
      <c r="AP431"/>
      <c r="AQ431"/>
      <c r="AR431"/>
      <c r="AS431"/>
      <c r="AT431"/>
      <c r="AU431"/>
      <c r="AV431"/>
      <c r="AW431"/>
      <c r="AX431" t="inlineStr">
        <is>
          <t>Accumulation</t>
        </is>
      </c>
      <c r="AY431" t="inlineStr">
        <is>
          <t>Residue</t>
        </is>
      </c>
      <c r="AZ431" t="inlineStr">
        <is>
          <t>BCF</t>
        </is>
      </c>
      <c r="BA431"/>
      <c r="BB431"/>
      <c r="BC431"/>
      <c r="BD431" t="n">
        <v>0.1</v>
      </c>
      <c r="BE431"/>
      <c r="BF431" t="n">
        <v>0.15</v>
      </c>
      <c r="BG431"/>
      <c r="BH431"/>
      <c r="BI431" t="inlineStr">
        <is>
          <t>ml/g</t>
        </is>
      </c>
      <c r="BJ431" t="inlineStr">
        <is>
          <t>Sap</t>
        </is>
      </c>
      <c r="BK431"/>
      <c r="BL431"/>
      <c r="BM431"/>
      <c r="BN431" t="n">
        <v>84.0</v>
      </c>
      <c r="BO431"/>
      <c r="BP431" t="n">
        <v>138.0</v>
      </c>
      <c r="BQ431" t="inlineStr">
        <is>
          <t>Day(s)</t>
        </is>
      </c>
      <c r="BR431" t="inlineStr">
        <is>
          <t>Felizeter,S., M.S. McLachlan, and P. De Voogt</t>
        </is>
      </c>
      <c r="BS431" t="n">
        <v>176914.0</v>
      </c>
      <c r="BT431" t="inlineStr">
        <is>
          <t>Root Uptake and Translocation of Perfluorinated Alkyl Acids by Three Hydroponically Grown Crops</t>
        </is>
      </c>
      <c r="BU431" t="inlineStr">
        <is>
          <t>J. Agric. Food Chem.62(15): 3334-3342</t>
        </is>
      </c>
      <c r="BV431" t="n">
        <v>2014.0</v>
      </c>
      <c r="BW431" t="inlineStr">
        <is>
          <t>Felizeter,S., M.S. McLachlan, and P. De Voogt (2014). Root Uptake and Translocation of Perfluorinated Alkyl Acids by Three Hydroponically Grown Crops. J. Agric. Food Chem., 62, (15), 3334-3342. doi:10.1021/jf500674j. ECOREF#:176914</t>
        </is>
      </c>
    </row>
    <row r="432">
      <c r="A432" t="n">
        <v>2795393.0</v>
      </c>
      <c r="B432" t="inlineStr">
        <is>
          <t>1,1,2,2,3,3,4,4,5,5,6,6,7,7,8,8,8-Heptadecafluoro-1-octanesulfonic acid potassium salt</t>
        </is>
      </c>
      <c r="C432"/>
      <c r="D432" t="inlineStr">
        <is>
          <t>Unmeasured</t>
        </is>
      </c>
      <c r="E432" t="inlineStr">
        <is>
          <t>&gt;=</t>
        </is>
      </c>
      <c r="F432" t="n">
        <v>98.0</v>
      </c>
      <c r="G432"/>
      <c r="H432"/>
      <c r="I432"/>
      <c r="J432"/>
      <c r="K432" t="inlineStr">
        <is>
          <t>Solanum lycopersicum</t>
        </is>
      </c>
      <c r="L432" t="inlineStr">
        <is>
          <t xml:space="preserve">Garden Tomato </t>
        </is>
      </c>
      <c r="M432" t="inlineStr">
        <is>
          <t>Flowers, Trees, Shrubs, Ferns; Standard Test Species</t>
        </is>
      </c>
      <c r="N432" t="inlineStr">
        <is>
          <t>Seedling</t>
        </is>
      </c>
      <c r="O432"/>
      <c r="P432" t="n">
        <v>14.0</v>
      </c>
      <c r="Q432"/>
      <c r="R432"/>
      <c r="S432"/>
      <c r="T432"/>
      <c r="U432" t="inlineStr">
        <is>
          <t>Days post planting/sowing</t>
        </is>
      </c>
      <c r="V432" t="inlineStr">
        <is>
          <t>Hydroponic</t>
        </is>
      </c>
      <c r="W432" t="inlineStr">
        <is>
          <t>Culture</t>
        </is>
      </c>
      <c r="X432" t="inlineStr">
        <is>
          <t>Lab</t>
        </is>
      </c>
      <c r="Y432" t="n">
        <v>5.0</v>
      </c>
      <c r="Z432" t="inlineStr">
        <is>
          <t>Active ingredient</t>
        </is>
      </c>
      <c r="AA432"/>
      <c r="AB432"/>
      <c r="AC432"/>
      <c r="AD432" t="n">
        <v>10.0</v>
      </c>
      <c r="AE432"/>
      <c r="AF432" t="n">
        <v>1000.0</v>
      </c>
      <c r="AG432" t="inlineStr">
        <is>
          <t>ng/L</t>
        </is>
      </c>
      <c r="AH432"/>
      <c r="AI432"/>
      <c r="AJ432"/>
      <c r="AK432"/>
      <c r="AL432"/>
      <c r="AM432"/>
      <c r="AN432"/>
      <c r="AO432"/>
      <c r="AP432"/>
      <c r="AQ432"/>
      <c r="AR432"/>
      <c r="AS432"/>
      <c r="AT432"/>
      <c r="AU432"/>
      <c r="AV432"/>
      <c r="AW432"/>
      <c r="AX432" t="inlineStr">
        <is>
          <t>Accumulation</t>
        </is>
      </c>
      <c r="AY432" t="inlineStr">
        <is>
          <t>Residue</t>
        </is>
      </c>
      <c r="AZ432" t="inlineStr">
        <is>
          <t>BCF</t>
        </is>
      </c>
      <c r="BA432"/>
      <c r="BB432"/>
      <c r="BC432"/>
      <c r="BD432" t="n">
        <v>0.01</v>
      </c>
      <c r="BE432"/>
      <c r="BF432" t="n">
        <v>0.1</v>
      </c>
      <c r="BG432"/>
      <c r="BH432"/>
      <c r="BI432" t="inlineStr">
        <is>
          <t>ml/g</t>
        </is>
      </c>
      <c r="BJ432" t="inlineStr">
        <is>
          <t>Edible tissue</t>
        </is>
      </c>
      <c r="BK432"/>
      <c r="BL432"/>
      <c r="BM432"/>
      <c r="BN432" t="n">
        <v>84.0</v>
      </c>
      <c r="BO432"/>
      <c r="BP432" t="n">
        <v>138.0</v>
      </c>
      <c r="BQ432" t="inlineStr">
        <is>
          <t>Day(s)</t>
        </is>
      </c>
      <c r="BR432" t="inlineStr">
        <is>
          <t>Felizeter,S., M.S. McLachlan, and P. De Voogt</t>
        </is>
      </c>
      <c r="BS432" t="n">
        <v>176914.0</v>
      </c>
      <c r="BT432" t="inlineStr">
        <is>
          <t>Root Uptake and Translocation of Perfluorinated Alkyl Acids by Three Hydroponically Grown Crops</t>
        </is>
      </c>
      <c r="BU432" t="inlineStr">
        <is>
          <t>J. Agric. Food Chem.62(15): 3334-3342</t>
        </is>
      </c>
      <c r="BV432" t="n">
        <v>2014.0</v>
      </c>
      <c r="BW432" t="inlineStr">
        <is>
          <t>Felizeter,S., M.S. McLachlan, and P. De Voogt (2014). Root Uptake and Translocation of Perfluorinated Alkyl Acids by Three Hydroponically Grown Crops. J. Agric. Food Chem., 62, (15), 3334-3342. doi:10.1021/jf500674j. ECOREF#:176914</t>
        </is>
      </c>
    </row>
    <row r="433">
      <c r="A433" t="n">
        <v>2795393.0</v>
      </c>
      <c r="B433" t="inlineStr">
        <is>
          <t>1,1,2,2,3,3,4,4,5,5,6,6,7,7,8,8,8-Heptadecafluoro-1-octanesulfonic acid potassium salt</t>
        </is>
      </c>
      <c r="C433"/>
      <c r="D433" t="inlineStr">
        <is>
          <t>Unmeasured</t>
        </is>
      </c>
      <c r="E433" t="inlineStr">
        <is>
          <t>&gt;=</t>
        </is>
      </c>
      <c r="F433" t="n">
        <v>98.0</v>
      </c>
      <c r="G433"/>
      <c r="H433"/>
      <c r="I433"/>
      <c r="J433"/>
      <c r="K433" t="inlineStr">
        <is>
          <t>Solanum lycopersicum</t>
        </is>
      </c>
      <c r="L433" t="inlineStr">
        <is>
          <t xml:space="preserve">Garden Tomato </t>
        </is>
      </c>
      <c r="M433" t="inlineStr">
        <is>
          <t>Flowers, Trees, Shrubs, Ferns; Standard Test Species</t>
        </is>
      </c>
      <c r="N433" t="inlineStr">
        <is>
          <t>Seedling</t>
        </is>
      </c>
      <c r="O433"/>
      <c r="P433" t="n">
        <v>14.0</v>
      </c>
      <c r="Q433"/>
      <c r="R433"/>
      <c r="S433"/>
      <c r="T433"/>
      <c r="U433" t="inlineStr">
        <is>
          <t>Days post planting/sowing</t>
        </is>
      </c>
      <c r="V433" t="inlineStr">
        <is>
          <t>Hydroponic</t>
        </is>
      </c>
      <c r="W433" t="inlineStr">
        <is>
          <t>Culture</t>
        </is>
      </c>
      <c r="X433" t="inlineStr">
        <is>
          <t>Lab</t>
        </is>
      </c>
      <c r="Y433" t="n">
        <v>5.0</v>
      </c>
      <c r="Z433" t="inlineStr">
        <is>
          <t>Active ingredient</t>
        </is>
      </c>
      <c r="AA433"/>
      <c r="AB433"/>
      <c r="AC433"/>
      <c r="AD433" t="n">
        <v>10.0</v>
      </c>
      <c r="AE433"/>
      <c r="AF433" t="n">
        <v>1000.0</v>
      </c>
      <c r="AG433" t="inlineStr">
        <is>
          <t>ng/L</t>
        </is>
      </c>
      <c r="AH433"/>
      <c r="AI433"/>
      <c r="AJ433"/>
      <c r="AK433"/>
      <c r="AL433"/>
      <c r="AM433"/>
      <c r="AN433"/>
      <c r="AO433"/>
      <c r="AP433"/>
      <c r="AQ433"/>
      <c r="AR433"/>
      <c r="AS433"/>
      <c r="AT433"/>
      <c r="AU433"/>
      <c r="AV433"/>
      <c r="AW433"/>
      <c r="AX433" t="inlineStr">
        <is>
          <t>Accumulation</t>
        </is>
      </c>
      <c r="AY433" t="inlineStr">
        <is>
          <t>Residue</t>
        </is>
      </c>
      <c r="AZ433" t="inlineStr">
        <is>
          <t>BCF</t>
        </is>
      </c>
      <c r="BA433"/>
      <c r="BB433"/>
      <c r="BC433"/>
      <c r="BD433" t="n">
        <v>20.0</v>
      </c>
      <c r="BE433"/>
      <c r="BF433" t="n">
        <v>30.0</v>
      </c>
      <c r="BG433"/>
      <c r="BH433"/>
      <c r="BI433" t="inlineStr">
        <is>
          <t>ml/g</t>
        </is>
      </c>
      <c r="BJ433" t="inlineStr">
        <is>
          <t>Leafneedle</t>
        </is>
      </c>
      <c r="BK433"/>
      <c r="BL433"/>
      <c r="BM433"/>
      <c r="BN433" t="n">
        <v>84.0</v>
      </c>
      <c r="BO433"/>
      <c r="BP433" t="n">
        <v>138.0</v>
      </c>
      <c r="BQ433" t="inlineStr">
        <is>
          <t>Day(s)</t>
        </is>
      </c>
      <c r="BR433" t="inlineStr">
        <is>
          <t>Felizeter,S., M.S. McLachlan, and P. De Voogt</t>
        </is>
      </c>
      <c r="BS433" t="n">
        <v>176914.0</v>
      </c>
      <c r="BT433" t="inlineStr">
        <is>
          <t>Root Uptake and Translocation of Perfluorinated Alkyl Acids by Three Hydroponically Grown Crops</t>
        </is>
      </c>
      <c r="BU433" t="inlineStr">
        <is>
          <t>J. Agric. Food Chem.62(15): 3334-3342</t>
        </is>
      </c>
      <c r="BV433" t="n">
        <v>2014.0</v>
      </c>
      <c r="BW433" t="inlineStr">
        <is>
          <t>Felizeter,S., M.S. McLachlan, and P. De Voogt (2014). Root Uptake and Translocation of Perfluorinated Alkyl Acids by Three Hydroponically Grown Crops. J. Agric. Food Chem., 62, (15), 3334-3342. doi:10.1021/jf500674j. ECOREF#:176914</t>
        </is>
      </c>
    </row>
    <row r="434">
      <c r="A434" t="n">
        <v>2795393.0</v>
      </c>
      <c r="B434" t="inlineStr">
        <is>
          <t>1,1,2,2,3,3,4,4,5,5,6,6,7,7,8,8,8-Heptadecafluoro-1-octanesulfonic acid potassium salt</t>
        </is>
      </c>
      <c r="C434"/>
      <c r="D434" t="inlineStr">
        <is>
          <t>Unmeasured</t>
        </is>
      </c>
      <c r="E434" t="inlineStr">
        <is>
          <t>&gt;=</t>
        </is>
      </c>
      <c r="F434" t="n">
        <v>98.0</v>
      </c>
      <c r="G434"/>
      <c r="H434"/>
      <c r="I434"/>
      <c r="J434"/>
      <c r="K434" t="inlineStr">
        <is>
          <t>Solanum lycopersicum</t>
        </is>
      </c>
      <c r="L434" t="inlineStr">
        <is>
          <t xml:space="preserve">Garden Tomato </t>
        </is>
      </c>
      <c r="M434" t="inlineStr">
        <is>
          <t>Flowers, Trees, Shrubs, Ferns; Standard Test Species</t>
        </is>
      </c>
      <c r="N434" t="inlineStr">
        <is>
          <t>Seedling</t>
        </is>
      </c>
      <c r="O434"/>
      <c r="P434" t="n">
        <v>14.0</v>
      </c>
      <c r="Q434"/>
      <c r="R434"/>
      <c r="S434"/>
      <c r="T434"/>
      <c r="U434" t="inlineStr">
        <is>
          <t>Days post planting/sowing</t>
        </is>
      </c>
      <c r="V434" t="inlineStr">
        <is>
          <t>Hydroponic</t>
        </is>
      </c>
      <c r="W434" t="inlineStr">
        <is>
          <t>Culture</t>
        </is>
      </c>
      <c r="X434" t="inlineStr">
        <is>
          <t>Lab</t>
        </is>
      </c>
      <c r="Y434" t="n">
        <v>5.0</v>
      </c>
      <c r="Z434" t="inlineStr">
        <is>
          <t>Active ingredient</t>
        </is>
      </c>
      <c r="AA434"/>
      <c r="AB434"/>
      <c r="AC434"/>
      <c r="AD434" t="n">
        <v>10.0</v>
      </c>
      <c r="AE434"/>
      <c r="AF434" t="n">
        <v>1000.0</v>
      </c>
      <c r="AG434" t="inlineStr">
        <is>
          <t>ng/L</t>
        </is>
      </c>
      <c r="AH434"/>
      <c r="AI434"/>
      <c r="AJ434"/>
      <c r="AK434"/>
      <c r="AL434"/>
      <c r="AM434"/>
      <c r="AN434"/>
      <c r="AO434"/>
      <c r="AP434"/>
      <c r="AQ434"/>
      <c r="AR434"/>
      <c r="AS434"/>
      <c r="AT434"/>
      <c r="AU434"/>
      <c r="AV434"/>
      <c r="AW434"/>
      <c r="AX434" t="inlineStr">
        <is>
          <t>Accumulation</t>
        </is>
      </c>
      <c r="AY434" t="inlineStr">
        <is>
          <t>Residue</t>
        </is>
      </c>
      <c r="AZ434" t="inlineStr">
        <is>
          <t>BCF</t>
        </is>
      </c>
      <c r="BA434"/>
      <c r="BB434"/>
      <c r="BC434"/>
      <c r="BD434" t="n">
        <v>0.1</v>
      </c>
      <c r="BE434"/>
      <c r="BF434" t="n">
        <v>0.15</v>
      </c>
      <c r="BG434"/>
      <c r="BH434"/>
      <c r="BI434" t="inlineStr">
        <is>
          <t>ml/g</t>
        </is>
      </c>
      <c r="BJ434" t="inlineStr">
        <is>
          <t>Sap</t>
        </is>
      </c>
      <c r="BK434"/>
      <c r="BL434"/>
      <c r="BM434"/>
      <c r="BN434" t="n">
        <v>84.0</v>
      </c>
      <c r="BO434"/>
      <c r="BP434" t="n">
        <v>138.0</v>
      </c>
      <c r="BQ434" t="inlineStr">
        <is>
          <t>Day(s)</t>
        </is>
      </c>
      <c r="BR434" t="inlineStr">
        <is>
          <t>Felizeter,S., M.S. McLachlan, and P. De Voogt</t>
        </is>
      </c>
      <c r="BS434" t="n">
        <v>176914.0</v>
      </c>
      <c r="BT434" t="inlineStr">
        <is>
          <t>Root Uptake and Translocation of Perfluorinated Alkyl Acids by Three Hydroponically Grown Crops</t>
        </is>
      </c>
      <c r="BU434" t="inlineStr">
        <is>
          <t>J. Agric. Food Chem.62(15): 3334-3342</t>
        </is>
      </c>
      <c r="BV434" t="n">
        <v>2014.0</v>
      </c>
      <c r="BW434" t="inlineStr">
        <is>
          <t>Felizeter,S., M.S. McLachlan, and P. De Voogt (2014). Root Uptake and Translocation of Perfluorinated Alkyl Acids by Three Hydroponically Grown Crops. J. Agric. Food Chem., 62, (15), 3334-3342. doi:10.1021/jf500674j. ECOREF#:176914</t>
        </is>
      </c>
    </row>
    <row r="435">
      <c r="A435" t="n">
        <v>2795393.0</v>
      </c>
      <c r="B435" t="inlineStr">
        <is>
          <t>1,1,2,2,3,3,4,4,5,5,6,6,7,7,8,8,8-Heptadecafluoro-1-octanesulfonic acid potassium salt</t>
        </is>
      </c>
      <c r="C435"/>
      <c r="D435" t="inlineStr">
        <is>
          <t>Unmeasured</t>
        </is>
      </c>
      <c r="E435" t="inlineStr">
        <is>
          <t>&gt;=</t>
        </is>
      </c>
      <c r="F435" t="n">
        <v>98.0</v>
      </c>
      <c r="G435"/>
      <c r="H435"/>
      <c r="I435"/>
      <c r="J435"/>
      <c r="K435" t="inlineStr">
        <is>
          <t>Solanum lycopersicum</t>
        </is>
      </c>
      <c r="L435" t="inlineStr">
        <is>
          <t xml:space="preserve">Garden Tomato </t>
        </is>
      </c>
      <c r="M435" t="inlineStr">
        <is>
          <t>Flowers, Trees, Shrubs, Ferns; Standard Test Species</t>
        </is>
      </c>
      <c r="N435" t="inlineStr">
        <is>
          <t>Seedling</t>
        </is>
      </c>
      <c r="O435"/>
      <c r="P435" t="n">
        <v>14.0</v>
      </c>
      <c r="Q435"/>
      <c r="R435"/>
      <c r="S435"/>
      <c r="T435"/>
      <c r="U435" t="inlineStr">
        <is>
          <t>Days post planting/sowing</t>
        </is>
      </c>
      <c r="V435" t="inlineStr">
        <is>
          <t>Hydroponic</t>
        </is>
      </c>
      <c r="W435" t="inlineStr">
        <is>
          <t>Culture</t>
        </is>
      </c>
      <c r="X435" t="inlineStr">
        <is>
          <t>Lab</t>
        </is>
      </c>
      <c r="Y435" t="n">
        <v>5.0</v>
      </c>
      <c r="Z435" t="inlineStr">
        <is>
          <t>Active ingredient</t>
        </is>
      </c>
      <c r="AA435"/>
      <c r="AB435"/>
      <c r="AC435"/>
      <c r="AD435" t="n">
        <v>10.0</v>
      </c>
      <c r="AE435"/>
      <c r="AF435" t="n">
        <v>1000.0</v>
      </c>
      <c r="AG435" t="inlineStr">
        <is>
          <t>ng/L</t>
        </is>
      </c>
      <c r="AH435"/>
      <c r="AI435"/>
      <c r="AJ435"/>
      <c r="AK435"/>
      <c r="AL435"/>
      <c r="AM435"/>
      <c r="AN435"/>
      <c r="AO435"/>
      <c r="AP435"/>
      <c r="AQ435"/>
      <c r="AR435"/>
      <c r="AS435"/>
      <c r="AT435"/>
      <c r="AU435"/>
      <c r="AV435"/>
      <c r="AW435"/>
      <c r="AX435" t="inlineStr">
        <is>
          <t>Accumulation</t>
        </is>
      </c>
      <c r="AY435" t="inlineStr">
        <is>
          <t>Residue</t>
        </is>
      </c>
      <c r="AZ435" t="inlineStr">
        <is>
          <t>BCF</t>
        </is>
      </c>
      <c r="BA435"/>
      <c r="BB435"/>
      <c r="BC435"/>
      <c r="BD435" t="n">
        <v>20.0</v>
      </c>
      <c r="BE435"/>
      <c r="BF435" t="n">
        <v>30.0</v>
      </c>
      <c r="BG435"/>
      <c r="BH435"/>
      <c r="BI435" t="inlineStr">
        <is>
          <t>ml/g</t>
        </is>
      </c>
      <c r="BJ435" t="inlineStr">
        <is>
          <t>Leafneedle</t>
        </is>
      </c>
      <c r="BK435"/>
      <c r="BL435"/>
      <c r="BM435"/>
      <c r="BN435" t="n">
        <v>84.0</v>
      </c>
      <c r="BO435"/>
      <c r="BP435" t="n">
        <v>138.0</v>
      </c>
      <c r="BQ435" t="inlineStr">
        <is>
          <t>Day(s)</t>
        </is>
      </c>
      <c r="BR435" t="inlineStr">
        <is>
          <t>Felizeter,S., M.S. McLachlan, and P. De Voogt</t>
        </is>
      </c>
      <c r="BS435" t="n">
        <v>176914.0</v>
      </c>
      <c r="BT435" t="inlineStr">
        <is>
          <t>Root Uptake and Translocation of Perfluorinated Alkyl Acids by Three Hydroponically Grown Crops</t>
        </is>
      </c>
      <c r="BU435" t="inlineStr">
        <is>
          <t>J. Agric. Food Chem.62(15): 3334-3342</t>
        </is>
      </c>
      <c r="BV435" t="n">
        <v>2014.0</v>
      </c>
      <c r="BW435" t="inlineStr">
        <is>
          <t>Felizeter,S., M.S. McLachlan, and P. De Voogt (2014). Root Uptake and Translocation of Perfluorinated Alkyl Acids by Three Hydroponically Grown Crops. J. Agric. Food Chem., 62, (15), 3334-3342. doi:10.1021/jf500674j. ECOREF#:176914</t>
        </is>
      </c>
    </row>
    <row r="436">
      <c r="A436" t="n">
        <v>2795393.0</v>
      </c>
      <c r="B436" t="inlineStr">
        <is>
          <t>1,1,2,2,3,3,4,4,5,5,6,6,7,7,8,8,8-Heptadecafluoro-1-octanesulfonic acid potassium salt</t>
        </is>
      </c>
      <c r="C436"/>
      <c r="D436" t="inlineStr">
        <is>
          <t>Unmeasured</t>
        </is>
      </c>
      <c r="E436" t="inlineStr">
        <is>
          <t>&gt;=</t>
        </is>
      </c>
      <c r="F436" t="n">
        <v>98.0</v>
      </c>
      <c r="G436"/>
      <c r="H436"/>
      <c r="I436"/>
      <c r="J436"/>
      <c r="K436" t="inlineStr">
        <is>
          <t>Solanum lycopersicum</t>
        </is>
      </c>
      <c r="L436" t="inlineStr">
        <is>
          <t xml:space="preserve">Garden Tomato </t>
        </is>
      </c>
      <c r="M436" t="inlineStr">
        <is>
          <t>Flowers, Trees, Shrubs, Ferns; Standard Test Species</t>
        </is>
      </c>
      <c r="N436" t="inlineStr">
        <is>
          <t>Seedling</t>
        </is>
      </c>
      <c r="O436"/>
      <c r="P436" t="n">
        <v>14.0</v>
      </c>
      <c r="Q436"/>
      <c r="R436"/>
      <c r="S436"/>
      <c r="T436"/>
      <c r="U436" t="inlineStr">
        <is>
          <t>Days post planting/sowing</t>
        </is>
      </c>
      <c r="V436" t="inlineStr">
        <is>
          <t>Hydroponic</t>
        </is>
      </c>
      <c r="W436" t="inlineStr">
        <is>
          <t>Culture</t>
        </is>
      </c>
      <c r="X436" t="inlineStr">
        <is>
          <t>Lab</t>
        </is>
      </c>
      <c r="Y436" t="n">
        <v>5.0</v>
      </c>
      <c r="Z436" t="inlineStr">
        <is>
          <t>Active ingredient</t>
        </is>
      </c>
      <c r="AA436"/>
      <c r="AB436"/>
      <c r="AC436"/>
      <c r="AD436" t="n">
        <v>10.0</v>
      </c>
      <c r="AE436"/>
      <c r="AF436" t="n">
        <v>1000.0</v>
      </c>
      <c r="AG436" t="inlineStr">
        <is>
          <t>ng/L</t>
        </is>
      </c>
      <c r="AH436"/>
      <c r="AI436"/>
      <c r="AJ436"/>
      <c r="AK436"/>
      <c r="AL436"/>
      <c r="AM436"/>
      <c r="AN436"/>
      <c r="AO436"/>
      <c r="AP436"/>
      <c r="AQ436"/>
      <c r="AR436"/>
      <c r="AS436"/>
      <c r="AT436"/>
      <c r="AU436"/>
      <c r="AV436"/>
      <c r="AW436"/>
      <c r="AX436" t="inlineStr">
        <is>
          <t>Accumulation</t>
        </is>
      </c>
      <c r="AY436" t="inlineStr">
        <is>
          <t>Residue</t>
        </is>
      </c>
      <c r="AZ436" t="inlineStr">
        <is>
          <t>BCF</t>
        </is>
      </c>
      <c r="BA436"/>
      <c r="BB436"/>
      <c r="BC436"/>
      <c r="BD436" t="n">
        <v>8.0</v>
      </c>
      <c r="BE436"/>
      <c r="BF436" t="n">
        <v>10.0</v>
      </c>
      <c r="BG436"/>
      <c r="BH436"/>
      <c r="BI436" t="inlineStr">
        <is>
          <t>ml/g</t>
        </is>
      </c>
      <c r="BJ436" t="inlineStr">
        <is>
          <t>Stem</t>
        </is>
      </c>
      <c r="BK436"/>
      <c r="BL436"/>
      <c r="BM436"/>
      <c r="BN436" t="n">
        <v>84.0</v>
      </c>
      <c r="BO436"/>
      <c r="BP436" t="n">
        <v>138.0</v>
      </c>
      <c r="BQ436" t="inlineStr">
        <is>
          <t>Day(s)</t>
        </is>
      </c>
      <c r="BR436" t="inlineStr">
        <is>
          <t>Felizeter,S., M.S. McLachlan, and P. De Voogt</t>
        </is>
      </c>
      <c r="BS436" t="n">
        <v>176914.0</v>
      </c>
      <c r="BT436" t="inlineStr">
        <is>
          <t>Root Uptake and Translocation of Perfluorinated Alkyl Acids by Three Hydroponically Grown Crops</t>
        </is>
      </c>
      <c r="BU436" t="inlineStr">
        <is>
          <t>J. Agric. Food Chem.62(15): 3334-3342</t>
        </is>
      </c>
      <c r="BV436" t="n">
        <v>2014.0</v>
      </c>
      <c r="BW436" t="inlineStr">
        <is>
          <t>Felizeter,S., M.S. McLachlan, and P. De Voogt (2014). Root Uptake and Translocation of Perfluorinated Alkyl Acids by Three Hydroponically Grown Crops. J. Agric. Food Chem., 62, (15), 3334-3342. doi:10.1021/jf500674j. ECOREF#:176914</t>
        </is>
      </c>
    </row>
    <row r="437">
      <c r="A437" t="n">
        <v>2795393.0</v>
      </c>
      <c r="B437" t="inlineStr">
        <is>
          <t>1,1,2,2,3,3,4,4,5,5,6,6,7,7,8,8,8-Heptadecafluoro-1-octanesulfonic acid potassium salt</t>
        </is>
      </c>
      <c r="C437"/>
      <c r="D437" t="inlineStr">
        <is>
          <t>Unmeasured</t>
        </is>
      </c>
      <c r="E437" t="inlineStr">
        <is>
          <t>&gt;=</t>
        </is>
      </c>
      <c r="F437" t="n">
        <v>98.0</v>
      </c>
      <c r="G437"/>
      <c r="H437"/>
      <c r="I437"/>
      <c r="J437"/>
      <c r="K437" t="inlineStr">
        <is>
          <t>Solanum lycopersicum</t>
        </is>
      </c>
      <c r="L437" t="inlineStr">
        <is>
          <t xml:space="preserve">Garden Tomato </t>
        </is>
      </c>
      <c r="M437" t="inlineStr">
        <is>
          <t>Flowers, Trees, Shrubs, Ferns; Standard Test Species</t>
        </is>
      </c>
      <c r="N437" t="inlineStr">
        <is>
          <t>Seedling</t>
        </is>
      </c>
      <c r="O437"/>
      <c r="P437" t="n">
        <v>14.0</v>
      </c>
      <c r="Q437"/>
      <c r="R437"/>
      <c r="S437"/>
      <c r="T437"/>
      <c r="U437" t="inlineStr">
        <is>
          <t>Days post planting/sowing</t>
        </is>
      </c>
      <c r="V437" t="inlineStr">
        <is>
          <t>Hydroponic</t>
        </is>
      </c>
      <c r="W437" t="inlineStr">
        <is>
          <t>Culture</t>
        </is>
      </c>
      <c r="X437" t="inlineStr">
        <is>
          <t>Lab</t>
        </is>
      </c>
      <c r="Y437" t="n">
        <v>5.0</v>
      </c>
      <c r="Z437" t="inlineStr">
        <is>
          <t>Active ingredient</t>
        </is>
      </c>
      <c r="AA437"/>
      <c r="AB437"/>
      <c r="AC437"/>
      <c r="AD437" t="n">
        <v>10.0</v>
      </c>
      <c r="AE437"/>
      <c r="AF437" t="n">
        <v>1000.0</v>
      </c>
      <c r="AG437" t="inlineStr">
        <is>
          <t>ng/L</t>
        </is>
      </c>
      <c r="AH437"/>
      <c r="AI437"/>
      <c r="AJ437"/>
      <c r="AK437"/>
      <c r="AL437"/>
      <c r="AM437"/>
      <c r="AN437"/>
      <c r="AO437"/>
      <c r="AP437"/>
      <c r="AQ437"/>
      <c r="AR437"/>
      <c r="AS437"/>
      <c r="AT437"/>
      <c r="AU437"/>
      <c r="AV437"/>
      <c r="AW437"/>
      <c r="AX437" t="inlineStr">
        <is>
          <t>Accumulation</t>
        </is>
      </c>
      <c r="AY437" t="inlineStr">
        <is>
          <t>Residue</t>
        </is>
      </c>
      <c r="AZ437" t="inlineStr">
        <is>
          <t>BCF</t>
        </is>
      </c>
      <c r="BA437"/>
      <c r="BB437"/>
      <c r="BC437"/>
      <c r="BD437" t="n">
        <v>10.0</v>
      </c>
      <c r="BE437"/>
      <c r="BF437" t="n">
        <v>100.0</v>
      </c>
      <c r="BG437"/>
      <c r="BH437"/>
      <c r="BI437" t="inlineStr">
        <is>
          <t>ml/g</t>
        </is>
      </c>
      <c r="BJ437" t="inlineStr">
        <is>
          <t>Root</t>
        </is>
      </c>
      <c r="BK437"/>
      <c r="BL437"/>
      <c r="BM437"/>
      <c r="BN437" t="n">
        <v>84.0</v>
      </c>
      <c r="BO437"/>
      <c r="BP437" t="n">
        <v>138.0</v>
      </c>
      <c r="BQ437" t="inlineStr">
        <is>
          <t>Day(s)</t>
        </is>
      </c>
      <c r="BR437" t="inlineStr">
        <is>
          <t>Felizeter,S., M.S. McLachlan, and P. De Voogt</t>
        </is>
      </c>
      <c r="BS437" t="n">
        <v>176914.0</v>
      </c>
      <c r="BT437" t="inlineStr">
        <is>
          <t>Root Uptake and Translocation of Perfluorinated Alkyl Acids by Three Hydroponically Grown Crops</t>
        </is>
      </c>
      <c r="BU437" t="inlineStr">
        <is>
          <t>J. Agric. Food Chem.62(15): 3334-3342</t>
        </is>
      </c>
      <c r="BV437" t="n">
        <v>2014.0</v>
      </c>
      <c r="BW437" t="inlineStr">
        <is>
          <t>Felizeter,S., M.S. McLachlan, and P. De Voogt (2014). Root Uptake and Translocation of Perfluorinated Alkyl Acids by Three Hydroponically Grown Crops. J. Agric. Food Chem., 62, (15), 3334-3342. doi:10.1021/jf500674j. ECOREF#:176914</t>
        </is>
      </c>
    </row>
    <row r="438">
      <c r="A438" t="n">
        <v>2795393.0</v>
      </c>
      <c r="B438" t="inlineStr">
        <is>
          <t>1,1,2,2,3,3,4,4,5,5,6,6,7,7,8,8,8-Heptadecafluoro-1-octanesulfonic acid potassium salt</t>
        </is>
      </c>
      <c r="C438"/>
      <c r="D438" t="inlineStr">
        <is>
          <t>Unmeasured</t>
        </is>
      </c>
      <c r="E438" t="inlineStr">
        <is>
          <t>&gt;=</t>
        </is>
      </c>
      <c r="F438" t="n">
        <v>98.0</v>
      </c>
      <c r="G438"/>
      <c r="H438"/>
      <c r="I438"/>
      <c r="J438"/>
      <c r="K438" t="inlineStr">
        <is>
          <t>Solanum lycopersicum</t>
        </is>
      </c>
      <c r="L438" t="inlineStr">
        <is>
          <t xml:space="preserve">Garden Tomato </t>
        </is>
      </c>
      <c r="M438" t="inlineStr">
        <is>
          <t>Flowers, Trees, Shrubs, Ferns; Standard Test Species</t>
        </is>
      </c>
      <c r="N438" t="inlineStr">
        <is>
          <t>Seedling</t>
        </is>
      </c>
      <c r="O438"/>
      <c r="P438" t="n">
        <v>14.0</v>
      </c>
      <c r="Q438"/>
      <c r="R438"/>
      <c r="S438"/>
      <c r="T438"/>
      <c r="U438" t="inlineStr">
        <is>
          <t>Days post planting/sowing</t>
        </is>
      </c>
      <c r="V438" t="inlineStr">
        <is>
          <t>Hydroponic</t>
        </is>
      </c>
      <c r="W438" t="inlineStr">
        <is>
          <t>Culture</t>
        </is>
      </c>
      <c r="X438" t="inlineStr">
        <is>
          <t>Lab</t>
        </is>
      </c>
      <c r="Y438" t="n">
        <v>5.0</v>
      </c>
      <c r="Z438" t="inlineStr">
        <is>
          <t>Active ingredient</t>
        </is>
      </c>
      <c r="AA438"/>
      <c r="AB438"/>
      <c r="AC438"/>
      <c r="AD438" t="n">
        <v>10.0</v>
      </c>
      <c r="AE438"/>
      <c r="AF438" t="n">
        <v>1000.0</v>
      </c>
      <c r="AG438" t="inlineStr">
        <is>
          <t>ng/L</t>
        </is>
      </c>
      <c r="AH438"/>
      <c r="AI438"/>
      <c r="AJ438"/>
      <c r="AK438"/>
      <c r="AL438"/>
      <c r="AM438"/>
      <c r="AN438"/>
      <c r="AO438"/>
      <c r="AP438"/>
      <c r="AQ438"/>
      <c r="AR438"/>
      <c r="AS438"/>
      <c r="AT438"/>
      <c r="AU438"/>
      <c r="AV438"/>
      <c r="AW438"/>
      <c r="AX438" t="inlineStr">
        <is>
          <t>Accumulation</t>
        </is>
      </c>
      <c r="AY438" t="inlineStr">
        <is>
          <t>Residue</t>
        </is>
      </c>
      <c r="AZ438" t="inlineStr">
        <is>
          <t>BCF</t>
        </is>
      </c>
      <c r="BA438"/>
      <c r="BB438"/>
      <c r="BC438"/>
      <c r="BD438" t="n">
        <v>0.01</v>
      </c>
      <c r="BE438"/>
      <c r="BF438" t="n">
        <v>0.1</v>
      </c>
      <c r="BG438"/>
      <c r="BH438"/>
      <c r="BI438" t="inlineStr">
        <is>
          <t>ml/g</t>
        </is>
      </c>
      <c r="BJ438" t="inlineStr">
        <is>
          <t>Edible tissue</t>
        </is>
      </c>
      <c r="BK438"/>
      <c r="BL438"/>
      <c r="BM438"/>
      <c r="BN438" t="n">
        <v>84.0</v>
      </c>
      <c r="BO438"/>
      <c r="BP438" t="n">
        <v>138.0</v>
      </c>
      <c r="BQ438" t="inlineStr">
        <is>
          <t>Day(s)</t>
        </is>
      </c>
      <c r="BR438" t="inlineStr">
        <is>
          <t>Felizeter,S., M.S. McLachlan, and P. De Voogt</t>
        </is>
      </c>
      <c r="BS438" t="n">
        <v>176914.0</v>
      </c>
      <c r="BT438" t="inlineStr">
        <is>
          <t>Root Uptake and Translocation of Perfluorinated Alkyl Acids by Three Hydroponically Grown Crops</t>
        </is>
      </c>
      <c r="BU438" t="inlineStr">
        <is>
          <t>J. Agric. Food Chem.62(15): 3334-3342</t>
        </is>
      </c>
      <c r="BV438" t="n">
        <v>2014.0</v>
      </c>
      <c r="BW438" t="inlineStr">
        <is>
          <t>Felizeter,S., M.S. McLachlan, and P. De Voogt (2014). Root Uptake and Translocation of Perfluorinated Alkyl Acids by Three Hydroponically Grown Crops. J. Agric. Food Chem., 62, (15), 3334-3342. doi:10.1021/jf500674j. ECOREF#:176914</t>
        </is>
      </c>
    </row>
    <row r="439">
      <c r="A439" t="n">
        <v>2795393.0</v>
      </c>
      <c r="B439" t="inlineStr">
        <is>
          <t>1,1,2,2,3,3,4,4,5,5,6,6,7,7,8,8,8-Heptadecafluoro-1-octanesulfonic acid potassium salt</t>
        </is>
      </c>
      <c r="C439"/>
      <c r="D439" t="inlineStr">
        <is>
          <t>Unmeasured</t>
        </is>
      </c>
      <c r="E439" t="inlineStr">
        <is>
          <t>&gt;=</t>
        </is>
      </c>
      <c r="F439" t="n">
        <v>98.0</v>
      </c>
      <c r="G439"/>
      <c r="H439"/>
      <c r="I439"/>
      <c r="J439"/>
      <c r="K439" t="inlineStr">
        <is>
          <t>Solanum lycopersicum</t>
        </is>
      </c>
      <c r="L439" t="inlineStr">
        <is>
          <t xml:space="preserve">Garden Tomato </t>
        </is>
      </c>
      <c r="M439" t="inlineStr">
        <is>
          <t>Flowers, Trees, Shrubs, Ferns; Standard Test Species</t>
        </is>
      </c>
      <c r="N439" t="inlineStr">
        <is>
          <t>Seedling</t>
        </is>
      </c>
      <c r="O439"/>
      <c r="P439" t="n">
        <v>14.0</v>
      </c>
      <c r="Q439"/>
      <c r="R439"/>
      <c r="S439"/>
      <c r="T439"/>
      <c r="U439" t="inlineStr">
        <is>
          <t>Days post planting/sowing</t>
        </is>
      </c>
      <c r="V439" t="inlineStr">
        <is>
          <t>Hydroponic</t>
        </is>
      </c>
      <c r="W439" t="inlineStr">
        <is>
          <t>Culture</t>
        </is>
      </c>
      <c r="X439" t="inlineStr">
        <is>
          <t>Lab</t>
        </is>
      </c>
      <c r="Y439" t="n">
        <v>5.0</v>
      </c>
      <c r="Z439" t="inlineStr">
        <is>
          <t>Active ingredient</t>
        </is>
      </c>
      <c r="AA439"/>
      <c r="AB439"/>
      <c r="AC439"/>
      <c r="AD439" t="n">
        <v>10.0</v>
      </c>
      <c r="AE439"/>
      <c r="AF439" t="n">
        <v>1000.0</v>
      </c>
      <c r="AG439" t="inlineStr">
        <is>
          <t>ng/L</t>
        </is>
      </c>
      <c r="AH439"/>
      <c r="AI439"/>
      <c r="AJ439"/>
      <c r="AK439"/>
      <c r="AL439"/>
      <c r="AM439"/>
      <c r="AN439"/>
      <c r="AO439"/>
      <c r="AP439"/>
      <c r="AQ439"/>
      <c r="AR439"/>
      <c r="AS439"/>
      <c r="AT439"/>
      <c r="AU439"/>
      <c r="AV439"/>
      <c r="AW439"/>
      <c r="AX439" t="inlineStr">
        <is>
          <t>Accumulation</t>
        </is>
      </c>
      <c r="AY439" t="inlineStr">
        <is>
          <t>Residue</t>
        </is>
      </c>
      <c r="AZ439" t="inlineStr">
        <is>
          <t>BCF</t>
        </is>
      </c>
      <c r="BA439"/>
      <c r="BB439"/>
      <c r="BC439"/>
      <c r="BD439" t="n">
        <v>6.0</v>
      </c>
      <c r="BE439"/>
      <c r="BF439" t="n">
        <v>8.0</v>
      </c>
      <c r="BG439"/>
      <c r="BH439"/>
      <c r="BI439" t="inlineStr">
        <is>
          <t>ml/g</t>
        </is>
      </c>
      <c r="BJ439" t="inlineStr">
        <is>
          <t>Petiole</t>
        </is>
      </c>
      <c r="BK439"/>
      <c r="BL439"/>
      <c r="BM439"/>
      <c r="BN439" t="n">
        <v>84.0</v>
      </c>
      <c r="BO439"/>
      <c r="BP439" t="n">
        <v>138.0</v>
      </c>
      <c r="BQ439" t="inlineStr">
        <is>
          <t>Day(s)</t>
        </is>
      </c>
      <c r="BR439" t="inlineStr">
        <is>
          <t>Felizeter,S., M.S. McLachlan, and P. De Voogt</t>
        </is>
      </c>
      <c r="BS439" t="n">
        <v>176914.0</v>
      </c>
      <c r="BT439" t="inlineStr">
        <is>
          <t>Root Uptake and Translocation of Perfluorinated Alkyl Acids by Three Hydroponically Grown Crops</t>
        </is>
      </c>
      <c r="BU439" t="inlineStr">
        <is>
          <t>J. Agric. Food Chem.62(15): 3334-3342</t>
        </is>
      </c>
      <c r="BV439" t="n">
        <v>2014.0</v>
      </c>
      <c r="BW439" t="inlineStr">
        <is>
          <t>Felizeter,S., M.S. McLachlan, and P. De Voogt (2014). Root Uptake and Translocation of Perfluorinated Alkyl Acids by Three Hydroponically Grown Crops. J. Agric. Food Chem., 62, (15), 3334-3342. doi:10.1021/jf500674j. ECOREF#:176914</t>
        </is>
      </c>
    </row>
    <row r="440">
      <c r="A440" t="n">
        <v>2795393.0</v>
      </c>
      <c r="B440" t="inlineStr">
        <is>
          <t>1,1,2,2,3,3,4,4,5,5,6,6,7,7,8,8,8-Heptadecafluoro-1-octanesulfonic acid potassium salt</t>
        </is>
      </c>
      <c r="C440"/>
      <c r="D440" t="inlineStr">
        <is>
          <t>Chemical analysis reported</t>
        </is>
      </c>
      <c r="E440"/>
      <c r="F440" t="n">
        <v>86.9</v>
      </c>
      <c r="G440"/>
      <c r="H440"/>
      <c r="I440"/>
      <c r="J440"/>
      <c r="K440" t="inlineStr">
        <is>
          <t>Solanum lycopersicum var. lycopersicum</t>
        </is>
      </c>
      <c r="L440" t="inlineStr">
        <is>
          <t>Tomato</t>
        </is>
      </c>
      <c r="M440" t="inlineStr">
        <is>
          <t>Flowers, Trees, Shrubs, Ferns; Standard Test Species</t>
        </is>
      </c>
      <c r="N440" t="inlineStr">
        <is>
          <t>Seed</t>
        </is>
      </c>
      <c r="O440"/>
      <c r="P440"/>
      <c r="Q440"/>
      <c r="R440"/>
      <c r="S440"/>
      <c r="T440"/>
      <c r="U440"/>
      <c r="V440" t="inlineStr">
        <is>
          <t>Direct application</t>
        </is>
      </c>
      <c r="W440" t="inlineStr">
        <is>
          <t>Artificial soil</t>
        </is>
      </c>
      <c r="X440" t="inlineStr">
        <is>
          <t>Lab</t>
        </is>
      </c>
      <c r="Y440" t="n">
        <v>6.0</v>
      </c>
      <c r="Z440" t="inlineStr">
        <is>
          <t>Active ingredient</t>
        </is>
      </c>
      <c r="AA440"/>
      <c r="AB440"/>
      <c r="AC440"/>
      <c r="AD440" t="n">
        <v>3.91</v>
      </c>
      <c r="AE440"/>
      <c r="AF440" t="n">
        <v>1000.0</v>
      </c>
      <c r="AG440" t="inlineStr">
        <is>
          <t>AI mg/kg dry soil</t>
        </is>
      </c>
      <c r="AH440"/>
      <c r="AI440"/>
      <c r="AJ440"/>
      <c r="AK440"/>
      <c r="AL440"/>
      <c r="AM440"/>
      <c r="AN440"/>
      <c r="AO440"/>
      <c r="AP440"/>
      <c r="AQ440"/>
      <c r="AR440"/>
      <c r="AS440"/>
      <c r="AT440"/>
      <c r="AU440"/>
      <c r="AV440"/>
      <c r="AW440"/>
      <c r="AX440" t="inlineStr">
        <is>
          <t>Accumulation</t>
        </is>
      </c>
      <c r="AY440" t="inlineStr">
        <is>
          <t>Residue</t>
        </is>
      </c>
      <c r="AZ440"/>
      <c r="BA440"/>
      <c r="BB440"/>
      <c r="BC440"/>
      <c r="BD440" t="n">
        <v>3.91</v>
      </c>
      <c r="BE440"/>
      <c r="BF440" t="n">
        <v>1000.0</v>
      </c>
      <c r="BG440"/>
      <c r="BH440"/>
      <c r="BI440" t="inlineStr">
        <is>
          <t>AI mg/kg dry soil</t>
        </is>
      </c>
      <c r="BJ440" t="inlineStr">
        <is>
          <t>Multiple entries</t>
        </is>
      </c>
      <c r="BK440"/>
      <c r="BL440" t="n">
        <v>94.0</v>
      </c>
      <c r="BM440"/>
      <c r="BN440"/>
      <c r="BO440"/>
      <c r="BP440"/>
      <c r="BQ440" t="inlineStr">
        <is>
          <t>Day(s)</t>
        </is>
      </c>
      <c r="BR440" t="inlineStr">
        <is>
          <t>Brignole,A.J., J.R. Porch, H.O. Krueger, and R.L. Van Hoven</t>
        </is>
      </c>
      <c r="BS440" t="n">
        <v>175361.0</v>
      </c>
      <c r="BT440" t="inlineStr">
        <is>
          <t>PFOS: A Toxicity Test to Determine the Effects of the Test Substance on Seedling Emergence of Seven Species of Plants</t>
        </is>
      </c>
      <c r="BU440" t="inlineStr">
        <is>
          <t>EPA Docket AR226-1369, Wildlife International Ltd., Easton, MD:136 p.</t>
        </is>
      </c>
      <c r="BV440" t="n">
        <v>2003.0</v>
      </c>
      <c r="BW440" t="inlineStr">
        <is>
          <t>Brignole,A.J., J.R. Porch, H.O. Krueger, and R.L. Van Hoven (2003). PFOS: A Toxicity Test to Determine the Effects of the Test Substance on Seedling Emergence of Seven Species of Plants. EPA Docket AR226-1369, Wildlife International Ltd., Easton, MD, 136 p. ECOREF#:175361</t>
        </is>
      </c>
    </row>
    <row r="441">
      <c r="A441" t="n">
        <v>2795393.0</v>
      </c>
      <c r="B441" t="inlineStr">
        <is>
          <t>1,1,2,2,3,3,4,4,5,5,6,6,7,7,8,8,8-Heptadecafluoro-1-octanesulfonic acid potassium salt</t>
        </is>
      </c>
      <c r="C441"/>
      <c r="D441" t="inlineStr">
        <is>
          <t>Chemical analysis reported</t>
        </is>
      </c>
      <c r="E441" t="inlineStr">
        <is>
          <t>&gt;</t>
        </is>
      </c>
      <c r="F441" t="n">
        <v>98.0</v>
      </c>
      <c r="G441"/>
      <c r="H441"/>
      <c r="I441"/>
      <c r="J441"/>
      <c r="K441" t="inlineStr">
        <is>
          <t>Triticum aestivum</t>
        </is>
      </c>
      <c r="L441" t="inlineStr">
        <is>
          <t>Bread Wheat</t>
        </is>
      </c>
      <c r="M441" t="inlineStr">
        <is>
          <t>Flowers, Trees, Shrubs, Ferns</t>
        </is>
      </c>
      <c r="N441" t="inlineStr">
        <is>
          <t>Seedling</t>
        </is>
      </c>
      <c r="O441"/>
      <c r="P441" t="n">
        <v>12.0</v>
      </c>
      <c r="Q441"/>
      <c r="R441"/>
      <c r="S441"/>
      <c r="T441"/>
      <c r="U441" t="inlineStr">
        <is>
          <t>Day(s)</t>
        </is>
      </c>
      <c r="V441" t="inlineStr">
        <is>
          <t>Hydroponic</t>
        </is>
      </c>
      <c r="W441" t="inlineStr">
        <is>
          <t>Hydroponic</t>
        </is>
      </c>
      <c r="X441" t="inlineStr">
        <is>
          <t>Lab</t>
        </is>
      </c>
      <c r="Y441" t="n">
        <v>2.0</v>
      </c>
      <c r="Z441" t="inlineStr">
        <is>
          <t>Active ingredient</t>
        </is>
      </c>
      <c r="AA441"/>
      <c r="AB441" t="n">
        <v>50.0</v>
      </c>
      <c r="AC441"/>
      <c r="AD441"/>
      <c r="AE441"/>
      <c r="AF441"/>
      <c r="AG441" t="inlineStr">
        <is>
          <t>ug/L</t>
        </is>
      </c>
      <c r="AH441"/>
      <c r="AI441"/>
      <c r="AJ441"/>
      <c r="AK441"/>
      <c r="AL441"/>
      <c r="AM441"/>
      <c r="AN441"/>
      <c r="AO441"/>
      <c r="AP441"/>
      <c r="AQ441"/>
      <c r="AR441"/>
      <c r="AS441"/>
      <c r="AT441"/>
      <c r="AU441"/>
      <c r="AV441"/>
      <c r="AW441"/>
      <c r="AX441" t="inlineStr">
        <is>
          <t>Accumulation</t>
        </is>
      </c>
      <c r="AY441" t="inlineStr">
        <is>
          <t>Residue</t>
        </is>
      </c>
      <c r="AZ441" t="inlineStr">
        <is>
          <t>BCF</t>
        </is>
      </c>
      <c r="BA441"/>
      <c r="BB441"/>
      <c r="BC441" t="inlineStr">
        <is>
          <t>&gt;</t>
        </is>
      </c>
      <c r="BD441" t="n">
        <v>350.0</v>
      </c>
      <c r="BE441" t="inlineStr">
        <is>
          <t>&lt;</t>
        </is>
      </c>
      <c r="BF441" t="n">
        <v>375.0</v>
      </c>
      <c r="BG441"/>
      <c r="BH441"/>
      <c r="BI441" t="inlineStr">
        <is>
          <t>ml/g</t>
        </is>
      </c>
      <c r="BJ441" t="inlineStr">
        <is>
          <t>Root</t>
        </is>
      </c>
      <c r="BK441"/>
      <c r="BL441" t="n">
        <v>10.0</v>
      </c>
      <c r="BM441"/>
      <c r="BN441"/>
      <c r="BO441"/>
      <c r="BP441"/>
      <c r="BQ441" t="inlineStr">
        <is>
          <t>Day(s)</t>
        </is>
      </c>
      <c r="BR441" t="inlineStr">
        <is>
          <t>Liu,S., J. Zhou, J. Guo, M. Xue, L. Shen, S. Bai, X. Liang, T. Wang, and L. Zhu</t>
        </is>
      </c>
      <c r="BS441" t="n">
        <v>191330.0</v>
      </c>
      <c r="BT441" t="inlineStr">
        <is>
          <t>Impact Mechanisms of Humic Acid on the Transmembrane Transport of Per- and Polyfluoroalkyl Substances in Wheat at the Subcellular Level: The Important Role of Slow-Type Anion Channels</t>
        </is>
      </c>
      <c r="BU441" t="inlineStr">
        <is>
          <t>Environ. Sci. Technol.57(23): 11 p.</t>
        </is>
      </c>
      <c r="BV441" t="n">
        <v>2023.0</v>
      </c>
      <c r="BW441"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442">
      <c r="A442" t="n">
        <v>2795393.0</v>
      </c>
      <c r="B442" t="inlineStr">
        <is>
          <t>1,1,2,2,3,3,4,4,5,5,6,6,7,7,8,8,8-Heptadecafluoro-1-octanesulfonic acid potassium salt</t>
        </is>
      </c>
      <c r="C442"/>
      <c r="D442" t="inlineStr">
        <is>
          <t>Unmeasured</t>
        </is>
      </c>
      <c r="E442" t="inlineStr">
        <is>
          <t>&gt;</t>
        </is>
      </c>
      <c r="F442" t="n">
        <v>98.0</v>
      </c>
      <c r="G442"/>
      <c r="H442"/>
      <c r="I442"/>
      <c r="J442"/>
      <c r="K442" t="inlineStr">
        <is>
          <t>Triticum aestivum</t>
        </is>
      </c>
      <c r="L442" t="inlineStr">
        <is>
          <t>Bread Wheat</t>
        </is>
      </c>
      <c r="M442" t="inlineStr">
        <is>
          <t>Flowers, Trees, Shrubs, Ferns</t>
        </is>
      </c>
      <c r="N442" t="inlineStr">
        <is>
          <t>Seedling</t>
        </is>
      </c>
      <c r="O442"/>
      <c r="P442" t="n">
        <v>13.0</v>
      </c>
      <c r="Q442"/>
      <c r="R442"/>
      <c r="S442"/>
      <c r="T442"/>
      <c r="U442" t="inlineStr">
        <is>
          <t>Day(s)</t>
        </is>
      </c>
      <c r="V442" t="inlineStr">
        <is>
          <t>Hydroponic</t>
        </is>
      </c>
      <c r="W442" t="inlineStr">
        <is>
          <t>Hydroponic</t>
        </is>
      </c>
      <c r="X442" t="inlineStr">
        <is>
          <t>Lab</t>
        </is>
      </c>
      <c r="Y442" t="n">
        <v>3.0</v>
      </c>
      <c r="Z442" t="inlineStr">
        <is>
          <t>Active ingredient</t>
        </is>
      </c>
      <c r="AA442"/>
      <c r="AB442" t="n">
        <v>100.0</v>
      </c>
      <c r="AC442"/>
      <c r="AD442"/>
      <c r="AE442"/>
      <c r="AF442"/>
      <c r="AG442" t="inlineStr">
        <is>
          <t>ug/L</t>
        </is>
      </c>
      <c r="AH442"/>
      <c r="AI442"/>
      <c r="AJ442"/>
      <c r="AK442"/>
      <c r="AL442"/>
      <c r="AM442"/>
      <c r="AN442"/>
      <c r="AO442"/>
      <c r="AP442"/>
      <c r="AQ442"/>
      <c r="AR442"/>
      <c r="AS442"/>
      <c r="AT442"/>
      <c r="AU442"/>
      <c r="AV442"/>
      <c r="AW442"/>
      <c r="AX442" t="inlineStr">
        <is>
          <t>Accumulation</t>
        </is>
      </c>
      <c r="AY442" t="inlineStr">
        <is>
          <t>Residue</t>
        </is>
      </c>
      <c r="AZ442" t="inlineStr">
        <is>
          <t>BCF</t>
        </is>
      </c>
      <c r="BA442"/>
      <c r="BB442" t="n">
        <v>4.182</v>
      </c>
      <c r="BC442"/>
      <c r="BD442"/>
      <c r="BE442"/>
      <c r="BF442"/>
      <c r="BG442"/>
      <c r="BH442"/>
      <c r="BI442" t="inlineStr">
        <is>
          <t>RA</t>
        </is>
      </c>
      <c r="BJ442" t="inlineStr">
        <is>
          <t>Shoot</t>
        </is>
      </c>
      <c r="BK442"/>
      <c r="BL442" t="n">
        <v>7.0</v>
      </c>
      <c r="BM442"/>
      <c r="BN442"/>
      <c r="BO442"/>
      <c r="BP442"/>
      <c r="BQ442" t="inlineStr">
        <is>
          <t>Day(s)</t>
        </is>
      </c>
      <c r="BR442" t="inlineStr">
        <is>
          <t>Lin,Q.Q., C. Zhou, L. Chen, Y.F. Li, X.F. Huang, S.Z. Wang, R.L. Qiu, and C.Y. Tang</t>
        </is>
      </c>
      <c r="BS442" t="n">
        <v>184063.0</v>
      </c>
      <c r="BT442" t="inlineStr">
        <is>
          <t>Accumulation and Associated Phytotoxicity of Novel Chlorinated Polyfluorinated Ether Sulfonate in Wheat Seedlings</t>
        </is>
      </c>
      <c r="BU442" t="inlineStr">
        <is>
          <t>Chemosphere249:11 p.</t>
        </is>
      </c>
      <c r="BV442" t="n">
        <v>2020.0</v>
      </c>
      <c r="BW442" t="inlineStr">
        <is>
          <t>Lin,Q.Q., C. Zhou, L. Chen, Y.F. Li, X.F. Huang, S.Z. Wang, R.L. Qiu, and C.Y. Tang (2020). Accumulation and Associated Phytotoxicity of Novel Chlorinated Polyfluorinated Ether Sulfonate in Wheat Seedlings. Chemosphere, 249, 11 p. ECOREF#:184063</t>
        </is>
      </c>
    </row>
    <row r="443">
      <c r="A443" t="n">
        <v>2795393.0</v>
      </c>
      <c r="B443" t="inlineStr">
        <is>
          <t>1,1,2,2,3,3,4,4,5,5,6,6,7,7,8,8,8-Heptadecafluoro-1-octanesulfonic acid potassium salt</t>
        </is>
      </c>
      <c r="C443"/>
      <c r="D443" t="inlineStr">
        <is>
          <t>Chemical analysis reported</t>
        </is>
      </c>
      <c r="E443" t="inlineStr">
        <is>
          <t>&gt;</t>
        </is>
      </c>
      <c r="F443" t="n">
        <v>98.0</v>
      </c>
      <c r="G443"/>
      <c r="H443"/>
      <c r="I443"/>
      <c r="J443"/>
      <c r="K443" t="inlineStr">
        <is>
          <t>Triticum aestivum</t>
        </is>
      </c>
      <c r="L443" t="inlineStr">
        <is>
          <t>Bread Wheat</t>
        </is>
      </c>
      <c r="M443" t="inlineStr">
        <is>
          <t>Flowers, Trees, Shrubs, Ferns</t>
        </is>
      </c>
      <c r="N443" t="inlineStr">
        <is>
          <t>Seedling</t>
        </is>
      </c>
      <c r="O443"/>
      <c r="P443" t="n">
        <v>12.0</v>
      </c>
      <c r="Q443"/>
      <c r="R443"/>
      <c r="S443"/>
      <c r="T443"/>
      <c r="U443" t="inlineStr">
        <is>
          <t>Day(s)</t>
        </is>
      </c>
      <c r="V443" t="inlineStr">
        <is>
          <t>Hydroponic</t>
        </is>
      </c>
      <c r="W443" t="inlineStr">
        <is>
          <t>Hydroponic</t>
        </is>
      </c>
      <c r="X443" t="inlineStr">
        <is>
          <t>Lab</t>
        </is>
      </c>
      <c r="Y443" t="n">
        <v>2.0</v>
      </c>
      <c r="Z443" t="inlineStr">
        <is>
          <t>Active ingredient</t>
        </is>
      </c>
      <c r="AA443"/>
      <c r="AB443" t="n">
        <v>50.0</v>
      </c>
      <c r="AC443"/>
      <c r="AD443"/>
      <c r="AE443"/>
      <c r="AF443"/>
      <c r="AG443" t="inlineStr">
        <is>
          <t>ug/L</t>
        </is>
      </c>
      <c r="AH443"/>
      <c r="AI443"/>
      <c r="AJ443"/>
      <c r="AK443"/>
      <c r="AL443"/>
      <c r="AM443"/>
      <c r="AN443"/>
      <c r="AO443"/>
      <c r="AP443"/>
      <c r="AQ443"/>
      <c r="AR443"/>
      <c r="AS443"/>
      <c r="AT443"/>
      <c r="AU443"/>
      <c r="AV443"/>
      <c r="AW443"/>
      <c r="AX443" t="inlineStr">
        <is>
          <t>Accumulation</t>
        </is>
      </c>
      <c r="AY443" t="inlineStr">
        <is>
          <t>Residue</t>
        </is>
      </c>
      <c r="AZ443" t="inlineStr">
        <is>
          <t>BCF</t>
        </is>
      </c>
      <c r="BA443"/>
      <c r="BB443"/>
      <c r="BC443" t="inlineStr">
        <is>
          <t>&gt;</t>
        </is>
      </c>
      <c r="BD443" t="n">
        <v>200.0</v>
      </c>
      <c r="BE443" t="inlineStr">
        <is>
          <t>&lt;</t>
        </is>
      </c>
      <c r="BF443" t="n">
        <v>225.0</v>
      </c>
      <c r="BG443"/>
      <c r="BH443"/>
      <c r="BI443" t="inlineStr">
        <is>
          <t>ml/g</t>
        </is>
      </c>
      <c r="BJ443" t="inlineStr">
        <is>
          <t>Root</t>
        </is>
      </c>
      <c r="BK443"/>
      <c r="BL443" t="n">
        <v>6.0</v>
      </c>
      <c r="BM443"/>
      <c r="BN443"/>
      <c r="BO443"/>
      <c r="BP443"/>
      <c r="BQ443" t="inlineStr">
        <is>
          <t>Day(s)</t>
        </is>
      </c>
      <c r="BR443" t="inlineStr">
        <is>
          <t>Liu,S., J. Zhou, J. Guo, Z. Gao, Y. Jia, S. Li, T. Wang, and L. Zhu</t>
        </is>
      </c>
      <c r="BS443" t="n">
        <v>189037.0</v>
      </c>
      <c r="BT443" t="inlineStr">
        <is>
          <t>Insights into the Impacts of Dissolved Organic Matter of Different Origins on Bioaccumulation and Translocation of Per- and Polyfluoroalkyl Substances (PFASs) in Wheat</t>
        </is>
      </c>
      <c r="BU443" t="inlineStr">
        <is>
          <t>Environ. Pollut.293:9 p.</t>
        </is>
      </c>
      <c r="BV443" t="n">
        <v>2022.0</v>
      </c>
      <c r="BW443"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444">
      <c r="A444" t="n">
        <v>2795393.0</v>
      </c>
      <c r="B444" t="inlineStr">
        <is>
          <t>1,1,2,2,3,3,4,4,5,5,6,6,7,7,8,8,8-Heptadecafluoro-1-octanesulfonic acid potassium salt</t>
        </is>
      </c>
      <c r="C444"/>
      <c r="D444" t="inlineStr">
        <is>
          <t>Unmeasured</t>
        </is>
      </c>
      <c r="E444" t="inlineStr">
        <is>
          <t>&gt;</t>
        </is>
      </c>
      <c r="F444" t="n">
        <v>98.0</v>
      </c>
      <c r="G444"/>
      <c r="H444"/>
      <c r="I444"/>
      <c r="J444"/>
      <c r="K444" t="inlineStr">
        <is>
          <t>Triticum aestivum</t>
        </is>
      </c>
      <c r="L444" t="inlineStr">
        <is>
          <t>Bread Wheat</t>
        </is>
      </c>
      <c r="M444" t="inlineStr">
        <is>
          <t>Flowers, Trees, Shrubs, Ferns</t>
        </is>
      </c>
      <c r="N444" t="inlineStr">
        <is>
          <t>Seedling</t>
        </is>
      </c>
      <c r="O444"/>
      <c r="P444" t="n">
        <v>12.0</v>
      </c>
      <c r="Q444"/>
      <c r="R444"/>
      <c r="S444"/>
      <c r="T444"/>
      <c r="U444" t="inlineStr">
        <is>
          <t>Day(s)</t>
        </is>
      </c>
      <c r="V444" t="inlineStr">
        <is>
          <t>Hydroponic</t>
        </is>
      </c>
      <c r="W444" t="inlineStr">
        <is>
          <t>Hydroponic</t>
        </is>
      </c>
      <c r="X444" t="inlineStr">
        <is>
          <t>Lab</t>
        </is>
      </c>
      <c r="Y444" t="n">
        <v>2.0</v>
      </c>
      <c r="Z444" t="inlineStr">
        <is>
          <t>Active ingredient</t>
        </is>
      </c>
      <c r="AA444"/>
      <c r="AB444" t="n">
        <v>50.0</v>
      </c>
      <c r="AC444"/>
      <c r="AD444"/>
      <c r="AE444"/>
      <c r="AF444"/>
      <c r="AG444" t="inlineStr">
        <is>
          <t>ug/L</t>
        </is>
      </c>
      <c r="AH444"/>
      <c r="AI444"/>
      <c r="AJ444"/>
      <c r="AK444"/>
      <c r="AL444"/>
      <c r="AM444"/>
      <c r="AN444"/>
      <c r="AO444"/>
      <c r="AP444"/>
      <c r="AQ444"/>
      <c r="AR444"/>
      <c r="AS444"/>
      <c r="AT444"/>
      <c r="AU444"/>
      <c r="AV444"/>
      <c r="AW444"/>
      <c r="AX444" t="inlineStr">
        <is>
          <t>Accumulation</t>
        </is>
      </c>
      <c r="AY444" t="inlineStr">
        <is>
          <t>Residue</t>
        </is>
      </c>
      <c r="AZ444" t="inlineStr">
        <is>
          <t>BCF</t>
        </is>
      </c>
      <c r="BA444" t="inlineStr">
        <is>
          <t>~</t>
        </is>
      </c>
      <c r="BB444" t="n">
        <v>100.0</v>
      </c>
      <c r="BC444"/>
      <c r="BD444"/>
      <c r="BE444"/>
      <c r="BF444"/>
      <c r="BG444"/>
      <c r="BH444"/>
      <c r="BI444" t="inlineStr">
        <is>
          <t>ml/g</t>
        </is>
      </c>
      <c r="BJ444" t="inlineStr">
        <is>
          <t>Root</t>
        </is>
      </c>
      <c r="BK444"/>
      <c r="BL444" t="n">
        <v>6.0</v>
      </c>
      <c r="BM444"/>
      <c r="BN444"/>
      <c r="BO444"/>
      <c r="BP444"/>
      <c r="BQ444" t="inlineStr">
        <is>
          <t>Day(s)</t>
        </is>
      </c>
      <c r="BR444" t="inlineStr">
        <is>
          <t>Liu,S., J. Zhou, J. Guo, Z. Gao, Y. Jia, S. Li, T. Wang, and L. Zhu</t>
        </is>
      </c>
      <c r="BS444" t="n">
        <v>189037.0</v>
      </c>
      <c r="BT444" t="inlineStr">
        <is>
          <t>Insights into the Impacts of Dissolved Organic Matter of Different Origins on Bioaccumulation and Translocation of Per- and Polyfluoroalkyl Substances (PFASs) in Wheat</t>
        </is>
      </c>
      <c r="BU444" t="inlineStr">
        <is>
          <t>Environ. Pollut.293:9 p.</t>
        </is>
      </c>
      <c r="BV444" t="n">
        <v>2022.0</v>
      </c>
      <c r="BW444"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445">
      <c r="A445" t="n">
        <v>2795393.0</v>
      </c>
      <c r="B445" t="inlineStr">
        <is>
          <t>1,1,2,2,3,3,4,4,5,5,6,6,7,7,8,8,8-Heptadecafluoro-1-octanesulfonic acid potassium salt</t>
        </is>
      </c>
      <c r="C445"/>
      <c r="D445" t="inlineStr">
        <is>
          <t>Chemical analysis reported</t>
        </is>
      </c>
      <c r="E445" t="inlineStr">
        <is>
          <t>&gt;</t>
        </is>
      </c>
      <c r="F445" t="n">
        <v>98.0</v>
      </c>
      <c r="G445"/>
      <c r="H445"/>
      <c r="I445"/>
      <c r="J445"/>
      <c r="K445" t="inlineStr">
        <is>
          <t>Triticum aestivum</t>
        </is>
      </c>
      <c r="L445" t="inlineStr">
        <is>
          <t>Bread Wheat</t>
        </is>
      </c>
      <c r="M445" t="inlineStr">
        <is>
          <t>Flowers, Trees, Shrubs, Ferns</t>
        </is>
      </c>
      <c r="N445" t="inlineStr">
        <is>
          <t>Seedling</t>
        </is>
      </c>
      <c r="O445"/>
      <c r="P445" t="n">
        <v>12.0</v>
      </c>
      <c r="Q445"/>
      <c r="R445"/>
      <c r="S445"/>
      <c r="T445"/>
      <c r="U445" t="inlineStr">
        <is>
          <t>Day(s)</t>
        </is>
      </c>
      <c r="V445" t="inlineStr">
        <is>
          <t>Hydroponic</t>
        </is>
      </c>
      <c r="W445" t="inlineStr">
        <is>
          <t>Hydroponic</t>
        </is>
      </c>
      <c r="X445" t="inlineStr">
        <is>
          <t>Lab</t>
        </is>
      </c>
      <c r="Y445" t="n">
        <v>2.0</v>
      </c>
      <c r="Z445" t="inlineStr">
        <is>
          <t>Active ingredient</t>
        </is>
      </c>
      <c r="AA445"/>
      <c r="AB445" t="n">
        <v>50.0</v>
      </c>
      <c r="AC445"/>
      <c r="AD445"/>
      <c r="AE445"/>
      <c r="AF445"/>
      <c r="AG445" t="inlineStr">
        <is>
          <t>ug/L</t>
        </is>
      </c>
      <c r="AH445"/>
      <c r="AI445"/>
      <c r="AJ445"/>
      <c r="AK445"/>
      <c r="AL445"/>
      <c r="AM445"/>
      <c r="AN445"/>
      <c r="AO445"/>
      <c r="AP445"/>
      <c r="AQ445"/>
      <c r="AR445"/>
      <c r="AS445"/>
      <c r="AT445"/>
      <c r="AU445"/>
      <c r="AV445"/>
      <c r="AW445"/>
      <c r="AX445" t="inlineStr">
        <is>
          <t>Accumulation</t>
        </is>
      </c>
      <c r="AY445" t="inlineStr">
        <is>
          <t>Residue</t>
        </is>
      </c>
      <c r="AZ445" t="inlineStr">
        <is>
          <t>BCF</t>
        </is>
      </c>
      <c r="BA445"/>
      <c r="BB445"/>
      <c r="BC445" t="inlineStr">
        <is>
          <t>&gt;</t>
        </is>
      </c>
      <c r="BD445" t="n">
        <v>100.0</v>
      </c>
      <c r="BE445" t="inlineStr">
        <is>
          <t>&lt;</t>
        </is>
      </c>
      <c r="BF445" t="n">
        <v>125.0</v>
      </c>
      <c r="BG445"/>
      <c r="BH445"/>
      <c r="BI445" t="inlineStr">
        <is>
          <t>ml/g</t>
        </is>
      </c>
      <c r="BJ445" t="inlineStr">
        <is>
          <t>Root</t>
        </is>
      </c>
      <c r="BK445"/>
      <c r="BL445" t="n">
        <v>6.0</v>
      </c>
      <c r="BM445"/>
      <c r="BN445"/>
      <c r="BO445"/>
      <c r="BP445"/>
      <c r="BQ445" t="inlineStr">
        <is>
          <t>Day(s)</t>
        </is>
      </c>
      <c r="BR445" t="inlineStr">
        <is>
          <t>Liu,S., J. Zhou, J. Guo, Z. Gao, Y. Jia, S. Li, T. Wang, and L. Zhu</t>
        </is>
      </c>
      <c r="BS445" t="n">
        <v>189037.0</v>
      </c>
      <c r="BT445" t="inlineStr">
        <is>
          <t>Insights into the Impacts of Dissolved Organic Matter of Different Origins on Bioaccumulation and Translocation of Per- and Polyfluoroalkyl Substances (PFASs) in Wheat</t>
        </is>
      </c>
      <c r="BU445" t="inlineStr">
        <is>
          <t>Environ. Pollut.293:9 p.</t>
        </is>
      </c>
      <c r="BV445" t="n">
        <v>2022.0</v>
      </c>
      <c r="BW445"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446">
      <c r="A446" t="n">
        <v>2795393.0</v>
      </c>
      <c r="B446" t="inlineStr">
        <is>
          <t>1,1,2,2,3,3,4,4,5,5,6,6,7,7,8,8,8-Heptadecafluoro-1-octanesulfonic acid potassium salt</t>
        </is>
      </c>
      <c r="C446"/>
      <c r="D446" t="inlineStr">
        <is>
          <t>Unmeasured</t>
        </is>
      </c>
      <c r="E446" t="inlineStr">
        <is>
          <t>&gt;</t>
        </is>
      </c>
      <c r="F446" t="n">
        <v>98.0</v>
      </c>
      <c r="G446"/>
      <c r="H446"/>
      <c r="I446"/>
      <c r="J446"/>
      <c r="K446" t="inlineStr">
        <is>
          <t>Triticum aestivum</t>
        </is>
      </c>
      <c r="L446" t="inlineStr">
        <is>
          <t>Bread Wheat</t>
        </is>
      </c>
      <c r="M446" t="inlineStr">
        <is>
          <t>Flowers, Trees, Shrubs, Ferns</t>
        </is>
      </c>
      <c r="N446" t="inlineStr">
        <is>
          <t>Seedling</t>
        </is>
      </c>
      <c r="O446"/>
      <c r="P446" t="n">
        <v>13.0</v>
      </c>
      <c r="Q446"/>
      <c r="R446"/>
      <c r="S446"/>
      <c r="T446"/>
      <c r="U446" t="inlineStr">
        <is>
          <t>Day(s)</t>
        </is>
      </c>
      <c r="V446" t="inlineStr">
        <is>
          <t>Hydroponic</t>
        </is>
      </c>
      <c r="W446" t="inlineStr">
        <is>
          <t>Hydroponic</t>
        </is>
      </c>
      <c r="X446" t="inlineStr">
        <is>
          <t>Lab</t>
        </is>
      </c>
      <c r="Y446" t="n">
        <v>3.0</v>
      </c>
      <c r="Z446" t="inlineStr">
        <is>
          <t>Active ingredient</t>
        </is>
      </c>
      <c r="AA446"/>
      <c r="AB446" t="n">
        <v>50.0</v>
      </c>
      <c r="AC446"/>
      <c r="AD446"/>
      <c r="AE446"/>
      <c r="AF446"/>
      <c r="AG446" t="inlineStr">
        <is>
          <t>ug/L</t>
        </is>
      </c>
      <c r="AH446"/>
      <c r="AI446"/>
      <c r="AJ446"/>
      <c r="AK446"/>
      <c r="AL446"/>
      <c r="AM446"/>
      <c r="AN446"/>
      <c r="AO446"/>
      <c r="AP446"/>
      <c r="AQ446"/>
      <c r="AR446"/>
      <c r="AS446"/>
      <c r="AT446"/>
      <c r="AU446"/>
      <c r="AV446"/>
      <c r="AW446"/>
      <c r="AX446" t="inlineStr">
        <is>
          <t>Accumulation</t>
        </is>
      </c>
      <c r="AY446" t="inlineStr">
        <is>
          <t>Residue</t>
        </is>
      </c>
      <c r="AZ446" t="inlineStr">
        <is>
          <t>BCF</t>
        </is>
      </c>
      <c r="BA446"/>
      <c r="BB446" t="n">
        <v>3.078</v>
      </c>
      <c r="BC446"/>
      <c r="BD446"/>
      <c r="BE446"/>
      <c r="BF446"/>
      <c r="BG446"/>
      <c r="BH446"/>
      <c r="BI446" t="inlineStr">
        <is>
          <t>RA</t>
        </is>
      </c>
      <c r="BJ446" t="inlineStr">
        <is>
          <t>Shoot</t>
        </is>
      </c>
      <c r="BK446"/>
      <c r="BL446" t="n">
        <v>7.0</v>
      </c>
      <c r="BM446"/>
      <c r="BN446"/>
      <c r="BO446"/>
      <c r="BP446"/>
      <c r="BQ446" t="inlineStr">
        <is>
          <t>Day(s)</t>
        </is>
      </c>
      <c r="BR446" t="inlineStr">
        <is>
          <t>Lin,Q.Q., C. Zhou, L. Chen, Y.F. Li, X.F. Huang, S.Z. Wang, R.L. Qiu, and C.Y. Tang</t>
        </is>
      </c>
      <c r="BS446" t="n">
        <v>184063.0</v>
      </c>
      <c r="BT446" t="inlineStr">
        <is>
          <t>Accumulation and Associated Phytotoxicity of Novel Chlorinated Polyfluorinated Ether Sulfonate in Wheat Seedlings</t>
        </is>
      </c>
      <c r="BU446" t="inlineStr">
        <is>
          <t>Chemosphere249:11 p.</t>
        </is>
      </c>
      <c r="BV446" t="n">
        <v>2020.0</v>
      </c>
      <c r="BW446" t="inlineStr">
        <is>
          <t>Lin,Q.Q., C. Zhou, L. Chen, Y.F. Li, X.F. Huang, S.Z. Wang, R.L. Qiu, and C.Y. Tang (2020). Accumulation and Associated Phytotoxicity of Novel Chlorinated Polyfluorinated Ether Sulfonate in Wheat Seedlings. Chemosphere, 249, 11 p. ECOREF#:184063</t>
        </is>
      </c>
    </row>
    <row r="447">
      <c r="A447" t="n">
        <v>2795393.0</v>
      </c>
      <c r="B447" t="inlineStr">
        <is>
          <t>1,1,2,2,3,3,4,4,5,5,6,6,7,7,8,8,8-Heptadecafluoro-1-octanesulfonic acid potassium salt</t>
        </is>
      </c>
      <c r="C447"/>
      <c r="D447" t="inlineStr">
        <is>
          <t>Chemical analysis reported</t>
        </is>
      </c>
      <c r="E447" t="inlineStr">
        <is>
          <t>&gt;</t>
        </is>
      </c>
      <c r="F447" t="n">
        <v>98.0</v>
      </c>
      <c r="G447"/>
      <c r="H447"/>
      <c r="I447"/>
      <c r="J447"/>
      <c r="K447" t="inlineStr">
        <is>
          <t>Triticum aestivum</t>
        </is>
      </c>
      <c r="L447" t="inlineStr">
        <is>
          <t>Bread Wheat</t>
        </is>
      </c>
      <c r="M447" t="inlineStr">
        <is>
          <t>Flowers, Trees, Shrubs, Ferns</t>
        </is>
      </c>
      <c r="N447" t="inlineStr">
        <is>
          <t>Seedling</t>
        </is>
      </c>
      <c r="O447"/>
      <c r="P447" t="n">
        <v>12.0</v>
      </c>
      <c r="Q447"/>
      <c r="R447"/>
      <c r="S447"/>
      <c r="T447"/>
      <c r="U447" t="inlineStr">
        <is>
          <t>Day(s)</t>
        </is>
      </c>
      <c r="V447" t="inlineStr">
        <is>
          <t>Hydroponic</t>
        </is>
      </c>
      <c r="W447" t="inlineStr">
        <is>
          <t>Hydroponic</t>
        </is>
      </c>
      <c r="X447" t="inlineStr">
        <is>
          <t>Lab</t>
        </is>
      </c>
      <c r="Y447" t="n">
        <v>2.0</v>
      </c>
      <c r="Z447" t="inlineStr">
        <is>
          <t>Active ingredient</t>
        </is>
      </c>
      <c r="AA447"/>
      <c r="AB447" t="n">
        <v>50.0</v>
      </c>
      <c r="AC447"/>
      <c r="AD447"/>
      <c r="AE447"/>
      <c r="AF447"/>
      <c r="AG447" t="inlineStr">
        <is>
          <t>ug/L</t>
        </is>
      </c>
      <c r="AH447"/>
      <c r="AI447"/>
      <c r="AJ447"/>
      <c r="AK447"/>
      <c r="AL447"/>
      <c r="AM447"/>
      <c r="AN447"/>
      <c r="AO447"/>
      <c r="AP447"/>
      <c r="AQ447"/>
      <c r="AR447"/>
      <c r="AS447"/>
      <c r="AT447"/>
      <c r="AU447"/>
      <c r="AV447"/>
      <c r="AW447"/>
      <c r="AX447" t="inlineStr">
        <is>
          <t>Accumulation</t>
        </is>
      </c>
      <c r="AY447" t="inlineStr">
        <is>
          <t>Residue</t>
        </is>
      </c>
      <c r="AZ447" t="inlineStr">
        <is>
          <t>BCF</t>
        </is>
      </c>
      <c r="BA447"/>
      <c r="BB447"/>
      <c r="BC447" t="inlineStr">
        <is>
          <t>&gt;</t>
        </is>
      </c>
      <c r="BD447" t="n">
        <v>100.0</v>
      </c>
      <c r="BE447" t="inlineStr">
        <is>
          <t>&lt;</t>
        </is>
      </c>
      <c r="BF447" t="n">
        <v>125.0</v>
      </c>
      <c r="BG447"/>
      <c r="BH447"/>
      <c r="BI447" t="inlineStr">
        <is>
          <t>ml/g</t>
        </is>
      </c>
      <c r="BJ447" t="inlineStr">
        <is>
          <t>Root</t>
        </is>
      </c>
      <c r="BK447"/>
      <c r="BL447" t="n">
        <v>6.0</v>
      </c>
      <c r="BM447"/>
      <c r="BN447"/>
      <c r="BO447"/>
      <c r="BP447"/>
      <c r="BQ447" t="inlineStr">
        <is>
          <t>Day(s)</t>
        </is>
      </c>
      <c r="BR447" t="inlineStr">
        <is>
          <t>Liu,S., J. Zhou, J. Guo, Z. Gao, Y. Jia, S. Li, T. Wang, and L. Zhu</t>
        </is>
      </c>
      <c r="BS447" t="n">
        <v>189037.0</v>
      </c>
      <c r="BT447" t="inlineStr">
        <is>
          <t>Insights into the Impacts of Dissolved Organic Matter of Different Origins on Bioaccumulation and Translocation of Per- and Polyfluoroalkyl Substances (PFASs) in Wheat</t>
        </is>
      </c>
      <c r="BU447" t="inlineStr">
        <is>
          <t>Environ. Pollut.293:9 p.</t>
        </is>
      </c>
      <c r="BV447" t="n">
        <v>2022.0</v>
      </c>
      <c r="BW447"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448">
      <c r="A448" t="n">
        <v>2795393.0</v>
      </c>
      <c r="B448" t="inlineStr">
        <is>
          <t>1,1,2,2,3,3,4,4,5,5,6,6,7,7,8,8,8-Heptadecafluoro-1-octanesulfonic acid potassium salt</t>
        </is>
      </c>
      <c r="C448"/>
      <c r="D448" t="inlineStr">
        <is>
          <t>Unmeasured</t>
        </is>
      </c>
      <c r="E448" t="inlineStr">
        <is>
          <t>&gt;</t>
        </is>
      </c>
      <c r="F448" t="n">
        <v>98.0</v>
      </c>
      <c r="G448"/>
      <c r="H448"/>
      <c r="I448"/>
      <c r="J448"/>
      <c r="K448" t="inlineStr">
        <is>
          <t>Triticum aestivum</t>
        </is>
      </c>
      <c r="L448" t="inlineStr">
        <is>
          <t>Bread Wheat</t>
        </is>
      </c>
      <c r="M448" t="inlineStr">
        <is>
          <t>Flowers, Trees, Shrubs, Ferns</t>
        </is>
      </c>
      <c r="N448" t="inlineStr">
        <is>
          <t>Seedling</t>
        </is>
      </c>
      <c r="O448"/>
      <c r="P448" t="n">
        <v>13.0</v>
      </c>
      <c r="Q448"/>
      <c r="R448"/>
      <c r="S448"/>
      <c r="T448"/>
      <c r="U448" t="inlineStr">
        <is>
          <t>Day(s)</t>
        </is>
      </c>
      <c r="V448" t="inlineStr">
        <is>
          <t>Hydroponic</t>
        </is>
      </c>
      <c r="W448" t="inlineStr">
        <is>
          <t>Hydroponic</t>
        </is>
      </c>
      <c r="X448" t="inlineStr">
        <is>
          <t>Lab</t>
        </is>
      </c>
      <c r="Y448" t="n">
        <v>3.0</v>
      </c>
      <c r="Z448" t="inlineStr">
        <is>
          <t>Active ingredient</t>
        </is>
      </c>
      <c r="AA448"/>
      <c r="AB448" t="n">
        <v>50.0</v>
      </c>
      <c r="AC448"/>
      <c r="AD448"/>
      <c r="AE448"/>
      <c r="AF448"/>
      <c r="AG448" t="inlineStr">
        <is>
          <t>ug/L</t>
        </is>
      </c>
      <c r="AH448"/>
      <c r="AI448"/>
      <c r="AJ448"/>
      <c r="AK448"/>
      <c r="AL448"/>
      <c r="AM448"/>
      <c r="AN448"/>
      <c r="AO448"/>
      <c r="AP448"/>
      <c r="AQ448"/>
      <c r="AR448"/>
      <c r="AS448"/>
      <c r="AT448"/>
      <c r="AU448"/>
      <c r="AV448"/>
      <c r="AW448"/>
      <c r="AX448" t="inlineStr">
        <is>
          <t>Accumulation</t>
        </is>
      </c>
      <c r="AY448" t="inlineStr">
        <is>
          <t>Residue</t>
        </is>
      </c>
      <c r="AZ448" t="inlineStr">
        <is>
          <t>BCF</t>
        </is>
      </c>
      <c r="BA448"/>
      <c r="BB448" t="n">
        <v>136.7</v>
      </c>
      <c r="BC448"/>
      <c r="BD448"/>
      <c r="BE448"/>
      <c r="BF448"/>
      <c r="BG448"/>
      <c r="BH448"/>
      <c r="BI448" t="inlineStr">
        <is>
          <t>RA</t>
        </is>
      </c>
      <c r="BJ448" t="inlineStr">
        <is>
          <t>Root</t>
        </is>
      </c>
      <c r="BK448"/>
      <c r="BL448" t="n">
        <v>7.0</v>
      </c>
      <c r="BM448"/>
      <c r="BN448"/>
      <c r="BO448"/>
      <c r="BP448"/>
      <c r="BQ448" t="inlineStr">
        <is>
          <t>Day(s)</t>
        </is>
      </c>
      <c r="BR448" t="inlineStr">
        <is>
          <t>Lin,Q.Q., C. Zhou, L. Chen, Y.F. Li, X.F. Huang, S.Z. Wang, R.L. Qiu, and C.Y. Tang</t>
        </is>
      </c>
      <c r="BS448" t="n">
        <v>184063.0</v>
      </c>
      <c r="BT448" t="inlineStr">
        <is>
          <t>Accumulation and Associated Phytotoxicity of Novel Chlorinated Polyfluorinated Ether Sulfonate in Wheat Seedlings</t>
        </is>
      </c>
      <c r="BU448" t="inlineStr">
        <is>
          <t>Chemosphere249:11 p.</t>
        </is>
      </c>
      <c r="BV448" t="n">
        <v>2020.0</v>
      </c>
      <c r="BW448" t="inlineStr">
        <is>
          <t>Lin,Q.Q., C. Zhou, L. Chen, Y.F. Li, X.F. Huang, S.Z. Wang, R.L. Qiu, and C.Y. Tang (2020). Accumulation and Associated Phytotoxicity of Novel Chlorinated Polyfluorinated Ether Sulfonate in Wheat Seedlings. Chemosphere, 249, 11 p. ECOREF#:184063</t>
        </is>
      </c>
    </row>
    <row r="449">
      <c r="A449" t="n">
        <v>2795393.0</v>
      </c>
      <c r="B449" t="inlineStr">
        <is>
          <t>1,1,2,2,3,3,4,4,5,5,6,6,7,7,8,8,8-Heptadecafluoro-1-octanesulfonic acid potassium salt</t>
        </is>
      </c>
      <c r="C449"/>
      <c r="D449" t="inlineStr">
        <is>
          <t>Unmeasured</t>
        </is>
      </c>
      <c r="E449" t="inlineStr">
        <is>
          <t>&gt;</t>
        </is>
      </c>
      <c r="F449" t="n">
        <v>98.0</v>
      </c>
      <c r="G449"/>
      <c r="H449"/>
      <c r="I449"/>
      <c r="J449"/>
      <c r="K449" t="inlineStr">
        <is>
          <t>Triticum aestivum</t>
        </is>
      </c>
      <c r="L449" t="inlineStr">
        <is>
          <t>Bread Wheat</t>
        </is>
      </c>
      <c r="M449" t="inlineStr">
        <is>
          <t>Flowers, Trees, Shrubs, Ferns</t>
        </is>
      </c>
      <c r="N449" t="inlineStr">
        <is>
          <t>Seedling</t>
        </is>
      </c>
      <c r="O449"/>
      <c r="P449" t="n">
        <v>13.0</v>
      </c>
      <c r="Q449"/>
      <c r="R449"/>
      <c r="S449"/>
      <c r="T449"/>
      <c r="U449" t="inlineStr">
        <is>
          <t>Day(s)</t>
        </is>
      </c>
      <c r="V449" t="inlineStr">
        <is>
          <t>Hydroponic</t>
        </is>
      </c>
      <c r="W449" t="inlineStr">
        <is>
          <t>Hydroponic</t>
        </is>
      </c>
      <c r="X449" t="inlineStr">
        <is>
          <t>Lab</t>
        </is>
      </c>
      <c r="Y449" t="n">
        <v>3.0</v>
      </c>
      <c r="Z449" t="inlineStr">
        <is>
          <t>Active ingredient</t>
        </is>
      </c>
      <c r="AA449"/>
      <c r="AB449" t="n">
        <v>100.0</v>
      </c>
      <c r="AC449"/>
      <c r="AD449"/>
      <c r="AE449"/>
      <c r="AF449"/>
      <c r="AG449" t="inlineStr">
        <is>
          <t>ug/L</t>
        </is>
      </c>
      <c r="AH449"/>
      <c r="AI449"/>
      <c r="AJ449"/>
      <c r="AK449"/>
      <c r="AL449"/>
      <c r="AM449"/>
      <c r="AN449"/>
      <c r="AO449"/>
      <c r="AP449"/>
      <c r="AQ449"/>
      <c r="AR449"/>
      <c r="AS449"/>
      <c r="AT449"/>
      <c r="AU449"/>
      <c r="AV449"/>
      <c r="AW449"/>
      <c r="AX449" t="inlineStr">
        <is>
          <t>Accumulation</t>
        </is>
      </c>
      <c r="AY449" t="inlineStr">
        <is>
          <t>Residue</t>
        </is>
      </c>
      <c r="AZ449" t="inlineStr">
        <is>
          <t>BCF</t>
        </is>
      </c>
      <c r="BA449"/>
      <c r="BB449" t="n">
        <v>139.8</v>
      </c>
      <c r="BC449"/>
      <c r="BD449"/>
      <c r="BE449"/>
      <c r="BF449"/>
      <c r="BG449"/>
      <c r="BH449"/>
      <c r="BI449" t="inlineStr">
        <is>
          <t>RA</t>
        </is>
      </c>
      <c r="BJ449" t="inlineStr">
        <is>
          <t>Root</t>
        </is>
      </c>
      <c r="BK449"/>
      <c r="BL449" t="n">
        <v>7.0</v>
      </c>
      <c r="BM449"/>
      <c r="BN449"/>
      <c r="BO449"/>
      <c r="BP449"/>
      <c r="BQ449" t="inlineStr">
        <is>
          <t>Day(s)</t>
        </is>
      </c>
      <c r="BR449" t="inlineStr">
        <is>
          <t>Lin,Q.Q., C. Zhou, L. Chen, Y.F. Li, X.F. Huang, S.Z. Wang, R.L. Qiu, and C.Y. Tang</t>
        </is>
      </c>
      <c r="BS449" t="n">
        <v>184063.0</v>
      </c>
      <c r="BT449" t="inlineStr">
        <is>
          <t>Accumulation and Associated Phytotoxicity of Novel Chlorinated Polyfluorinated Ether Sulfonate in Wheat Seedlings</t>
        </is>
      </c>
      <c r="BU449" t="inlineStr">
        <is>
          <t>Chemosphere249:11 p.</t>
        </is>
      </c>
      <c r="BV449" t="n">
        <v>2020.0</v>
      </c>
      <c r="BW449" t="inlineStr">
        <is>
          <t>Lin,Q.Q., C. Zhou, L. Chen, Y.F. Li, X.F. Huang, S.Z. Wang, R.L. Qiu, and C.Y. Tang (2020). Accumulation and Associated Phytotoxicity of Novel Chlorinated Polyfluorinated Ether Sulfonate in Wheat Seedlings. Chemosphere, 249, 11 p. ECOREF#:184063</t>
        </is>
      </c>
    </row>
    <row r="450">
      <c r="A450" t="n">
        <v>2795393.0</v>
      </c>
      <c r="B450" t="inlineStr">
        <is>
          <t>1,1,2,2,3,3,4,4,5,5,6,6,7,7,8,8,8-Heptadecafluoro-1-octanesulfonic acid potassium salt</t>
        </is>
      </c>
      <c r="C450"/>
      <c r="D450" t="inlineStr">
        <is>
          <t>Chemical analysis reported</t>
        </is>
      </c>
      <c r="E450" t="inlineStr">
        <is>
          <t>&gt;</t>
        </is>
      </c>
      <c r="F450" t="n">
        <v>98.0</v>
      </c>
      <c r="G450"/>
      <c r="H450"/>
      <c r="I450"/>
      <c r="J450"/>
      <c r="K450" t="inlineStr">
        <is>
          <t>Triticum aestivum</t>
        </is>
      </c>
      <c r="L450" t="inlineStr">
        <is>
          <t>Bread Wheat</t>
        </is>
      </c>
      <c r="M450" t="inlineStr">
        <is>
          <t>Flowers, Trees, Shrubs, Ferns</t>
        </is>
      </c>
      <c r="N450" t="inlineStr">
        <is>
          <t>Seedling</t>
        </is>
      </c>
      <c r="O450"/>
      <c r="P450" t="n">
        <v>12.0</v>
      </c>
      <c r="Q450"/>
      <c r="R450"/>
      <c r="S450"/>
      <c r="T450"/>
      <c r="U450" t="inlineStr">
        <is>
          <t>Day(s)</t>
        </is>
      </c>
      <c r="V450" t="inlineStr">
        <is>
          <t>Hydroponic</t>
        </is>
      </c>
      <c r="W450" t="inlineStr">
        <is>
          <t>Hydroponic</t>
        </is>
      </c>
      <c r="X450" t="inlineStr">
        <is>
          <t>Lab</t>
        </is>
      </c>
      <c r="Y450" t="n">
        <v>2.0</v>
      </c>
      <c r="Z450" t="inlineStr">
        <is>
          <t>Active ingredient</t>
        </is>
      </c>
      <c r="AA450"/>
      <c r="AB450" t="n">
        <v>50.0</v>
      </c>
      <c r="AC450"/>
      <c r="AD450"/>
      <c r="AE450"/>
      <c r="AF450"/>
      <c r="AG450" t="inlineStr">
        <is>
          <t>ug/L</t>
        </is>
      </c>
      <c r="AH450"/>
      <c r="AI450"/>
      <c r="AJ450"/>
      <c r="AK450"/>
      <c r="AL450"/>
      <c r="AM450"/>
      <c r="AN450"/>
      <c r="AO450"/>
      <c r="AP450"/>
      <c r="AQ450"/>
      <c r="AR450"/>
      <c r="AS450"/>
      <c r="AT450"/>
      <c r="AU450"/>
      <c r="AV450"/>
      <c r="AW450"/>
      <c r="AX450" t="inlineStr">
        <is>
          <t>Accumulation</t>
        </is>
      </c>
      <c r="AY450" t="inlineStr">
        <is>
          <t>Residue</t>
        </is>
      </c>
      <c r="AZ450" t="inlineStr">
        <is>
          <t>BCF</t>
        </is>
      </c>
      <c r="BA450"/>
      <c r="BB450"/>
      <c r="BC450" t="inlineStr">
        <is>
          <t>&gt;</t>
        </is>
      </c>
      <c r="BD450" t="n">
        <v>250.0</v>
      </c>
      <c r="BE450" t="inlineStr">
        <is>
          <t>&lt;</t>
        </is>
      </c>
      <c r="BF450" t="n">
        <v>275.0</v>
      </c>
      <c r="BG450"/>
      <c r="BH450"/>
      <c r="BI450" t="inlineStr">
        <is>
          <t>ml/g</t>
        </is>
      </c>
      <c r="BJ450" t="inlineStr">
        <is>
          <t>Root</t>
        </is>
      </c>
      <c r="BK450"/>
      <c r="BL450" t="n">
        <v>10.0</v>
      </c>
      <c r="BM450"/>
      <c r="BN450"/>
      <c r="BO450"/>
      <c r="BP450"/>
      <c r="BQ450" t="inlineStr">
        <is>
          <t>Day(s)</t>
        </is>
      </c>
      <c r="BR450" t="inlineStr">
        <is>
          <t>Liu,S., J. Zhou, J. Guo, M. Xue, L. Shen, S. Bai, X. Liang, T. Wang, and L. Zhu</t>
        </is>
      </c>
      <c r="BS450" t="n">
        <v>191330.0</v>
      </c>
      <c r="BT450" t="inlineStr">
        <is>
          <t>Impact Mechanisms of Humic Acid on the Transmembrane Transport of Per- and Polyfluoroalkyl Substances in Wheat at the Subcellular Level: The Important Role of Slow-Type Anion Channels</t>
        </is>
      </c>
      <c r="BU450" t="inlineStr">
        <is>
          <t>Environ. Sci. Technol.57(23): 11 p.</t>
        </is>
      </c>
      <c r="BV450" t="n">
        <v>2023.0</v>
      </c>
      <c r="BW450"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451">
      <c r="A451" t="n">
        <v>2795393.0</v>
      </c>
      <c r="B451" t="inlineStr">
        <is>
          <t>1,1,2,2,3,3,4,4,5,5,6,6,7,7,8,8,8-Heptadecafluoro-1-octanesulfonic acid potassium salt</t>
        </is>
      </c>
      <c r="C451"/>
      <c r="D451" t="inlineStr">
        <is>
          <t>Chemical analysis reported</t>
        </is>
      </c>
      <c r="E451" t="inlineStr">
        <is>
          <t>&gt;</t>
        </is>
      </c>
      <c r="F451" t="n">
        <v>98.0</v>
      </c>
      <c r="G451"/>
      <c r="H451"/>
      <c r="I451"/>
      <c r="J451"/>
      <c r="K451" t="inlineStr">
        <is>
          <t>Triticum aestivum</t>
        </is>
      </c>
      <c r="L451" t="inlineStr">
        <is>
          <t>Bread Wheat</t>
        </is>
      </c>
      <c r="M451" t="inlineStr">
        <is>
          <t>Flowers, Trees, Shrubs, Ferns</t>
        </is>
      </c>
      <c r="N451" t="inlineStr">
        <is>
          <t>Seedling</t>
        </is>
      </c>
      <c r="O451"/>
      <c r="P451" t="n">
        <v>12.0</v>
      </c>
      <c r="Q451"/>
      <c r="R451"/>
      <c r="S451"/>
      <c r="T451"/>
      <c r="U451" t="inlineStr">
        <is>
          <t>Day(s)</t>
        </is>
      </c>
      <c r="V451" t="inlineStr">
        <is>
          <t>Hydroponic</t>
        </is>
      </c>
      <c r="W451" t="inlineStr">
        <is>
          <t>Hydroponic</t>
        </is>
      </c>
      <c r="X451" t="inlineStr">
        <is>
          <t>Lab</t>
        </is>
      </c>
      <c r="Y451" t="n">
        <v>2.0</v>
      </c>
      <c r="Z451" t="inlineStr">
        <is>
          <t>Active ingredient</t>
        </is>
      </c>
      <c r="AA451"/>
      <c r="AB451" t="n">
        <v>50.0</v>
      </c>
      <c r="AC451"/>
      <c r="AD451"/>
      <c r="AE451"/>
      <c r="AF451"/>
      <c r="AG451" t="inlineStr">
        <is>
          <t>ug/L</t>
        </is>
      </c>
      <c r="AH451"/>
      <c r="AI451"/>
      <c r="AJ451"/>
      <c r="AK451"/>
      <c r="AL451"/>
      <c r="AM451"/>
      <c r="AN451"/>
      <c r="AO451"/>
      <c r="AP451"/>
      <c r="AQ451"/>
      <c r="AR451"/>
      <c r="AS451"/>
      <c r="AT451"/>
      <c r="AU451"/>
      <c r="AV451"/>
      <c r="AW451"/>
      <c r="AX451" t="inlineStr">
        <is>
          <t>Accumulation</t>
        </is>
      </c>
      <c r="AY451" t="inlineStr">
        <is>
          <t>Residue</t>
        </is>
      </c>
      <c r="AZ451"/>
      <c r="BA451"/>
      <c r="BB451" t="n">
        <v>50.0</v>
      </c>
      <c r="BC451"/>
      <c r="BD451"/>
      <c r="BE451"/>
      <c r="BF451"/>
      <c r="BG451"/>
      <c r="BH451"/>
      <c r="BI451" t="inlineStr">
        <is>
          <t>ug/L</t>
        </is>
      </c>
      <c r="BJ451" t="inlineStr">
        <is>
          <t>Shoot</t>
        </is>
      </c>
      <c r="BK451"/>
      <c r="BL451"/>
      <c r="BM451"/>
      <c r="BN451" t="n">
        <v>1.0</v>
      </c>
      <c r="BO451"/>
      <c r="BP451" t="n">
        <v>10.0</v>
      </c>
      <c r="BQ451" t="inlineStr">
        <is>
          <t>Day(s)</t>
        </is>
      </c>
      <c r="BR451" t="inlineStr">
        <is>
          <t>Liu,S., J. Zhou, J. Guo, M. Xue, L. Shen, S. Bai, X. Liang, T. Wang, and L. Zhu</t>
        </is>
      </c>
      <c r="BS451" t="n">
        <v>191330.0</v>
      </c>
      <c r="BT451" t="inlineStr">
        <is>
          <t>Impact Mechanisms of Humic Acid on the Transmembrane Transport of Per- and Polyfluoroalkyl Substances in Wheat at the Subcellular Level: The Important Role of Slow-Type Anion Channels</t>
        </is>
      </c>
      <c r="BU451" t="inlineStr">
        <is>
          <t>Environ. Sci. Technol.57(23): 11 p.</t>
        </is>
      </c>
      <c r="BV451" t="n">
        <v>2023.0</v>
      </c>
      <c r="BW451"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452">
      <c r="A452" t="n">
        <v>2795393.0</v>
      </c>
      <c r="B452" t="inlineStr">
        <is>
          <t>1,1,2,2,3,3,4,4,5,5,6,6,7,7,8,8,8-Heptadecafluoro-1-octanesulfonic acid potassium salt</t>
        </is>
      </c>
      <c r="C452"/>
      <c r="D452" t="inlineStr">
        <is>
          <t>Chemical analysis reported</t>
        </is>
      </c>
      <c r="E452" t="inlineStr">
        <is>
          <t>&gt;</t>
        </is>
      </c>
      <c r="F452" t="n">
        <v>98.0</v>
      </c>
      <c r="G452"/>
      <c r="H452"/>
      <c r="I452"/>
      <c r="J452"/>
      <c r="K452" t="inlineStr">
        <is>
          <t>Triticum aestivum</t>
        </is>
      </c>
      <c r="L452" t="inlineStr">
        <is>
          <t>Bread Wheat</t>
        </is>
      </c>
      <c r="M452" t="inlineStr">
        <is>
          <t>Flowers, Trees, Shrubs, Ferns</t>
        </is>
      </c>
      <c r="N452" t="inlineStr">
        <is>
          <t>Seedling</t>
        </is>
      </c>
      <c r="O452"/>
      <c r="P452" t="n">
        <v>12.0</v>
      </c>
      <c r="Q452"/>
      <c r="R452"/>
      <c r="S452"/>
      <c r="T452"/>
      <c r="U452" t="inlineStr">
        <is>
          <t>Day(s)</t>
        </is>
      </c>
      <c r="V452" t="inlineStr">
        <is>
          <t>Hydroponic</t>
        </is>
      </c>
      <c r="W452" t="inlineStr">
        <is>
          <t>Hydroponic</t>
        </is>
      </c>
      <c r="X452" t="inlineStr">
        <is>
          <t>Lab</t>
        </is>
      </c>
      <c r="Y452" t="n">
        <v>2.0</v>
      </c>
      <c r="Z452" t="inlineStr">
        <is>
          <t>Active ingredient</t>
        </is>
      </c>
      <c r="AA452"/>
      <c r="AB452" t="n">
        <v>50.0</v>
      </c>
      <c r="AC452"/>
      <c r="AD452"/>
      <c r="AE452"/>
      <c r="AF452"/>
      <c r="AG452" t="inlineStr">
        <is>
          <t>ug/L</t>
        </is>
      </c>
      <c r="AH452"/>
      <c r="AI452"/>
      <c r="AJ452"/>
      <c r="AK452"/>
      <c r="AL452"/>
      <c r="AM452"/>
      <c r="AN452"/>
      <c r="AO452"/>
      <c r="AP452"/>
      <c r="AQ452"/>
      <c r="AR452"/>
      <c r="AS452"/>
      <c r="AT452"/>
      <c r="AU452"/>
      <c r="AV452"/>
      <c r="AW452"/>
      <c r="AX452" t="inlineStr">
        <is>
          <t>Accumulation</t>
        </is>
      </c>
      <c r="AY452" t="inlineStr">
        <is>
          <t>Residue</t>
        </is>
      </c>
      <c r="AZ452"/>
      <c r="BA452"/>
      <c r="BB452" t="n">
        <v>50.0</v>
      </c>
      <c r="BC452"/>
      <c r="BD452"/>
      <c r="BE452"/>
      <c r="BF452"/>
      <c r="BG452"/>
      <c r="BH452"/>
      <c r="BI452" t="inlineStr">
        <is>
          <t>ug/L</t>
        </is>
      </c>
      <c r="BJ452" t="inlineStr">
        <is>
          <t>Shoot</t>
        </is>
      </c>
      <c r="BK452"/>
      <c r="BL452"/>
      <c r="BM452"/>
      <c r="BN452" t="n">
        <v>1.0</v>
      </c>
      <c r="BO452"/>
      <c r="BP452" t="n">
        <v>10.0</v>
      </c>
      <c r="BQ452" t="inlineStr">
        <is>
          <t>Day(s)</t>
        </is>
      </c>
      <c r="BR452" t="inlineStr">
        <is>
          <t>Liu,S., J. Zhou, J. Guo, M. Xue, L. Shen, S. Bai, X. Liang, T. Wang, and L. Zhu</t>
        </is>
      </c>
      <c r="BS452" t="n">
        <v>191330.0</v>
      </c>
      <c r="BT452" t="inlineStr">
        <is>
          <t>Impact Mechanisms of Humic Acid on the Transmembrane Transport of Per- and Polyfluoroalkyl Substances in Wheat at the Subcellular Level: The Important Role of Slow-Type Anion Channels</t>
        </is>
      </c>
      <c r="BU452" t="inlineStr">
        <is>
          <t>Environ. Sci. Technol.57(23): 11 p.</t>
        </is>
      </c>
      <c r="BV452" t="n">
        <v>2023.0</v>
      </c>
      <c r="BW452"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453">
      <c r="A453" t="n">
        <v>2795393.0</v>
      </c>
      <c r="B453" t="inlineStr">
        <is>
          <t>1,1,2,2,3,3,4,4,5,5,6,6,7,7,8,8,8-Heptadecafluoro-1-octanesulfonic acid potassium salt</t>
        </is>
      </c>
      <c r="C453" t="inlineStr">
        <is>
          <t>A.R. grade (Analytical Reagent grade)</t>
        </is>
      </c>
      <c r="D453" t="inlineStr">
        <is>
          <t>Unmeasured</t>
        </is>
      </c>
      <c r="E453" t="inlineStr">
        <is>
          <t>&gt;</t>
        </is>
      </c>
      <c r="F453" t="n">
        <v>98.0</v>
      </c>
      <c r="G453"/>
      <c r="H453"/>
      <c r="I453"/>
      <c r="J453"/>
      <c r="K453" t="inlineStr">
        <is>
          <t>Zea mays</t>
        </is>
      </c>
      <c r="L453" t="inlineStr">
        <is>
          <t>Corn</t>
        </is>
      </c>
      <c r="M453" t="inlineStr">
        <is>
          <t>Flowers, Trees, Shrubs, Ferns; Standard Test Species</t>
        </is>
      </c>
      <c r="N453" t="inlineStr">
        <is>
          <t>Seedling</t>
        </is>
      </c>
      <c r="O453"/>
      <c r="P453" t="n">
        <v>12.0</v>
      </c>
      <c r="Q453"/>
      <c r="R453"/>
      <c r="S453"/>
      <c r="T453"/>
      <c r="U453" t="inlineStr">
        <is>
          <t>Day(s)</t>
        </is>
      </c>
      <c r="V453" t="inlineStr">
        <is>
          <t>Hydroponic</t>
        </is>
      </c>
      <c r="W453" t="inlineStr">
        <is>
          <t>Hydroponic</t>
        </is>
      </c>
      <c r="X453" t="inlineStr">
        <is>
          <t>Lab</t>
        </is>
      </c>
      <c r="Y453" t="n">
        <v>2.0</v>
      </c>
      <c r="Z453" t="inlineStr">
        <is>
          <t>Active ingredient</t>
        </is>
      </c>
      <c r="AA453"/>
      <c r="AB453" t="n">
        <v>1.0</v>
      </c>
      <c r="AC453"/>
      <c r="AD453"/>
      <c r="AE453"/>
      <c r="AF453"/>
      <c r="AG453" t="inlineStr">
        <is>
          <t>mg/L</t>
        </is>
      </c>
      <c r="AH453"/>
      <c r="AI453"/>
      <c r="AJ453"/>
      <c r="AK453"/>
      <c r="AL453"/>
      <c r="AM453"/>
      <c r="AN453"/>
      <c r="AO453"/>
      <c r="AP453"/>
      <c r="AQ453"/>
      <c r="AR453"/>
      <c r="AS453"/>
      <c r="AT453"/>
      <c r="AU453"/>
      <c r="AV453"/>
      <c r="AW453"/>
      <c r="AX453" t="inlineStr">
        <is>
          <t>Accumulation</t>
        </is>
      </c>
      <c r="AY453" t="inlineStr">
        <is>
          <t>Residue</t>
        </is>
      </c>
      <c r="AZ453" t="inlineStr">
        <is>
          <t>BAF</t>
        </is>
      </c>
      <c r="BA453"/>
      <c r="BB453" t="n">
        <v>75.52</v>
      </c>
      <c r="BC453"/>
      <c r="BD453"/>
      <c r="BE453"/>
      <c r="BF453"/>
      <c r="BG453"/>
      <c r="BH453"/>
      <c r="BI453" t="inlineStr">
        <is>
          <t>kg/L</t>
        </is>
      </c>
      <c r="BJ453" t="inlineStr">
        <is>
          <t>Root</t>
        </is>
      </c>
      <c r="BK453" t="inlineStr">
        <is>
          <t>&lt;=</t>
        </is>
      </c>
      <c r="BL453" t="n">
        <v>4.1667</v>
      </c>
      <c r="BM453"/>
      <c r="BN453"/>
      <c r="BO453"/>
      <c r="BP453"/>
      <c r="BQ453" t="inlineStr">
        <is>
          <t>Day(s)</t>
        </is>
      </c>
      <c r="BR453" t="inlineStr">
        <is>
          <t>Wen,B., L. Li, Y. Liu, H. Zhang, X. Hu, X.Q. Shan, and S. Zhang</t>
        </is>
      </c>
      <c r="BS453" t="n">
        <v>175713.0</v>
      </c>
      <c r="BT453" t="inlineStr">
        <is>
          <t>Mechanistic Studies of Perfluorooctane Sulfonate, Perfluorooctanoic Acid Uptake by Maize (Zea mays L. cv. TY2)</t>
        </is>
      </c>
      <c r="BU453" t="inlineStr">
        <is>
          <t>Plant Soil370(1/2): 345-354</t>
        </is>
      </c>
      <c r="BV453" t="n">
        <v>2013.0</v>
      </c>
      <c r="BW453" t="inlineStr">
        <is>
          <t>Wen,B., L. Li, Y. Liu, H. Zhang, X. Hu, X.Q. Shan, and S. Zhang (2013). Mechanistic Studies of Perfluorooctane Sulfonate, Perfluorooctanoic Acid Uptake by Maize (Zea mays L. cv. TY2). Plant Soil, 370, (1/2), 345-354. doi:10.1007/s11104-013-1637-9. ECOREF#:175713</t>
        </is>
      </c>
    </row>
    <row r="454">
      <c r="A454" t="n">
        <v>2795393.0</v>
      </c>
      <c r="B454" t="inlineStr">
        <is>
          <t>1,1,2,2,3,3,4,4,5,5,6,6,7,7,8,8,8-Heptadecafluoro-1-octanesulfonic acid potassium salt</t>
        </is>
      </c>
      <c r="C454" t="inlineStr">
        <is>
          <t>A.R. grade (Analytical Reagent grade)</t>
        </is>
      </c>
      <c r="D454" t="inlineStr">
        <is>
          <t>Unmeasured</t>
        </is>
      </c>
      <c r="E454" t="inlineStr">
        <is>
          <t>&gt;</t>
        </is>
      </c>
      <c r="F454" t="n">
        <v>98.0</v>
      </c>
      <c r="G454"/>
      <c r="H454"/>
      <c r="I454"/>
      <c r="J454"/>
      <c r="K454" t="inlineStr">
        <is>
          <t>Zea mays</t>
        </is>
      </c>
      <c r="L454" t="inlineStr">
        <is>
          <t>Corn</t>
        </is>
      </c>
      <c r="M454" t="inlineStr">
        <is>
          <t>Flowers, Trees, Shrubs, Ferns; Standard Test Species</t>
        </is>
      </c>
      <c r="N454" t="inlineStr">
        <is>
          <t>Seedling</t>
        </is>
      </c>
      <c r="O454"/>
      <c r="P454" t="n">
        <v>12.0</v>
      </c>
      <c r="Q454"/>
      <c r="R454"/>
      <c r="S454"/>
      <c r="T454"/>
      <c r="U454" t="inlineStr">
        <is>
          <t>Day(s)</t>
        </is>
      </c>
      <c r="V454" t="inlineStr">
        <is>
          <t>Hydroponic</t>
        </is>
      </c>
      <c r="W454" t="inlineStr">
        <is>
          <t>Hydroponic</t>
        </is>
      </c>
      <c r="X454" t="inlineStr">
        <is>
          <t>Lab</t>
        </is>
      </c>
      <c r="Y454" t="n">
        <v>1.0</v>
      </c>
      <c r="Z454" t="inlineStr">
        <is>
          <t>Active ingredient</t>
        </is>
      </c>
      <c r="AA454"/>
      <c r="AB454" t="n">
        <v>1.0</v>
      </c>
      <c r="AC454"/>
      <c r="AD454"/>
      <c r="AE454"/>
      <c r="AF454"/>
      <c r="AG454" t="inlineStr">
        <is>
          <t>mg/L</t>
        </is>
      </c>
      <c r="AH454"/>
      <c r="AI454"/>
      <c r="AJ454"/>
      <c r="AK454"/>
      <c r="AL454"/>
      <c r="AM454"/>
      <c r="AN454"/>
      <c r="AO454"/>
      <c r="AP454"/>
      <c r="AQ454"/>
      <c r="AR454"/>
      <c r="AS454"/>
      <c r="AT454"/>
      <c r="AU454"/>
      <c r="AV454"/>
      <c r="AW454"/>
      <c r="AX454" t="inlineStr">
        <is>
          <t>Accumulation</t>
        </is>
      </c>
      <c r="AY454" t="inlineStr">
        <is>
          <t>Residue</t>
        </is>
      </c>
      <c r="AZ454"/>
      <c r="BA454"/>
      <c r="BB454" t="n">
        <v>1.0</v>
      </c>
      <c r="BC454"/>
      <c r="BD454"/>
      <c r="BE454"/>
      <c r="BF454"/>
      <c r="BG454"/>
      <c r="BH454"/>
      <c r="BI454" t="inlineStr">
        <is>
          <t>mg/L</t>
        </is>
      </c>
      <c r="BJ454" t="inlineStr">
        <is>
          <t>Root</t>
        </is>
      </c>
      <c r="BK454"/>
      <c r="BL454" t="n">
        <v>0.2083</v>
      </c>
      <c r="BM454"/>
      <c r="BN454"/>
      <c r="BO454"/>
      <c r="BP454"/>
      <c r="BQ454" t="inlineStr">
        <is>
          <t>Day(s)</t>
        </is>
      </c>
      <c r="BR454" t="inlineStr">
        <is>
          <t>Wen,B., L. Li, Y. Liu, H. Zhang, X. Hu, X.Q. Shan, and S. Zhang</t>
        </is>
      </c>
      <c r="BS454" t="n">
        <v>175713.0</v>
      </c>
      <c r="BT454" t="inlineStr">
        <is>
          <t>Mechanistic Studies of Perfluorooctane Sulfonate, Perfluorooctanoic Acid Uptake by Maize (Zea mays L. cv. TY2)</t>
        </is>
      </c>
      <c r="BU454" t="inlineStr">
        <is>
          <t>Plant Soil370(1/2): 345-354</t>
        </is>
      </c>
      <c r="BV454" t="n">
        <v>2013.0</v>
      </c>
      <c r="BW454" t="inlineStr">
        <is>
          <t>Wen,B., L. Li, Y. Liu, H. Zhang, X. Hu, X.Q. Shan, and S. Zhang (2013). Mechanistic Studies of Perfluorooctane Sulfonate, Perfluorooctanoic Acid Uptake by Maize (Zea mays L. cv. TY2). Plant Soil, 370, (1/2), 345-354. doi:10.1007/s11104-013-1637-9. ECOREF#:175713</t>
        </is>
      </c>
    </row>
    <row r="455">
      <c r="A455" t="n">
        <v>2795393.0</v>
      </c>
      <c r="B455" t="inlineStr">
        <is>
          <t>1,1,2,2,3,3,4,4,5,5,6,6,7,7,8,8,8-Heptadecafluoro-1-octanesulfonic acid potassium salt</t>
        </is>
      </c>
      <c r="C455" t="inlineStr">
        <is>
          <t>A.R. grade (Analytical Reagent grade)</t>
        </is>
      </c>
      <c r="D455" t="inlineStr">
        <is>
          <t>Unmeasured</t>
        </is>
      </c>
      <c r="E455" t="inlineStr">
        <is>
          <t>&gt;</t>
        </is>
      </c>
      <c r="F455" t="n">
        <v>98.0</v>
      </c>
      <c r="G455"/>
      <c r="H455"/>
      <c r="I455"/>
      <c r="J455"/>
      <c r="K455" t="inlineStr">
        <is>
          <t>Zea mays</t>
        </is>
      </c>
      <c r="L455" t="inlineStr">
        <is>
          <t>Corn</t>
        </is>
      </c>
      <c r="M455" t="inlineStr">
        <is>
          <t>Flowers, Trees, Shrubs, Ferns; Standard Test Species</t>
        </is>
      </c>
      <c r="N455" t="inlineStr">
        <is>
          <t>Seedling</t>
        </is>
      </c>
      <c r="O455"/>
      <c r="P455" t="n">
        <v>12.0</v>
      </c>
      <c r="Q455"/>
      <c r="R455"/>
      <c r="S455"/>
      <c r="T455"/>
      <c r="U455" t="inlineStr">
        <is>
          <t>Day(s)</t>
        </is>
      </c>
      <c r="V455" t="inlineStr">
        <is>
          <t>Hydroponic</t>
        </is>
      </c>
      <c r="W455" t="inlineStr">
        <is>
          <t>Hydroponic</t>
        </is>
      </c>
      <c r="X455" t="inlineStr">
        <is>
          <t>Lab</t>
        </is>
      </c>
      <c r="Y455" t="n">
        <v>2.0</v>
      </c>
      <c r="Z455" t="inlineStr">
        <is>
          <t>Active ingredient</t>
        </is>
      </c>
      <c r="AA455"/>
      <c r="AB455" t="n">
        <v>1.0</v>
      </c>
      <c r="AC455"/>
      <c r="AD455"/>
      <c r="AE455"/>
      <c r="AF455"/>
      <c r="AG455" t="inlineStr">
        <is>
          <t>mg/L</t>
        </is>
      </c>
      <c r="AH455"/>
      <c r="AI455"/>
      <c r="AJ455"/>
      <c r="AK455"/>
      <c r="AL455"/>
      <c r="AM455"/>
      <c r="AN455"/>
      <c r="AO455"/>
      <c r="AP455"/>
      <c r="AQ455"/>
      <c r="AR455"/>
      <c r="AS455"/>
      <c r="AT455"/>
      <c r="AU455"/>
      <c r="AV455"/>
      <c r="AW455"/>
      <c r="AX455" t="inlineStr">
        <is>
          <t>Accumulation</t>
        </is>
      </c>
      <c r="AY455" t="inlineStr">
        <is>
          <t>Residue</t>
        </is>
      </c>
      <c r="AZ455"/>
      <c r="BA455"/>
      <c r="BB455" t="n">
        <v>1.0</v>
      </c>
      <c r="BC455"/>
      <c r="BD455"/>
      <c r="BE455"/>
      <c r="BF455"/>
      <c r="BG455"/>
      <c r="BH455"/>
      <c r="BI455" t="inlineStr">
        <is>
          <t>mg/L</t>
        </is>
      </c>
      <c r="BJ455" t="inlineStr">
        <is>
          <t>Shoot</t>
        </is>
      </c>
      <c r="BK455"/>
      <c r="BL455"/>
      <c r="BM455"/>
      <c r="BN455" t="n">
        <v>0.0833</v>
      </c>
      <c r="BO455"/>
      <c r="BP455" t="n">
        <v>4.1667</v>
      </c>
      <c r="BQ455" t="inlineStr">
        <is>
          <t>Day(s)</t>
        </is>
      </c>
      <c r="BR455" t="inlineStr">
        <is>
          <t>Wen,B., L. Li, Y. Liu, H. Zhang, X. Hu, X.Q. Shan, and S. Zhang</t>
        </is>
      </c>
      <c r="BS455" t="n">
        <v>175713.0</v>
      </c>
      <c r="BT455" t="inlineStr">
        <is>
          <t>Mechanistic Studies of Perfluorooctane Sulfonate, Perfluorooctanoic Acid Uptake by Maize (Zea mays L. cv. TY2)</t>
        </is>
      </c>
      <c r="BU455" t="inlineStr">
        <is>
          <t>Plant Soil370(1/2): 345-354</t>
        </is>
      </c>
      <c r="BV455" t="n">
        <v>2013.0</v>
      </c>
      <c r="BW455" t="inlineStr">
        <is>
          <t>Wen,B., L. Li, Y. Liu, H. Zhang, X. Hu, X.Q. Shan, and S. Zhang (2013). Mechanistic Studies of Perfluorooctane Sulfonate, Perfluorooctanoic Acid Uptake by Maize (Zea mays L. cv. TY2). Plant Soil, 370, (1/2), 345-354. doi:10.1007/s11104-013-1637-9. ECOREF#:175713</t>
        </is>
      </c>
    </row>
    <row r="456">
      <c r="A456" t="n">
        <v>2795393.0</v>
      </c>
      <c r="B456" t="inlineStr">
        <is>
          <t>1,1,2,2,3,3,4,4,5,5,6,6,7,7,8,8,8-Heptadecafluoro-1-octanesulfonic acid potassium salt</t>
        </is>
      </c>
      <c r="C456" t="inlineStr">
        <is>
          <t>A.R. grade (Analytical Reagent grade)</t>
        </is>
      </c>
      <c r="D456" t="inlineStr">
        <is>
          <t>Unmeasured</t>
        </is>
      </c>
      <c r="E456" t="inlineStr">
        <is>
          <t>&gt;</t>
        </is>
      </c>
      <c r="F456" t="n">
        <v>98.0</v>
      </c>
      <c r="G456"/>
      <c r="H456"/>
      <c r="I456"/>
      <c r="J456"/>
      <c r="K456" t="inlineStr">
        <is>
          <t>Zea mays</t>
        </is>
      </c>
      <c r="L456" t="inlineStr">
        <is>
          <t>Corn</t>
        </is>
      </c>
      <c r="M456" t="inlineStr">
        <is>
          <t>Flowers, Trees, Shrubs, Ferns; Standard Test Species</t>
        </is>
      </c>
      <c r="N456" t="inlineStr">
        <is>
          <t>Seedling</t>
        </is>
      </c>
      <c r="O456"/>
      <c r="P456" t="n">
        <v>12.0</v>
      </c>
      <c r="Q456"/>
      <c r="R456"/>
      <c r="S456"/>
      <c r="T456"/>
      <c r="U456" t="inlineStr">
        <is>
          <t>Day(s)</t>
        </is>
      </c>
      <c r="V456" t="inlineStr">
        <is>
          <t>Hydroponic</t>
        </is>
      </c>
      <c r="W456" t="inlineStr">
        <is>
          <t>Hydroponic</t>
        </is>
      </c>
      <c r="X456" t="inlineStr">
        <is>
          <t>Lab</t>
        </is>
      </c>
      <c r="Y456" t="n">
        <v>6.0</v>
      </c>
      <c r="Z456" t="inlineStr">
        <is>
          <t>Active ingredient</t>
        </is>
      </c>
      <c r="AA456"/>
      <c r="AB456"/>
      <c r="AC456"/>
      <c r="AD456" t="n">
        <v>0.1</v>
      </c>
      <c r="AE456"/>
      <c r="AF456" t="n">
        <v>1.0</v>
      </c>
      <c r="AG456" t="inlineStr">
        <is>
          <t>mg/L</t>
        </is>
      </c>
      <c r="AH456"/>
      <c r="AI456"/>
      <c r="AJ456"/>
      <c r="AK456"/>
      <c r="AL456"/>
      <c r="AM456"/>
      <c r="AN456"/>
      <c r="AO456"/>
      <c r="AP456"/>
      <c r="AQ456"/>
      <c r="AR456"/>
      <c r="AS456"/>
      <c r="AT456"/>
      <c r="AU456"/>
      <c r="AV456"/>
      <c r="AW456"/>
      <c r="AX456" t="inlineStr">
        <is>
          <t>Accumulation</t>
        </is>
      </c>
      <c r="AY456" t="inlineStr">
        <is>
          <t>Uptake</t>
        </is>
      </c>
      <c r="AZ456"/>
      <c r="BA456"/>
      <c r="BB456"/>
      <c r="BC456"/>
      <c r="BD456" t="n">
        <v>0.1</v>
      </c>
      <c r="BE456"/>
      <c r="BF456" t="n">
        <v>1.0</v>
      </c>
      <c r="BG456"/>
      <c r="BH456"/>
      <c r="BI456" t="inlineStr">
        <is>
          <t>mg/L</t>
        </is>
      </c>
      <c r="BJ456" t="inlineStr">
        <is>
          <t>Root</t>
        </is>
      </c>
      <c r="BK456"/>
      <c r="BL456" t="n">
        <v>0.0417</v>
      </c>
      <c r="BM456"/>
      <c r="BN456"/>
      <c r="BO456"/>
      <c r="BP456"/>
      <c r="BQ456" t="inlineStr">
        <is>
          <t>Day(s)</t>
        </is>
      </c>
      <c r="BR456" t="inlineStr">
        <is>
          <t>Wen,B., L. Li, Y. Liu, H. Zhang, X. Hu, X.Q. Shan, and S. Zhang</t>
        </is>
      </c>
      <c r="BS456" t="n">
        <v>175713.0</v>
      </c>
      <c r="BT456" t="inlineStr">
        <is>
          <t>Mechanistic Studies of Perfluorooctane Sulfonate, Perfluorooctanoic Acid Uptake by Maize (Zea mays L. cv. TY2)</t>
        </is>
      </c>
      <c r="BU456" t="inlineStr">
        <is>
          <t>Plant Soil370(1/2): 345-354</t>
        </is>
      </c>
      <c r="BV456" t="n">
        <v>2013.0</v>
      </c>
      <c r="BW456" t="inlineStr">
        <is>
          <t>Wen,B., L. Li, Y. Liu, H. Zhang, X. Hu, X.Q. Shan, and S. Zhang (2013). Mechanistic Studies of Perfluorooctane Sulfonate, Perfluorooctanoic Acid Uptake by Maize (Zea mays L. cv. TY2). Plant Soil, 370, (1/2), 345-354. doi:10.1007/s11104-013-1637-9. ECOREF#:175713</t>
        </is>
      </c>
    </row>
    <row r="457">
      <c r="A457" t="n">
        <v>2.7619972E7</v>
      </c>
      <c r="B457" t="inlineStr">
        <is>
          <t>3,3,4,4,5,5,6,6,7,7,8,8,8-Tridecafluoro-1-octanesulfonic acid</t>
        </is>
      </c>
      <c r="C457"/>
      <c r="D457" t="inlineStr">
        <is>
          <t>Chemical analysis reported</t>
        </is>
      </c>
      <c r="E457" t="inlineStr">
        <is>
          <t>&gt;=</t>
        </is>
      </c>
      <c r="F457" t="n">
        <v>98.0</v>
      </c>
      <c r="G457"/>
      <c r="H457"/>
      <c r="I457"/>
      <c r="J457"/>
      <c r="K457" t="inlineStr">
        <is>
          <t>Ambystoma tigrinum</t>
        </is>
      </c>
      <c r="L457" t="inlineStr">
        <is>
          <t>Tiger Salamander</t>
        </is>
      </c>
      <c r="M457" t="inlineStr">
        <is>
          <t>Amphibians</t>
        </is>
      </c>
      <c r="N457" t="inlineStr">
        <is>
          <t>Juvenile</t>
        </is>
      </c>
      <c r="O457" t="inlineStr">
        <is>
          <t>&gt;</t>
        </is>
      </c>
      <c r="P457" t="n">
        <v>35.0</v>
      </c>
      <c r="Q457"/>
      <c r="R457"/>
      <c r="S457"/>
      <c r="T457"/>
      <c r="U457" t="inlineStr">
        <is>
          <t>Day(s)</t>
        </is>
      </c>
      <c r="V457" t="inlineStr">
        <is>
          <t>Environmental, unspecified</t>
        </is>
      </c>
      <c r="W457" t="inlineStr">
        <is>
          <t>Natural soil</t>
        </is>
      </c>
      <c r="X457" t="inlineStr">
        <is>
          <t>Lab</t>
        </is>
      </c>
      <c r="Y457" t="n">
        <v>4.0</v>
      </c>
      <c r="Z457" t="inlineStr">
        <is>
          <t>Active ingredient</t>
        </is>
      </c>
      <c r="AA457"/>
      <c r="AB457"/>
      <c r="AC457"/>
      <c r="AD457" t="n">
        <v>80.0</v>
      </c>
      <c r="AE457"/>
      <c r="AF457" t="n">
        <v>8000.0</v>
      </c>
      <c r="AG457" t="inlineStr">
        <is>
          <t xml:space="preserve">ppb dry wt </t>
        </is>
      </c>
      <c r="AH457"/>
      <c r="AI457"/>
      <c r="AJ457"/>
      <c r="AK457"/>
      <c r="AL457"/>
      <c r="AM457"/>
      <c r="AN457"/>
      <c r="AO457"/>
      <c r="AP457"/>
      <c r="AQ457"/>
      <c r="AR457"/>
      <c r="AS457"/>
      <c r="AT457"/>
      <c r="AU457"/>
      <c r="AV457"/>
      <c r="AW457"/>
      <c r="AX457" t="inlineStr">
        <is>
          <t>Accumulation</t>
        </is>
      </c>
      <c r="AY457" t="inlineStr">
        <is>
          <t>Residue</t>
        </is>
      </c>
      <c r="AZ457"/>
      <c r="BA457"/>
      <c r="BB457"/>
      <c r="BC457"/>
      <c r="BD457" t="n">
        <v>80.0</v>
      </c>
      <c r="BE457"/>
      <c r="BF457" t="n">
        <v>8000.0</v>
      </c>
      <c r="BG457"/>
      <c r="BH457"/>
      <c r="BI457" t="inlineStr">
        <is>
          <t xml:space="preserve">ppb dry wt </t>
        </is>
      </c>
      <c r="BJ457" t="inlineStr">
        <is>
          <t>Whole organism</t>
        </is>
      </c>
      <c r="BK457"/>
      <c r="BL457" t="n">
        <v>30.0</v>
      </c>
      <c r="BM457"/>
      <c r="BN457"/>
      <c r="BO457"/>
      <c r="BP457"/>
      <c r="BQ457" t="inlineStr">
        <is>
          <t>Day(s)</t>
        </is>
      </c>
      <c r="BR457" t="inlineStr">
        <is>
          <t>Abercrombie,S.A., C. De Perre, M. Iacchetta, R.W. Flynn, M.S. Sepulveda, L.S. Lee, and J.T. Hoverman</t>
        </is>
      </c>
      <c r="BS457" t="n">
        <v>182571.0</v>
      </c>
      <c r="BT457" t="inlineStr">
        <is>
          <t>Sublethal Effects of Dermal Exposure to Poly- and Perfluoroalkyl Substances on Postmetamorphic Amphibians</t>
        </is>
      </c>
      <c r="BU457" t="inlineStr">
        <is>
          <t>Environ. Toxicol. Chem.40(3): 717-726</t>
        </is>
      </c>
      <c r="BV457" t="n">
        <v>2021.0</v>
      </c>
      <c r="BW457"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458">
      <c r="A458" t="n">
        <v>2.7619972E7</v>
      </c>
      <c r="B458" t="inlineStr">
        <is>
          <t>3,3,4,4,5,5,6,6,7,7,8,8,8-Tridecafluoro-1-octanesulfonic acid</t>
        </is>
      </c>
      <c r="C458" t="inlineStr">
        <is>
          <t>Technical grade, technical product, technical formulation</t>
        </is>
      </c>
      <c r="D458" t="inlineStr">
        <is>
          <t>Unmeasured</t>
        </is>
      </c>
      <c r="E458" t="inlineStr">
        <is>
          <t>&gt;=</t>
        </is>
      </c>
      <c r="F458" t="n">
        <v>96.0</v>
      </c>
      <c r="G458"/>
      <c r="H458"/>
      <c r="I458"/>
      <c r="J458"/>
      <c r="K458" t="inlineStr">
        <is>
          <t>Ambystoma tigrinum</t>
        </is>
      </c>
      <c r="L458" t="inlineStr">
        <is>
          <t>Tiger Salamander</t>
        </is>
      </c>
      <c r="M458" t="inlineStr">
        <is>
          <t>Amphibians</t>
        </is>
      </c>
      <c r="N458" t="inlineStr">
        <is>
          <t>Post-larva</t>
        </is>
      </c>
      <c r="O458"/>
      <c r="P458"/>
      <c r="Q458"/>
      <c r="R458"/>
      <c r="S458"/>
      <c r="T458"/>
      <c r="U458"/>
      <c r="V458" t="inlineStr">
        <is>
          <t>Food</t>
        </is>
      </c>
      <c r="W458" t="inlineStr">
        <is>
          <t>No substrate</t>
        </is>
      </c>
      <c r="X458" t="inlineStr">
        <is>
          <t>Lab</t>
        </is>
      </c>
      <c r="Y458" t="n">
        <v>4.0</v>
      </c>
      <c r="Z458" t="inlineStr">
        <is>
          <t>Active ingredient</t>
        </is>
      </c>
      <c r="AA458"/>
      <c r="AB458"/>
      <c r="AC458"/>
      <c r="AD458" t="n">
        <v>0.22</v>
      </c>
      <c r="AE458"/>
      <c r="AF458" t="n">
        <v>29.1</v>
      </c>
      <c r="AG458" t="inlineStr">
        <is>
          <t>ng/g wet bdwt/d</t>
        </is>
      </c>
      <c r="AH458"/>
      <c r="AI458"/>
      <c r="AJ458"/>
      <c r="AK458"/>
      <c r="AL458"/>
      <c r="AM458"/>
      <c r="AN458"/>
      <c r="AO458"/>
      <c r="AP458"/>
      <c r="AQ458"/>
      <c r="AR458"/>
      <c r="AS458"/>
      <c r="AT458"/>
      <c r="AU458"/>
      <c r="AV458"/>
      <c r="AW458"/>
      <c r="AX458" t="inlineStr">
        <is>
          <t>Accumulation</t>
        </is>
      </c>
      <c r="AY458" t="inlineStr">
        <is>
          <t>Residue</t>
        </is>
      </c>
      <c r="AZ458"/>
      <c r="BA458"/>
      <c r="BB458"/>
      <c r="BC458"/>
      <c r="BD458" t="n">
        <v>0.22</v>
      </c>
      <c r="BE458"/>
      <c r="BF458" t="n">
        <v>29.1</v>
      </c>
      <c r="BG458"/>
      <c r="BH458"/>
      <c r="BI458" t="inlineStr">
        <is>
          <t>ng/g wet bdwt/d</t>
        </is>
      </c>
      <c r="BJ458" t="inlineStr">
        <is>
          <t>Multiple entries</t>
        </is>
      </c>
      <c r="BK458"/>
      <c r="BL458" t="n">
        <v>30.0</v>
      </c>
      <c r="BM458"/>
      <c r="BN458"/>
      <c r="BO458"/>
      <c r="BP458"/>
      <c r="BQ458" t="inlineStr">
        <is>
          <t>Day(s)</t>
        </is>
      </c>
      <c r="BR458" t="inlineStr">
        <is>
          <t>Flynn,R.W.</t>
        </is>
      </c>
      <c r="BS458" t="n">
        <v>185604.0</v>
      </c>
      <c r="BT458" t="inlineStr">
        <is>
          <t>Dietary Exposure and Accumulation of Per- and Polyfluoroalkyl Substances Alters Growth and Reduces Body Condition of Post-Metamorphic Salamanders</t>
        </is>
      </c>
      <c r="BU458" t="inlineStr">
        <is>
          <t>Sci. Total Environ.765:10 p.</t>
        </is>
      </c>
      <c r="BV458" t="n">
        <v>2021.0</v>
      </c>
      <c r="BW458" t="inlineStr">
        <is>
          <t>Flynn,R.W. (2021). Dietary Exposure and Accumulation of Per- and Polyfluoroalkyl Substances Alters Growth and Reduces Body Condition of Post-Metamorphic Salamanders. Sci. Total Environ., 765, 10 p. doi:10.1016/j.scitotenv.2020.142730. ECOREF#:185604</t>
        </is>
      </c>
    </row>
    <row r="459">
      <c r="A459" t="n">
        <v>2.7619972E7</v>
      </c>
      <c r="B459" t="inlineStr">
        <is>
          <t>3,3,4,4,5,5,6,6,7,7,8,8,8-Tridecafluoro-1-octanesulfonic acid</t>
        </is>
      </c>
      <c r="C459"/>
      <c r="D459" t="inlineStr">
        <is>
          <t>Chemical analysis reported</t>
        </is>
      </c>
      <c r="E459" t="inlineStr">
        <is>
          <t>&gt;=</t>
        </is>
      </c>
      <c r="F459" t="n">
        <v>98.0</v>
      </c>
      <c r="G459"/>
      <c r="H459"/>
      <c r="I459"/>
      <c r="J459"/>
      <c r="K459" t="inlineStr">
        <is>
          <t>Anaxyrus americanus</t>
        </is>
      </c>
      <c r="L459" t="inlineStr">
        <is>
          <t xml:space="preserve">American Toad </t>
        </is>
      </c>
      <c r="M459" t="inlineStr">
        <is>
          <t>Amphibians</t>
        </is>
      </c>
      <c r="N459" t="inlineStr">
        <is>
          <t>Juvenile</t>
        </is>
      </c>
      <c r="O459" t="inlineStr">
        <is>
          <t>&gt;</t>
        </is>
      </c>
      <c r="P459" t="n">
        <v>55.0</v>
      </c>
      <c r="Q459"/>
      <c r="R459"/>
      <c r="S459"/>
      <c r="T459"/>
      <c r="U459" t="inlineStr">
        <is>
          <t>Day(s)</t>
        </is>
      </c>
      <c r="V459" t="inlineStr">
        <is>
          <t>Environmental, unspecified</t>
        </is>
      </c>
      <c r="W459" t="inlineStr">
        <is>
          <t>Natural soil</t>
        </is>
      </c>
      <c r="X459" t="inlineStr">
        <is>
          <t>Lab</t>
        </is>
      </c>
      <c r="Y459" t="n">
        <v>4.0</v>
      </c>
      <c r="Z459" t="inlineStr">
        <is>
          <t>Active ingredient</t>
        </is>
      </c>
      <c r="AA459"/>
      <c r="AB459"/>
      <c r="AC459"/>
      <c r="AD459" t="n">
        <v>80.0</v>
      </c>
      <c r="AE459"/>
      <c r="AF459" t="n">
        <v>8000.0</v>
      </c>
      <c r="AG459" t="inlineStr">
        <is>
          <t xml:space="preserve">ppb dry wt </t>
        </is>
      </c>
      <c r="AH459"/>
      <c r="AI459"/>
      <c r="AJ459"/>
      <c r="AK459"/>
      <c r="AL459"/>
      <c r="AM459"/>
      <c r="AN459"/>
      <c r="AO459"/>
      <c r="AP459"/>
      <c r="AQ459"/>
      <c r="AR459"/>
      <c r="AS459"/>
      <c r="AT459"/>
      <c r="AU459"/>
      <c r="AV459"/>
      <c r="AW459"/>
      <c r="AX459" t="inlineStr">
        <is>
          <t>Accumulation</t>
        </is>
      </c>
      <c r="AY459" t="inlineStr">
        <is>
          <t>Residue</t>
        </is>
      </c>
      <c r="AZ459"/>
      <c r="BA459"/>
      <c r="BB459"/>
      <c r="BC459"/>
      <c r="BD459" t="n">
        <v>80.0</v>
      </c>
      <c r="BE459"/>
      <c r="BF459" t="n">
        <v>8000.0</v>
      </c>
      <c r="BG459"/>
      <c r="BH459"/>
      <c r="BI459" t="inlineStr">
        <is>
          <t xml:space="preserve">ppb dry wt </t>
        </is>
      </c>
      <c r="BJ459" t="inlineStr">
        <is>
          <t>Whole organism</t>
        </is>
      </c>
      <c r="BK459"/>
      <c r="BL459" t="n">
        <v>30.0</v>
      </c>
      <c r="BM459"/>
      <c r="BN459"/>
      <c r="BO459"/>
      <c r="BP459"/>
      <c r="BQ459" t="inlineStr">
        <is>
          <t>Day(s)</t>
        </is>
      </c>
      <c r="BR459" t="inlineStr">
        <is>
          <t>Abercrombie,S.A., C. De Perre, M. Iacchetta, R.W. Flynn, M.S. Sepulveda, L.S. Lee, and J.T. Hoverman</t>
        </is>
      </c>
      <c r="BS459" t="n">
        <v>182571.0</v>
      </c>
      <c r="BT459" t="inlineStr">
        <is>
          <t>Sublethal Effects of Dermal Exposure to Poly- and Perfluoroalkyl Substances on Postmetamorphic Amphibians</t>
        </is>
      </c>
      <c r="BU459" t="inlineStr">
        <is>
          <t>Environ. Toxicol. Chem.40(3): 717-726</t>
        </is>
      </c>
      <c r="BV459" t="n">
        <v>2021.0</v>
      </c>
      <c r="BW459"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460">
      <c r="A460" t="n">
        <v>2.7619972E7</v>
      </c>
      <c r="B460" t="inlineStr">
        <is>
          <t>3,3,4,4,5,5,6,6,7,7,8,8,8-Tridecafluoro-1-octanesulfonic acid</t>
        </is>
      </c>
      <c r="C460"/>
      <c r="D460" t="inlineStr">
        <is>
          <t>Unmeasured</t>
        </is>
      </c>
      <c r="E460"/>
      <c r="F460" t="n">
        <v>98.0</v>
      </c>
      <c r="G460"/>
      <c r="H460"/>
      <c r="I460"/>
      <c r="J460"/>
      <c r="K460" t="inlineStr">
        <is>
          <t>Arabidopsis thaliana</t>
        </is>
      </c>
      <c r="L460" t="inlineStr">
        <is>
          <t>Mouse-Ear Cress</t>
        </is>
      </c>
      <c r="M460" t="inlineStr">
        <is>
          <t>Flowers, Trees, Shrubs, Ferns; Standard Test Species</t>
        </is>
      </c>
      <c r="N460" t="inlineStr">
        <is>
          <t>Seed</t>
        </is>
      </c>
      <c r="O460"/>
      <c r="P460"/>
      <c r="Q460"/>
      <c r="R460"/>
      <c r="S460"/>
      <c r="T460"/>
      <c r="U460"/>
      <c r="V460" t="inlineStr">
        <is>
          <t>Environmental, unspecified</t>
        </is>
      </c>
      <c r="W460" t="inlineStr">
        <is>
          <t>Artificial soil</t>
        </is>
      </c>
      <c r="X460" t="inlineStr">
        <is>
          <t>Lab</t>
        </is>
      </c>
      <c r="Y460" t="n">
        <v>2.0</v>
      </c>
      <c r="Z460" t="inlineStr">
        <is>
          <t>Active ingredient</t>
        </is>
      </c>
      <c r="AA460"/>
      <c r="AB460" t="n">
        <v>1.5</v>
      </c>
      <c r="AC460"/>
      <c r="AD460"/>
      <c r="AE460"/>
      <c r="AF460"/>
      <c r="AG460" t="inlineStr">
        <is>
          <t>mg/kg soil</t>
        </is>
      </c>
      <c r="AH460"/>
      <c r="AI460"/>
      <c r="AJ460"/>
      <c r="AK460"/>
      <c r="AL460"/>
      <c r="AM460"/>
      <c r="AN460"/>
      <c r="AO460"/>
      <c r="AP460"/>
      <c r="AQ460"/>
      <c r="AR460"/>
      <c r="AS460"/>
      <c r="AT460"/>
      <c r="AU460"/>
      <c r="AV460"/>
      <c r="AW460"/>
      <c r="AX460" t="inlineStr">
        <is>
          <t>Accumulation</t>
        </is>
      </c>
      <c r="AY460" t="inlineStr">
        <is>
          <t>Residue</t>
        </is>
      </c>
      <c r="AZ460" t="inlineStr">
        <is>
          <t>BCF</t>
        </is>
      </c>
      <c r="BA460"/>
      <c r="BB460" t="n">
        <v>16.1</v>
      </c>
      <c r="BC460"/>
      <c r="BD460"/>
      <c r="BE460"/>
      <c r="BF460"/>
      <c r="BG460"/>
      <c r="BH460"/>
      <c r="BI460" t="inlineStr">
        <is>
          <t>RA</t>
        </is>
      </c>
      <c r="BJ460" t="inlineStr">
        <is>
          <t>Whole organism</t>
        </is>
      </c>
      <c r="BK460"/>
      <c r="BL460" t="n">
        <v>25.0</v>
      </c>
      <c r="BM460"/>
      <c r="BN460"/>
      <c r="BO460"/>
      <c r="BP460"/>
      <c r="BQ460" t="inlineStr">
        <is>
          <t>Day(s)</t>
        </is>
      </c>
      <c r="BR460" t="inlineStr">
        <is>
          <t>Yang,S., L. Shan, and K. Chu</t>
        </is>
      </c>
      <c r="BS460" t="n">
        <v>191244.0</v>
      </c>
      <c r="BT460" t="inlineStr">
        <is>
          <t>Fate and Transformation of 6:2 Fluorotelomer Sulfonic Acid Affected by Plant, Nutrient, Bioaugmentation, and Soil Microbiome Interactions</t>
        </is>
      </c>
      <c r="BU460" t="inlineStr">
        <is>
          <t>Environ. Sci. Technol.56(15): 10721-10731</t>
        </is>
      </c>
      <c r="BV460" t="n">
        <v>2022.0</v>
      </c>
      <c r="BW460" t="inlineStr">
        <is>
          <t>Yang,S., L. Shan, and K. Chu (2022). Fate and Transformation of 6:2 Fluorotelomer Sulfonic Acid Affected by Plant, Nutrient, Bioaugmentation, and Soil Microbiome Interactions. Environ. Sci. Technol., 56, (15), 10721-10731. doi:10.1021/acs.est.2c01867. ECOREF#:191244</t>
        </is>
      </c>
    </row>
    <row r="461">
      <c r="A461" t="n">
        <v>2.7619972E7</v>
      </c>
      <c r="B461" t="inlineStr">
        <is>
          <t>3,3,4,4,5,5,6,6,7,7,8,8,8-Tridecafluoro-1-octanesulfonic acid</t>
        </is>
      </c>
      <c r="C461"/>
      <c r="D461" t="inlineStr">
        <is>
          <t>Unmeasured</t>
        </is>
      </c>
      <c r="E461"/>
      <c r="F461" t="n">
        <v>98.0</v>
      </c>
      <c r="G461"/>
      <c r="H461"/>
      <c r="I461"/>
      <c r="J461"/>
      <c r="K461" t="inlineStr">
        <is>
          <t>Arabidopsis thaliana</t>
        </is>
      </c>
      <c r="L461" t="inlineStr">
        <is>
          <t>Mouse-Ear Cress</t>
        </is>
      </c>
      <c r="M461" t="inlineStr">
        <is>
          <t>Flowers, Trees, Shrubs, Ferns; Standard Test Species</t>
        </is>
      </c>
      <c r="N461" t="inlineStr">
        <is>
          <t>Seed</t>
        </is>
      </c>
      <c r="O461"/>
      <c r="P461"/>
      <c r="Q461"/>
      <c r="R461"/>
      <c r="S461"/>
      <c r="T461"/>
      <c r="U461"/>
      <c r="V461" t="inlineStr">
        <is>
          <t>Environmental, unspecified</t>
        </is>
      </c>
      <c r="W461" t="inlineStr">
        <is>
          <t>Artificial soil</t>
        </is>
      </c>
      <c r="X461" t="inlineStr">
        <is>
          <t>Lab</t>
        </is>
      </c>
      <c r="Y461" t="n">
        <v>2.0</v>
      </c>
      <c r="Z461" t="inlineStr">
        <is>
          <t>Active ingredient</t>
        </is>
      </c>
      <c r="AA461"/>
      <c r="AB461" t="n">
        <v>1.5</v>
      </c>
      <c r="AC461"/>
      <c r="AD461"/>
      <c r="AE461"/>
      <c r="AF461"/>
      <c r="AG461" t="inlineStr">
        <is>
          <t>mg/kg soil</t>
        </is>
      </c>
      <c r="AH461"/>
      <c r="AI461"/>
      <c r="AJ461"/>
      <c r="AK461"/>
      <c r="AL461"/>
      <c r="AM461"/>
      <c r="AN461"/>
      <c r="AO461"/>
      <c r="AP461"/>
      <c r="AQ461"/>
      <c r="AR461"/>
      <c r="AS461"/>
      <c r="AT461"/>
      <c r="AU461"/>
      <c r="AV461"/>
      <c r="AW461"/>
      <c r="AX461" t="inlineStr">
        <is>
          <t>Accumulation</t>
        </is>
      </c>
      <c r="AY461" t="inlineStr">
        <is>
          <t>Residue</t>
        </is>
      </c>
      <c r="AZ461" t="inlineStr">
        <is>
          <t>BCF</t>
        </is>
      </c>
      <c r="BA461"/>
      <c r="BB461" t="n">
        <v>27.4</v>
      </c>
      <c r="BC461"/>
      <c r="BD461"/>
      <c r="BE461"/>
      <c r="BF461"/>
      <c r="BG461"/>
      <c r="BH461"/>
      <c r="BI461" t="inlineStr">
        <is>
          <t>RA</t>
        </is>
      </c>
      <c r="BJ461" t="inlineStr">
        <is>
          <t>Whole organism</t>
        </is>
      </c>
      <c r="BK461"/>
      <c r="BL461" t="n">
        <v>25.0</v>
      </c>
      <c r="BM461"/>
      <c r="BN461"/>
      <c r="BO461"/>
      <c r="BP461"/>
      <c r="BQ461" t="inlineStr">
        <is>
          <t>Day(s)</t>
        </is>
      </c>
      <c r="BR461" t="inlineStr">
        <is>
          <t>Yang,S., L. Shan, and K. Chu</t>
        </is>
      </c>
      <c r="BS461" t="n">
        <v>191244.0</v>
      </c>
      <c r="BT461" t="inlineStr">
        <is>
          <t>Fate and Transformation of 6:2 Fluorotelomer Sulfonic Acid Affected by Plant, Nutrient, Bioaugmentation, and Soil Microbiome Interactions</t>
        </is>
      </c>
      <c r="BU461" t="inlineStr">
        <is>
          <t>Environ. Sci. Technol.56(15): 10721-10731</t>
        </is>
      </c>
      <c r="BV461" t="n">
        <v>2022.0</v>
      </c>
      <c r="BW461" t="inlineStr">
        <is>
          <t>Yang,S., L. Shan, and K. Chu (2022). Fate and Transformation of 6:2 Fluorotelomer Sulfonic Acid Affected by Plant, Nutrient, Bioaugmentation, and Soil Microbiome Interactions. Environ. Sci. Technol., 56, (15), 10721-10731. doi:10.1021/acs.est.2c01867. ECOREF#:191244</t>
        </is>
      </c>
    </row>
    <row r="462">
      <c r="A462" t="n">
        <v>2.7619972E7</v>
      </c>
      <c r="B462" t="inlineStr">
        <is>
          <t>3,3,4,4,5,5,6,6,7,7,8,8,8-Tridecafluoro-1-octanesulfonic acid</t>
        </is>
      </c>
      <c r="C462"/>
      <c r="D462" t="inlineStr">
        <is>
          <t>Unmeasured</t>
        </is>
      </c>
      <c r="E462"/>
      <c r="F462" t="n">
        <v>98.0</v>
      </c>
      <c r="G462"/>
      <c r="H462"/>
      <c r="I462"/>
      <c r="J462"/>
      <c r="K462" t="inlineStr">
        <is>
          <t>Arabidopsis thaliana</t>
        </is>
      </c>
      <c r="L462" t="inlineStr">
        <is>
          <t>Mouse-Ear Cress</t>
        </is>
      </c>
      <c r="M462" t="inlineStr">
        <is>
          <t>Flowers, Trees, Shrubs, Ferns; Standard Test Species</t>
        </is>
      </c>
      <c r="N462" t="inlineStr">
        <is>
          <t>Seed</t>
        </is>
      </c>
      <c r="O462"/>
      <c r="P462"/>
      <c r="Q462"/>
      <c r="R462"/>
      <c r="S462"/>
      <c r="T462"/>
      <c r="U462"/>
      <c r="V462" t="inlineStr">
        <is>
          <t>Environmental, unspecified</t>
        </is>
      </c>
      <c r="W462" t="inlineStr">
        <is>
          <t>Artificial soil</t>
        </is>
      </c>
      <c r="X462" t="inlineStr">
        <is>
          <t>Lab</t>
        </is>
      </c>
      <c r="Y462" t="n">
        <v>2.0</v>
      </c>
      <c r="Z462" t="inlineStr">
        <is>
          <t>Active ingredient</t>
        </is>
      </c>
      <c r="AA462"/>
      <c r="AB462" t="n">
        <v>1.5</v>
      </c>
      <c r="AC462"/>
      <c r="AD462"/>
      <c r="AE462"/>
      <c r="AF462"/>
      <c r="AG462" t="inlineStr">
        <is>
          <t>mg/kg soil</t>
        </is>
      </c>
      <c r="AH462"/>
      <c r="AI462"/>
      <c r="AJ462"/>
      <c r="AK462"/>
      <c r="AL462"/>
      <c r="AM462"/>
      <c r="AN462"/>
      <c r="AO462"/>
      <c r="AP462"/>
      <c r="AQ462"/>
      <c r="AR462"/>
      <c r="AS462"/>
      <c r="AT462"/>
      <c r="AU462"/>
      <c r="AV462"/>
      <c r="AW462"/>
      <c r="AX462" t="inlineStr">
        <is>
          <t>Accumulation</t>
        </is>
      </c>
      <c r="AY462" t="inlineStr">
        <is>
          <t>Residue</t>
        </is>
      </c>
      <c r="AZ462" t="inlineStr">
        <is>
          <t>BCF</t>
        </is>
      </c>
      <c r="BA462"/>
      <c r="BB462" t="n">
        <v>28.4</v>
      </c>
      <c r="BC462"/>
      <c r="BD462"/>
      <c r="BE462"/>
      <c r="BF462"/>
      <c r="BG462"/>
      <c r="BH462"/>
      <c r="BI462" t="inlineStr">
        <is>
          <t>RA</t>
        </is>
      </c>
      <c r="BJ462" t="inlineStr">
        <is>
          <t>Whole organism</t>
        </is>
      </c>
      <c r="BK462"/>
      <c r="BL462" t="n">
        <v>25.0</v>
      </c>
      <c r="BM462"/>
      <c r="BN462"/>
      <c r="BO462"/>
      <c r="BP462"/>
      <c r="BQ462" t="inlineStr">
        <is>
          <t>Day(s)</t>
        </is>
      </c>
      <c r="BR462" t="inlineStr">
        <is>
          <t>Yang,S., L. Shan, and K. Chu</t>
        </is>
      </c>
      <c r="BS462" t="n">
        <v>191244.0</v>
      </c>
      <c r="BT462" t="inlineStr">
        <is>
          <t>Fate and Transformation of 6:2 Fluorotelomer Sulfonic Acid Affected by Plant, Nutrient, Bioaugmentation, and Soil Microbiome Interactions</t>
        </is>
      </c>
      <c r="BU462" t="inlineStr">
        <is>
          <t>Environ. Sci. Technol.56(15): 10721-10731</t>
        </is>
      </c>
      <c r="BV462" t="n">
        <v>2022.0</v>
      </c>
      <c r="BW462" t="inlineStr">
        <is>
          <t>Yang,S., L. Shan, and K. Chu (2022). Fate and Transformation of 6:2 Fluorotelomer Sulfonic Acid Affected by Plant, Nutrient, Bioaugmentation, and Soil Microbiome Interactions. Environ. Sci. Technol., 56, (15), 10721-10731. doi:10.1021/acs.est.2c01867. ECOREF#:191244</t>
        </is>
      </c>
    </row>
    <row r="463">
      <c r="A463" t="n">
        <v>2.7619972E7</v>
      </c>
      <c r="B463" t="inlineStr">
        <is>
          <t>3,3,4,4,5,5,6,6,7,7,8,8,8-Tridecafluoro-1-octanesulfonic acid</t>
        </is>
      </c>
      <c r="C463"/>
      <c r="D463" t="inlineStr">
        <is>
          <t>Unmeasured</t>
        </is>
      </c>
      <c r="E463"/>
      <c r="F463" t="n">
        <v>98.0</v>
      </c>
      <c r="G463"/>
      <c r="H463"/>
      <c r="I463"/>
      <c r="J463"/>
      <c r="K463" t="inlineStr">
        <is>
          <t>Arabidopsis thaliana</t>
        </is>
      </c>
      <c r="L463" t="inlineStr">
        <is>
          <t>Mouse-Ear Cress</t>
        </is>
      </c>
      <c r="M463" t="inlineStr">
        <is>
          <t>Flowers, Trees, Shrubs, Ferns; Standard Test Species</t>
        </is>
      </c>
      <c r="N463" t="inlineStr">
        <is>
          <t>Seed</t>
        </is>
      </c>
      <c r="O463"/>
      <c r="P463"/>
      <c r="Q463"/>
      <c r="R463"/>
      <c r="S463"/>
      <c r="T463"/>
      <c r="U463"/>
      <c r="V463" t="inlineStr">
        <is>
          <t>Environmental, unspecified</t>
        </is>
      </c>
      <c r="W463" t="inlineStr">
        <is>
          <t>Artificial soil</t>
        </is>
      </c>
      <c r="X463" t="inlineStr">
        <is>
          <t>Lab</t>
        </is>
      </c>
      <c r="Y463" t="n">
        <v>2.0</v>
      </c>
      <c r="Z463" t="inlineStr">
        <is>
          <t>Active ingredient</t>
        </is>
      </c>
      <c r="AA463"/>
      <c r="AB463" t="n">
        <v>1.5</v>
      </c>
      <c r="AC463"/>
      <c r="AD463"/>
      <c r="AE463"/>
      <c r="AF463"/>
      <c r="AG463" t="inlineStr">
        <is>
          <t>mg/kg soil</t>
        </is>
      </c>
      <c r="AH463"/>
      <c r="AI463"/>
      <c r="AJ463"/>
      <c r="AK463"/>
      <c r="AL463"/>
      <c r="AM463"/>
      <c r="AN463"/>
      <c r="AO463"/>
      <c r="AP463"/>
      <c r="AQ463"/>
      <c r="AR463"/>
      <c r="AS463"/>
      <c r="AT463"/>
      <c r="AU463"/>
      <c r="AV463"/>
      <c r="AW463"/>
      <c r="AX463" t="inlineStr">
        <is>
          <t>Accumulation</t>
        </is>
      </c>
      <c r="AY463" t="inlineStr">
        <is>
          <t>Residue</t>
        </is>
      </c>
      <c r="AZ463" t="inlineStr">
        <is>
          <t>BCF</t>
        </is>
      </c>
      <c r="BA463"/>
      <c r="BB463" t="n">
        <v>33.1</v>
      </c>
      <c r="BC463"/>
      <c r="BD463"/>
      <c r="BE463"/>
      <c r="BF463"/>
      <c r="BG463"/>
      <c r="BH463"/>
      <c r="BI463" t="inlineStr">
        <is>
          <t>RA</t>
        </is>
      </c>
      <c r="BJ463" t="inlineStr">
        <is>
          <t>Whole organism</t>
        </is>
      </c>
      <c r="BK463"/>
      <c r="BL463" t="n">
        <v>25.0</v>
      </c>
      <c r="BM463"/>
      <c r="BN463"/>
      <c r="BO463"/>
      <c r="BP463"/>
      <c r="BQ463" t="inlineStr">
        <is>
          <t>Day(s)</t>
        </is>
      </c>
      <c r="BR463" t="inlineStr">
        <is>
          <t>Yang,S., L. Shan, and K. Chu</t>
        </is>
      </c>
      <c r="BS463" t="n">
        <v>191244.0</v>
      </c>
      <c r="BT463" t="inlineStr">
        <is>
          <t>Fate and Transformation of 6:2 Fluorotelomer Sulfonic Acid Affected by Plant, Nutrient, Bioaugmentation, and Soil Microbiome Interactions</t>
        </is>
      </c>
      <c r="BU463" t="inlineStr">
        <is>
          <t>Environ. Sci. Technol.56(15): 10721-10731</t>
        </is>
      </c>
      <c r="BV463" t="n">
        <v>2022.0</v>
      </c>
      <c r="BW463" t="inlineStr">
        <is>
          <t>Yang,S., L. Shan, and K. Chu (2022). Fate and Transformation of 6:2 Fluorotelomer Sulfonic Acid Affected by Plant, Nutrient, Bioaugmentation, and Soil Microbiome Interactions. Environ. Sci. Technol., 56, (15), 10721-10731. doi:10.1021/acs.est.2c01867. ECOREF#:191244</t>
        </is>
      </c>
    </row>
    <row r="464">
      <c r="A464" t="n">
        <v>2.7619972E7</v>
      </c>
      <c r="B464" t="inlineStr">
        <is>
          <t>3,3,4,4,5,5,6,6,7,7,8,8,8-Tridecafluoro-1-octanesulfonic acid</t>
        </is>
      </c>
      <c r="C464"/>
      <c r="D464" t="inlineStr">
        <is>
          <t>Unmeasured</t>
        </is>
      </c>
      <c r="E464"/>
      <c r="F464" t="n">
        <v>98.0</v>
      </c>
      <c r="G464"/>
      <c r="H464"/>
      <c r="I464"/>
      <c r="J464"/>
      <c r="K464" t="inlineStr">
        <is>
          <t>Arabidopsis thaliana</t>
        </is>
      </c>
      <c r="L464" t="inlineStr">
        <is>
          <t>Mouse-Ear Cress</t>
        </is>
      </c>
      <c r="M464" t="inlineStr">
        <is>
          <t>Flowers, Trees, Shrubs, Ferns; Standard Test Species</t>
        </is>
      </c>
      <c r="N464" t="inlineStr">
        <is>
          <t>Seed</t>
        </is>
      </c>
      <c r="O464"/>
      <c r="P464"/>
      <c r="Q464"/>
      <c r="R464"/>
      <c r="S464"/>
      <c r="T464"/>
      <c r="U464"/>
      <c r="V464" t="inlineStr">
        <is>
          <t>Environmental, unspecified</t>
        </is>
      </c>
      <c r="W464" t="inlineStr">
        <is>
          <t>Artificial soil</t>
        </is>
      </c>
      <c r="X464" t="inlineStr">
        <is>
          <t>Lab</t>
        </is>
      </c>
      <c r="Y464" t="n">
        <v>2.0</v>
      </c>
      <c r="Z464" t="inlineStr">
        <is>
          <t>Active ingredient</t>
        </is>
      </c>
      <c r="AA464"/>
      <c r="AB464" t="n">
        <v>1.5</v>
      </c>
      <c r="AC464"/>
      <c r="AD464"/>
      <c r="AE464"/>
      <c r="AF464"/>
      <c r="AG464" t="inlineStr">
        <is>
          <t>mg/kg soil</t>
        </is>
      </c>
      <c r="AH464"/>
      <c r="AI464"/>
      <c r="AJ464"/>
      <c r="AK464"/>
      <c r="AL464"/>
      <c r="AM464"/>
      <c r="AN464"/>
      <c r="AO464"/>
      <c r="AP464"/>
      <c r="AQ464"/>
      <c r="AR464"/>
      <c r="AS464"/>
      <c r="AT464"/>
      <c r="AU464"/>
      <c r="AV464"/>
      <c r="AW464"/>
      <c r="AX464" t="inlineStr">
        <is>
          <t>Accumulation</t>
        </is>
      </c>
      <c r="AY464" t="inlineStr">
        <is>
          <t>Residue</t>
        </is>
      </c>
      <c r="AZ464" t="inlineStr">
        <is>
          <t>BCF</t>
        </is>
      </c>
      <c r="BA464"/>
      <c r="BB464" t="n">
        <v>24.9</v>
      </c>
      <c r="BC464"/>
      <c r="BD464"/>
      <c r="BE464"/>
      <c r="BF464"/>
      <c r="BG464"/>
      <c r="BH464"/>
      <c r="BI464" t="inlineStr">
        <is>
          <t>RA</t>
        </is>
      </c>
      <c r="BJ464" t="inlineStr">
        <is>
          <t>Whole organism</t>
        </is>
      </c>
      <c r="BK464"/>
      <c r="BL464" t="n">
        <v>25.0</v>
      </c>
      <c r="BM464"/>
      <c r="BN464"/>
      <c r="BO464"/>
      <c r="BP464"/>
      <c r="BQ464" t="inlineStr">
        <is>
          <t>Day(s)</t>
        </is>
      </c>
      <c r="BR464" t="inlineStr">
        <is>
          <t>Yang,S., L. Shan, and K. Chu</t>
        </is>
      </c>
      <c r="BS464" t="n">
        <v>191244.0</v>
      </c>
      <c r="BT464" t="inlineStr">
        <is>
          <t>Fate and Transformation of 6:2 Fluorotelomer Sulfonic Acid Affected by Plant, Nutrient, Bioaugmentation, and Soil Microbiome Interactions</t>
        </is>
      </c>
      <c r="BU464" t="inlineStr">
        <is>
          <t>Environ. Sci. Technol.56(15): 10721-10731</t>
        </is>
      </c>
      <c r="BV464" t="n">
        <v>2022.0</v>
      </c>
      <c r="BW464" t="inlineStr">
        <is>
          <t>Yang,S., L. Shan, and K. Chu (2022). Fate and Transformation of 6:2 Fluorotelomer Sulfonic Acid Affected by Plant, Nutrient, Bioaugmentation, and Soil Microbiome Interactions. Environ. Sci. Technol., 56, (15), 10721-10731. doi:10.1021/acs.est.2c01867. ECOREF#:191244</t>
        </is>
      </c>
    </row>
    <row r="465">
      <c r="A465" t="n">
        <v>2.7619972E7</v>
      </c>
      <c r="B465" t="inlineStr">
        <is>
          <t>3,3,4,4,5,5,6,6,7,7,8,8,8-Tridecafluoro-1-octanesulfonic acid</t>
        </is>
      </c>
      <c r="C465"/>
      <c r="D465" t="inlineStr">
        <is>
          <t>Unmeasured</t>
        </is>
      </c>
      <c r="E465"/>
      <c r="F465" t="n">
        <v>98.0</v>
      </c>
      <c r="G465"/>
      <c r="H465"/>
      <c r="I465"/>
      <c r="J465"/>
      <c r="K465" t="inlineStr">
        <is>
          <t>Arabidopsis thaliana</t>
        </is>
      </c>
      <c r="L465" t="inlineStr">
        <is>
          <t>Mouse-Ear Cress</t>
        </is>
      </c>
      <c r="M465" t="inlineStr">
        <is>
          <t>Flowers, Trees, Shrubs, Ferns; Standard Test Species</t>
        </is>
      </c>
      <c r="N465" t="inlineStr">
        <is>
          <t>Seed</t>
        </is>
      </c>
      <c r="O465"/>
      <c r="P465"/>
      <c r="Q465"/>
      <c r="R465"/>
      <c r="S465"/>
      <c r="T465"/>
      <c r="U465"/>
      <c r="V465" t="inlineStr">
        <is>
          <t>Environmental, unspecified</t>
        </is>
      </c>
      <c r="W465" t="inlineStr">
        <is>
          <t>Artificial soil</t>
        </is>
      </c>
      <c r="X465" t="inlineStr">
        <is>
          <t>Lab</t>
        </is>
      </c>
      <c r="Y465" t="n">
        <v>2.0</v>
      </c>
      <c r="Z465" t="inlineStr">
        <is>
          <t>Active ingredient</t>
        </is>
      </c>
      <c r="AA465"/>
      <c r="AB465" t="n">
        <v>1.5</v>
      </c>
      <c r="AC465"/>
      <c r="AD465"/>
      <c r="AE465"/>
      <c r="AF465"/>
      <c r="AG465" t="inlineStr">
        <is>
          <t>mg/kg soil</t>
        </is>
      </c>
      <c r="AH465"/>
      <c r="AI465"/>
      <c r="AJ465"/>
      <c r="AK465"/>
      <c r="AL465"/>
      <c r="AM465"/>
      <c r="AN465"/>
      <c r="AO465"/>
      <c r="AP465"/>
      <c r="AQ465"/>
      <c r="AR465"/>
      <c r="AS465"/>
      <c r="AT465"/>
      <c r="AU465"/>
      <c r="AV465"/>
      <c r="AW465"/>
      <c r="AX465" t="inlineStr">
        <is>
          <t>Accumulation</t>
        </is>
      </c>
      <c r="AY465" t="inlineStr">
        <is>
          <t>Residue</t>
        </is>
      </c>
      <c r="AZ465" t="inlineStr">
        <is>
          <t>BCF</t>
        </is>
      </c>
      <c r="BA465"/>
      <c r="BB465" t="n">
        <v>18.4</v>
      </c>
      <c r="BC465"/>
      <c r="BD465"/>
      <c r="BE465"/>
      <c r="BF465"/>
      <c r="BG465"/>
      <c r="BH465"/>
      <c r="BI465" t="inlineStr">
        <is>
          <t>RA</t>
        </is>
      </c>
      <c r="BJ465" t="inlineStr">
        <is>
          <t>Whole organism</t>
        </is>
      </c>
      <c r="BK465"/>
      <c r="BL465" t="n">
        <v>25.0</v>
      </c>
      <c r="BM465"/>
      <c r="BN465"/>
      <c r="BO465"/>
      <c r="BP465"/>
      <c r="BQ465" t="inlineStr">
        <is>
          <t>Day(s)</t>
        </is>
      </c>
      <c r="BR465" t="inlineStr">
        <is>
          <t>Yang,S., L. Shan, and K. Chu</t>
        </is>
      </c>
      <c r="BS465" t="n">
        <v>191244.0</v>
      </c>
      <c r="BT465" t="inlineStr">
        <is>
          <t>Fate and Transformation of 6:2 Fluorotelomer Sulfonic Acid Affected by Plant, Nutrient, Bioaugmentation, and Soil Microbiome Interactions</t>
        </is>
      </c>
      <c r="BU465" t="inlineStr">
        <is>
          <t>Environ. Sci. Technol.56(15): 10721-10731</t>
        </is>
      </c>
      <c r="BV465" t="n">
        <v>2022.0</v>
      </c>
      <c r="BW465" t="inlineStr">
        <is>
          <t>Yang,S., L. Shan, and K. Chu (2022). Fate and Transformation of 6:2 Fluorotelomer Sulfonic Acid Affected by Plant, Nutrient, Bioaugmentation, and Soil Microbiome Interactions. Environ. Sci. Technol., 56, (15), 10721-10731. doi:10.1021/acs.est.2c01867. ECOREF#:191244</t>
        </is>
      </c>
    </row>
    <row r="466">
      <c r="A466" t="n">
        <v>2.7619972E7</v>
      </c>
      <c r="B466" t="inlineStr">
        <is>
          <t>3,3,4,4,5,5,6,6,7,7,8,8,8-Tridecafluoro-1-octanesulfonic acid</t>
        </is>
      </c>
      <c r="C466" t="inlineStr">
        <is>
          <t>Analytical grade</t>
        </is>
      </c>
      <c r="D466" t="inlineStr">
        <is>
          <t>Unmeasured</t>
        </is>
      </c>
      <c r="E466"/>
      <c r="F466" t="n">
        <v>95.0</v>
      </c>
      <c r="G466"/>
      <c r="H466"/>
      <c r="I466"/>
      <c r="J466"/>
      <c r="K466" t="inlineStr">
        <is>
          <t>Caenorhabditis elegans</t>
        </is>
      </c>
      <c r="L466" t="inlineStr">
        <is>
          <t>Nematode</t>
        </is>
      </c>
      <c r="M466" t="inlineStr">
        <is>
          <t>Worms; Standard Test Species</t>
        </is>
      </c>
      <c r="N466" t="inlineStr">
        <is>
          <t>Larva</t>
        </is>
      </c>
      <c r="O466"/>
      <c r="P466" t="n">
        <v>1.0</v>
      </c>
      <c r="Q466"/>
      <c r="R466"/>
      <c r="S466"/>
      <c r="T466"/>
      <c r="U466" t="inlineStr">
        <is>
          <t>Stage</t>
        </is>
      </c>
      <c r="V466" t="inlineStr">
        <is>
          <t>Culture medium</t>
        </is>
      </c>
      <c r="W466" t="inlineStr">
        <is>
          <t>Culture</t>
        </is>
      </c>
      <c r="X466" t="inlineStr">
        <is>
          <t>Lab</t>
        </is>
      </c>
      <c r="Y466" t="n">
        <v>3.0</v>
      </c>
      <c r="Z466" t="inlineStr">
        <is>
          <t>Active ingredient</t>
        </is>
      </c>
      <c r="AA466"/>
      <c r="AB466" t="n">
        <v>5.0</v>
      </c>
      <c r="AC466"/>
      <c r="AD466"/>
      <c r="AE466"/>
      <c r="AF466"/>
      <c r="AG466" t="inlineStr">
        <is>
          <t>ppm</t>
        </is>
      </c>
      <c r="AH466"/>
      <c r="AI466"/>
      <c r="AJ466"/>
      <c r="AK466"/>
      <c r="AL466"/>
      <c r="AM466"/>
      <c r="AN466"/>
      <c r="AO466"/>
      <c r="AP466"/>
      <c r="AQ466"/>
      <c r="AR466"/>
      <c r="AS466"/>
      <c r="AT466"/>
      <c r="AU466"/>
      <c r="AV466"/>
      <c r="AW466"/>
      <c r="AX466" t="inlineStr">
        <is>
          <t>Accumulation</t>
        </is>
      </c>
      <c r="AY466" t="inlineStr">
        <is>
          <t>Residue</t>
        </is>
      </c>
      <c r="AZ466" t="inlineStr">
        <is>
          <t>BCF</t>
        </is>
      </c>
      <c r="BA466"/>
      <c r="BB466" t="n">
        <v>2.367</v>
      </c>
      <c r="BC466"/>
      <c r="BD466"/>
      <c r="BE466"/>
      <c r="BF466"/>
      <c r="BG466"/>
      <c r="BH466"/>
      <c r="BI466" t="inlineStr">
        <is>
          <t>RA</t>
        </is>
      </c>
      <c r="BJ466" t="inlineStr">
        <is>
          <t>Whole organism</t>
        </is>
      </c>
      <c r="BK466"/>
      <c r="BL466" t="n">
        <v>2.0</v>
      </c>
      <c r="BM466"/>
      <c r="BN466"/>
      <c r="BO466"/>
      <c r="BP466"/>
      <c r="BQ466" t="inlineStr">
        <is>
          <t>Day(s)</t>
        </is>
      </c>
      <c r="BR466" t="inlineStr">
        <is>
          <t>Currie,S.D., Y. Ji, Q. Huang, J.S. Wang, and L. Tang</t>
        </is>
      </c>
      <c r="BS466" t="n">
        <v>194013.0</v>
      </c>
      <c r="BT466" t="inlineStr">
        <is>
          <t>The Impact of Early Life Exposure to Individual and Combined PFAS on Learning, Memory, and Bioaccumulation in C. elegans</t>
        </is>
      </c>
      <c r="BU466" t="inlineStr">
        <is>
          <t>Environ. Pollut.363(2): 13 p.</t>
        </is>
      </c>
      <c r="BV466" t="n">
        <v>2024.0</v>
      </c>
      <c r="BW466" t="inlineStr">
        <is>
          <t>Currie,S.D., Y. Ji, Q. Huang, J.S. Wang, and L. Tang (2024). The Impact of Early Life Exposure to Individual and Combined PFAS on Learning, Memory, and Bioaccumulation in C. elegans. Environ. Pollut., 363, (2), 13 p. doi:10.1016/j.envpol.2024.125257. ECOREF#:194013</t>
        </is>
      </c>
    </row>
    <row r="467">
      <c r="A467" t="n">
        <v>2.7619972E7</v>
      </c>
      <c r="B467" t="inlineStr">
        <is>
          <t>3,3,4,4,5,5,6,6,7,7,8,8,8-Tridecafluoro-1-octanesulfonic acid</t>
        </is>
      </c>
      <c r="C467" t="inlineStr">
        <is>
          <t>Analytical grade</t>
        </is>
      </c>
      <c r="D467" t="inlineStr">
        <is>
          <t>Unmeasured</t>
        </is>
      </c>
      <c r="E467"/>
      <c r="F467" t="n">
        <v>95.0</v>
      </c>
      <c r="G467"/>
      <c r="H467"/>
      <c r="I467"/>
      <c r="J467"/>
      <c r="K467" t="inlineStr">
        <is>
          <t>Caenorhabditis elegans</t>
        </is>
      </c>
      <c r="L467" t="inlineStr">
        <is>
          <t>Nematode</t>
        </is>
      </c>
      <c r="M467" t="inlineStr">
        <is>
          <t>Worms; Standard Test Species</t>
        </is>
      </c>
      <c r="N467" t="inlineStr">
        <is>
          <t>Larva</t>
        </is>
      </c>
      <c r="O467"/>
      <c r="P467" t="n">
        <v>1.0</v>
      </c>
      <c r="Q467"/>
      <c r="R467"/>
      <c r="S467"/>
      <c r="T467"/>
      <c r="U467" t="inlineStr">
        <is>
          <t>Stage</t>
        </is>
      </c>
      <c r="V467" t="inlineStr">
        <is>
          <t>Culture medium</t>
        </is>
      </c>
      <c r="W467" t="inlineStr">
        <is>
          <t>Culture</t>
        </is>
      </c>
      <c r="X467" t="inlineStr">
        <is>
          <t>Lab</t>
        </is>
      </c>
      <c r="Y467" t="n">
        <v>3.0</v>
      </c>
      <c r="Z467" t="inlineStr">
        <is>
          <t>Active ingredient</t>
        </is>
      </c>
      <c r="AA467"/>
      <c r="AB467" t="n">
        <v>10.0</v>
      </c>
      <c r="AC467"/>
      <c r="AD467"/>
      <c r="AE467"/>
      <c r="AF467"/>
      <c r="AG467" t="inlineStr">
        <is>
          <t>ppm</t>
        </is>
      </c>
      <c r="AH467"/>
      <c r="AI467"/>
      <c r="AJ467"/>
      <c r="AK467"/>
      <c r="AL467"/>
      <c r="AM467"/>
      <c r="AN467"/>
      <c r="AO467"/>
      <c r="AP467"/>
      <c r="AQ467"/>
      <c r="AR467"/>
      <c r="AS467"/>
      <c r="AT467"/>
      <c r="AU467"/>
      <c r="AV467"/>
      <c r="AW467"/>
      <c r="AX467" t="inlineStr">
        <is>
          <t>Accumulation</t>
        </is>
      </c>
      <c r="AY467" t="inlineStr">
        <is>
          <t>Residue</t>
        </is>
      </c>
      <c r="AZ467" t="inlineStr">
        <is>
          <t>BCF</t>
        </is>
      </c>
      <c r="BA467"/>
      <c r="BB467" t="n">
        <v>0.9881</v>
      </c>
      <c r="BC467"/>
      <c r="BD467"/>
      <c r="BE467"/>
      <c r="BF467"/>
      <c r="BG467"/>
      <c r="BH467"/>
      <c r="BI467" t="inlineStr">
        <is>
          <t>RA</t>
        </is>
      </c>
      <c r="BJ467" t="inlineStr">
        <is>
          <t>Whole organism</t>
        </is>
      </c>
      <c r="BK467"/>
      <c r="BL467" t="n">
        <v>2.0</v>
      </c>
      <c r="BM467"/>
      <c r="BN467"/>
      <c r="BO467"/>
      <c r="BP467"/>
      <c r="BQ467" t="inlineStr">
        <is>
          <t>Day(s)</t>
        </is>
      </c>
      <c r="BR467" t="inlineStr">
        <is>
          <t>Currie,S.D., Y. Ji, Q. Huang, J.S. Wang, and L. Tang</t>
        </is>
      </c>
      <c r="BS467" t="n">
        <v>194013.0</v>
      </c>
      <c r="BT467" t="inlineStr">
        <is>
          <t>The Impact of Early Life Exposure to Individual and Combined PFAS on Learning, Memory, and Bioaccumulation in C. elegans</t>
        </is>
      </c>
      <c r="BU467" t="inlineStr">
        <is>
          <t>Environ. Pollut.363(2): 13 p.</t>
        </is>
      </c>
      <c r="BV467" t="n">
        <v>2024.0</v>
      </c>
      <c r="BW467" t="inlineStr">
        <is>
          <t>Currie,S.D., Y. Ji, Q. Huang, J.S. Wang, and L. Tang (2024). The Impact of Early Life Exposure to Individual and Combined PFAS on Learning, Memory, and Bioaccumulation in C. elegans. Environ. Pollut., 363, (2), 13 p. doi:10.1016/j.envpol.2024.125257. ECOREF#:194013</t>
        </is>
      </c>
    </row>
    <row r="468">
      <c r="A468" t="n">
        <v>2.7619972E7</v>
      </c>
      <c r="B468" t="inlineStr">
        <is>
          <t>3,3,4,4,5,5,6,6,7,7,8,8,8-Tridecafluoro-1-octanesulfonic acid</t>
        </is>
      </c>
      <c r="C468" t="inlineStr">
        <is>
          <t>Analytical grade</t>
        </is>
      </c>
      <c r="D468" t="inlineStr">
        <is>
          <t>Unmeasured</t>
        </is>
      </c>
      <c r="E468"/>
      <c r="F468" t="n">
        <v>95.0</v>
      </c>
      <c r="G468"/>
      <c r="H468"/>
      <c r="I468"/>
      <c r="J468"/>
      <c r="K468" t="inlineStr">
        <is>
          <t>Caenorhabditis elegans</t>
        </is>
      </c>
      <c r="L468" t="inlineStr">
        <is>
          <t>Nematode</t>
        </is>
      </c>
      <c r="M468" t="inlineStr">
        <is>
          <t>Worms; Standard Test Species</t>
        </is>
      </c>
      <c r="N468" t="inlineStr">
        <is>
          <t>Larva</t>
        </is>
      </c>
      <c r="O468"/>
      <c r="P468" t="n">
        <v>1.0</v>
      </c>
      <c r="Q468"/>
      <c r="R468"/>
      <c r="S468"/>
      <c r="T468"/>
      <c r="U468" t="inlineStr">
        <is>
          <t>Stage</t>
        </is>
      </c>
      <c r="V468" t="inlineStr">
        <is>
          <t>Culture medium</t>
        </is>
      </c>
      <c r="W468" t="inlineStr">
        <is>
          <t>Culture</t>
        </is>
      </c>
      <c r="X468" t="inlineStr">
        <is>
          <t>Lab</t>
        </is>
      </c>
      <c r="Y468" t="n">
        <v>3.0</v>
      </c>
      <c r="Z468" t="inlineStr">
        <is>
          <t>Active ingredient</t>
        </is>
      </c>
      <c r="AA468"/>
      <c r="AB468" t="n">
        <v>5.0</v>
      </c>
      <c r="AC468"/>
      <c r="AD468"/>
      <c r="AE468"/>
      <c r="AF468"/>
      <c r="AG468" t="inlineStr">
        <is>
          <t>ppm</t>
        </is>
      </c>
      <c r="AH468"/>
      <c r="AI468"/>
      <c r="AJ468"/>
      <c r="AK468"/>
      <c r="AL468"/>
      <c r="AM468"/>
      <c r="AN468"/>
      <c r="AO468"/>
      <c r="AP468"/>
      <c r="AQ468"/>
      <c r="AR468"/>
      <c r="AS468"/>
      <c r="AT468"/>
      <c r="AU468"/>
      <c r="AV468"/>
      <c r="AW468"/>
      <c r="AX468" t="inlineStr">
        <is>
          <t>Accumulation</t>
        </is>
      </c>
      <c r="AY468" t="inlineStr">
        <is>
          <t>Residue</t>
        </is>
      </c>
      <c r="AZ468" t="inlineStr">
        <is>
          <t>LOEL</t>
        </is>
      </c>
      <c r="BA468"/>
      <c r="BB468" t="n">
        <v>5.0</v>
      </c>
      <c r="BC468"/>
      <c r="BD468"/>
      <c r="BE468"/>
      <c r="BF468"/>
      <c r="BG468"/>
      <c r="BH468"/>
      <c r="BI468" t="inlineStr">
        <is>
          <t>ppm</t>
        </is>
      </c>
      <c r="BJ468" t="inlineStr">
        <is>
          <t>Whole organism</t>
        </is>
      </c>
      <c r="BK468"/>
      <c r="BL468" t="n">
        <v>2.0</v>
      </c>
      <c r="BM468"/>
      <c r="BN468"/>
      <c r="BO468"/>
      <c r="BP468"/>
      <c r="BQ468" t="inlineStr">
        <is>
          <t>Day(s)</t>
        </is>
      </c>
      <c r="BR468" t="inlineStr">
        <is>
          <t>Currie,S.D., Y. Ji, Q. Huang, J.S. Wang, and L. Tang</t>
        </is>
      </c>
      <c r="BS468" t="n">
        <v>194013.0</v>
      </c>
      <c r="BT468" t="inlineStr">
        <is>
          <t>The Impact of Early Life Exposure to Individual and Combined PFAS on Learning, Memory, and Bioaccumulation in C. elegans</t>
        </is>
      </c>
      <c r="BU468" t="inlineStr">
        <is>
          <t>Environ. Pollut.363(2): 13 p.</t>
        </is>
      </c>
      <c r="BV468" t="n">
        <v>2024.0</v>
      </c>
      <c r="BW468" t="inlineStr">
        <is>
          <t>Currie,S.D., Y. Ji, Q. Huang, J.S. Wang, and L. Tang (2024). The Impact of Early Life Exposure to Individual and Combined PFAS on Learning, Memory, and Bioaccumulation in C. elegans. Environ. Pollut., 363, (2), 13 p. doi:10.1016/j.envpol.2024.125257. ECOREF#:194013</t>
        </is>
      </c>
    </row>
    <row r="469">
      <c r="A469" t="n">
        <v>2.7619972E7</v>
      </c>
      <c r="B469" t="inlineStr">
        <is>
          <t>3,3,4,4,5,5,6,6,7,7,8,8,8-Tridecafluoro-1-octanesulfonic acid</t>
        </is>
      </c>
      <c r="C469"/>
      <c r="D469" t="inlineStr">
        <is>
          <t>Measured</t>
        </is>
      </c>
      <c r="E469"/>
      <c r="F469" t="n">
        <v>98.0</v>
      </c>
      <c r="G469"/>
      <c r="H469"/>
      <c r="I469"/>
      <c r="J469"/>
      <c r="K469" t="inlineStr">
        <is>
          <t>Cucurbita maxima</t>
        </is>
      </c>
      <c r="L469" t="inlineStr">
        <is>
          <t>Winter Squash</t>
        </is>
      </c>
      <c r="M469" t="inlineStr">
        <is>
          <t>Flowers, Trees, Shrubs, Ferns</t>
        </is>
      </c>
      <c r="N469" t="inlineStr">
        <is>
          <t>Seedling</t>
        </is>
      </c>
      <c r="O469"/>
      <c r="P469" t="n">
        <v>7.0</v>
      </c>
      <c r="Q469"/>
      <c r="R469"/>
      <c r="S469"/>
      <c r="T469"/>
      <c r="U469" t="inlineStr">
        <is>
          <t>Day(s)</t>
        </is>
      </c>
      <c r="V469" t="inlineStr">
        <is>
          <t>Hydroponic</t>
        </is>
      </c>
      <c r="W469" t="inlineStr">
        <is>
          <t>Hydroponic</t>
        </is>
      </c>
      <c r="X469" t="inlineStr">
        <is>
          <t>Lab</t>
        </is>
      </c>
      <c r="Y469" t="n">
        <v>2.0</v>
      </c>
      <c r="Z469" t="inlineStr">
        <is>
          <t>Active ingredient</t>
        </is>
      </c>
      <c r="AA469"/>
      <c r="AB469" t="n">
        <v>1.043</v>
      </c>
      <c r="AC469"/>
      <c r="AD469"/>
      <c r="AE469"/>
      <c r="AF469"/>
      <c r="AG469" t="inlineStr">
        <is>
          <t>nmol/ml</t>
        </is>
      </c>
      <c r="AH469"/>
      <c r="AI469"/>
      <c r="AJ469"/>
      <c r="AK469"/>
      <c r="AL469"/>
      <c r="AM469"/>
      <c r="AN469"/>
      <c r="AO469"/>
      <c r="AP469"/>
      <c r="AQ469"/>
      <c r="AR469"/>
      <c r="AS469"/>
      <c r="AT469"/>
      <c r="AU469"/>
      <c r="AV469"/>
      <c r="AW469"/>
      <c r="AX469" t="inlineStr">
        <is>
          <t>Accumulation</t>
        </is>
      </c>
      <c r="AY469" t="inlineStr">
        <is>
          <t>Residue</t>
        </is>
      </c>
      <c r="AZ469" t="inlineStr">
        <is>
          <t>BCF</t>
        </is>
      </c>
      <c r="BA469"/>
      <c r="BB469" t="n">
        <v>25.0</v>
      </c>
      <c r="BC469"/>
      <c r="BD469"/>
      <c r="BE469"/>
      <c r="BF469"/>
      <c r="BG469"/>
      <c r="BH469"/>
      <c r="BI469" t="inlineStr">
        <is>
          <t>RA</t>
        </is>
      </c>
      <c r="BJ469" t="inlineStr">
        <is>
          <t>Root</t>
        </is>
      </c>
      <c r="BK469"/>
      <c r="BL469" t="n">
        <v>12.0</v>
      </c>
      <c r="BM469"/>
      <c r="BN469"/>
      <c r="BO469"/>
      <c r="BP469"/>
      <c r="BQ469" t="inlineStr">
        <is>
          <t>Day(s)</t>
        </is>
      </c>
      <c r="BR469" t="inlineStr">
        <is>
          <t>Zhao,S., T. Liang, L. Zhu, L. Yang, T. Liu, J. Fu, B. Wang, J. Zhan, and L. Liu</t>
        </is>
      </c>
      <c r="BS469" t="n">
        <v>179523.0</v>
      </c>
      <c r="BT469" t="inlineStr">
        <is>
          <t>Fate of 6:2 Fluorotelomer Sulfonic Acid in Pumpkin (Cucurbita maxima L.) Based on Hydroponic Culture: Uptake, Translocation and Biotransformation</t>
        </is>
      </c>
      <c r="BU469" t="inlineStr">
        <is>
          <t>Environ. Pollut.252:804-812</t>
        </is>
      </c>
      <c r="BV469" t="n">
        <v>2019.0</v>
      </c>
      <c r="BW469"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row>
    <row r="470">
      <c r="A470" t="n">
        <v>2.7619972E7</v>
      </c>
      <c r="B470" t="inlineStr">
        <is>
          <t>3,3,4,4,5,5,6,6,7,7,8,8,8-Tridecafluoro-1-octanesulfonic acid</t>
        </is>
      </c>
      <c r="C470"/>
      <c r="D470" t="inlineStr">
        <is>
          <t>Measured</t>
        </is>
      </c>
      <c r="E470"/>
      <c r="F470" t="n">
        <v>98.0</v>
      </c>
      <c r="G470"/>
      <c r="H470"/>
      <c r="I470"/>
      <c r="J470"/>
      <c r="K470" t="inlineStr">
        <is>
          <t>Cucurbita maxima</t>
        </is>
      </c>
      <c r="L470" t="inlineStr">
        <is>
          <t>Winter Squash</t>
        </is>
      </c>
      <c r="M470" t="inlineStr">
        <is>
          <t>Flowers, Trees, Shrubs, Ferns</t>
        </is>
      </c>
      <c r="N470" t="inlineStr">
        <is>
          <t>Seedling</t>
        </is>
      </c>
      <c r="O470"/>
      <c r="P470" t="n">
        <v>7.0</v>
      </c>
      <c r="Q470"/>
      <c r="R470"/>
      <c r="S470"/>
      <c r="T470"/>
      <c r="U470" t="inlineStr">
        <is>
          <t>Day(s)</t>
        </is>
      </c>
      <c r="V470" t="inlineStr">
        <is>
          <t>Hydroponic</t>
        </is>
      </c>
      <c r="W470" t="inlineStr">
        <is>
          <t>Hydroponic</t>
        </is>
      </c>
      <c r="X470" t="inlineStr">
        <is>
          <t>Lab</t>
        </is>
      </c>
      <c r="Y470" t="n">
        <v>2.0</v>
      </c>
      <c r="Z470" t="inlineStr">
        <is>
          <t>Active ingredient</t>
        </is>
      </c>
      <c r="AA470"/>
      <c r="AB470" t="n">
        <v>1.043</v>
      </c>
      <c r="AC470"/>
      <c r="AD470"/>
      <c r="AE470"/>
      <c r="AF470"/>
      <c r="AG470" t="inlineStr">
        <is>
          <t>nmol/ml</t>
        </is>
      </c>
      <c r="AH470"/>
      <c r="AI470"/>
      <c r="AJ470"/>
      <c r="AK470"/>
      <c r="AL470"/>
      <c r="AM470"/>
      <c r="AN470"/>
      <c r="AO470"/>
      <c r="AP470"/>
      <c r="AQ470"/>
      <c r="AR470"/>
      <c r="AS470"/>
      <c r="AT470"/>
      <c r="AU470"/>
      <c r="AV470"/>
      <c r="AW470"/>
      <c r="AX470" t="inlineStr">
        <is>
          <t>Accumulation</t>
        </is>
      </c>
      <c r="AY470" t="inlineStr">
        <is>
          <t>Residue</t>
        </is>
      </c>
      <c r="AZ470" t="inlineStr">
        <is>
          <t>BCF</t>
        </is>
      </c>
      <c r="BA470"/>
      <c r="BB470"/>
      <c r="BC470"/>
      <c r="BD470" t="n">
        <v>10.0</v>
      </c>
      <c r="BE470"/>
      <c r="BF470" t="n">
        <v>12.0</v>
      </c>
      <c r="BG470"/>
      <c r="BH470"/>
      <c r="BI470" t="inlineStr">
        <is>
          <t>RA</t>
        </is>
      </c>
      <c r="BJ470" t="inlineStr">
        <is>
          <t>Whole organism</t>
        </is>
      </c>
      <c r="BK470"/>
      <c r="BL470" t="n">
        <v>12.0</v>
      </c>
      <c r="BM470"/>
      <c r="BN470"/>
      <c r="BO470"/>
      <c r="BP470"/>
      <c r="BQ470" t="inlineStr">
        <is>
          <t>Day(s)</t>
        </is>
      </c>
      <c r="BR470" t="inlineStr">
        <is>
          <t>Zhao,S., T. Liang, L. Zhu, L. Yang, T. Liu, J. Fu, B. Wang, J. Zhan, and L. Liu</t>
        </is>
      </c>
      <c r="BS470" t="n">
        <v>179523.0</v>
      </c>
      <c r="BT470" t="inlineStr">
        <is>
          <t>Fate of 6:2 Fluorotelomer Sulfonic Acid in Pumpkin (Cucurbita maxima L.) Based on Hydroponic Culture: Uptake, Translocation and Biotransformation</t>
        </is>
      </c>
      <c r="BU470" t="inlineStr">
        <is>
          <t>Environ. Pollut.252:804-812</t>
        </is>
      </c>
      <c r="BV470" t="n">
        <v>2019.0</v>
      </c>
      <c r="BW470"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row>
    <row r="471">
      <c r="A471" t="n">
        <v>2.7619972E7</v>
      </c>
      <c r="B471" t="inlineStr">
        <is>
          <t>3,3,4,4,5,5,6,6,7,7,8,8,8-Tridecafluoro-1-octanesulfonic acid</t>
        </is>
      </c>
      <c r="C471"/>
      <c r="D471" t="inlineStr">
        <is>
          <t>Chemical analysis reported</t>
        </is>
      </c>
      <c r="E471" t="inlineStr">
        <is>
          <t>&gt;=</t>
        </is>
      </c>
      <c r="F471" t="n">
        <v>98.0</v>
      </c>
      <c r="G471"/>
      <c r="H471"/>
      <c r="I471"/>
      <c r="J471"/>
      <c r="K471" t="inlineStr">
        <is>
          <t>Lithobates pipiens</t>
        </is>
      </c>
      <c r="L471" t="inlineStr">
        <is>
          <t>Leopard Frog</t>
        </is>
      </c>
      <c r="M471" t="inlineStr">
        <is>
          <t>Amphibians; Standard Test Species</t>
        </is>
      </c>
      <c r="N471" t="inlineStr">
        <is>
          <t>Juvenile</t>
        </is>
      </c>
      <c r="O471" t="inlineStr">
        <is>
          <t>&gt;</t>
        </is>
      </c>
      <c r="P471" t="n">
        <v>55.0</v>
      </c>
      <c r="Q471"/>
      <c r="R471"/>
      <c r="S471"/>
      <c r="T471"/>
      <c r="U471" t="inlineStr">
        <is>
          <t>Day(s)</t>
        </is>
      </c>
      <c r="V471" t="inlineStr">
        <is>
          <t>Environmental, unspecified</t>
        </is>
      </c>
      <c r="W471" t="inlineStr">
        <is>
          <t>Natural soil</t>
        </is>
      </c>
      <c r="X471" t="inlineStr">
        <is>
          <t>Lab</t>
        </is>
      </c>
      <c r="Y471" t="n">
        <v>4.0</v>
      </c>
      <c r="Z471" t="inlineStr">
        <is>
          <t>Active ingredient</t>
        </is>
      </c>
      <c r="AA471"/>
      <c r="AB471"/>
      <c r="AC471"/>
      <c r="AD471" t="n">
        <v>80.0</v>
      </c>
      <c r="AE471"/>
      <c r="AF471" t="n">
        <v>8000.0</v>
      </c>
      <c r="AG471" t="inlineStr">
        <is>
          <t xml:space="preserve">ppb dry wt </t>
        </is>
      </c>
      <c r="AH471"/>
      <c r="AI471"/>
      <c r="AJ471"/>
      <c r="AK471"/>
      <c r="AL471"/>
      <c r="AM471"/>
      <c r="AN471"/>
      <c r="AO471"/>
      <c r="AP471"/>
      <c r="AQ471"/>
      <c r="AR471"/>
      <c r="AS471"/>
      <c r="AT471"/>
      <c r="AU471"/>
      <c r="AV471"/>
      <c r="AW471"/>
      <c r="AX471" t="inlineStr">
        <is>
          <t>Accumulation</t>
        </is>
      </c>
      <c r="AY471" t="inlineStr">
        <is>
          <t>Residue</t>
        </is>
      </c>
      <c r="AZ471"/>
      <c r="BA471"/>
      <c r="BB471"/>
      <c r="BC471"/>
      <c r="BD471" t="n">
        <v>80.0</v>
      </c>
      <c r="BE471"/>
      <c r="BF471" t="n">
        <v>8000.0</v>
      </c>
      <c r="BG471"/>
      <c r="BH471"/>
      <c r="BI471" t="inlineStr">
        <is>
          <t xml:space="preserve">ppb dry wt </t>
        </is>
      </c>
      <c r="BJ471" t="inlineStr">
        <is>
          <t>Whole organism</t>
        </is>
      </c>
      <c r="BK471"/>
      <c r="BL471" t="n">
        <v>30.0</v>
      </c>
      <c r="BM471"/>
      <c r="BN471"/>
      <c r="BO471"/>
      <c r="BP471"/>
      <c r="BQ471" t="inlineStr">
        <is>
          <t>Day(s)</t>
        </is>
      </c>
      <c r="BR471" t="inlineStr">
        <is>
          <t>Abercrombie,S.A., C. De Perre, M. Iacchetta, R.W. Flynn, M.S. Sepulveda, L.S. Lee, and J.T. Hoverman</t>
        </is>
      </c>
      <c r="BS471" t="n">
        <v>182571.0</v>
      </c>
      <c r="BT471" t="inlineStr">
        <is>
          <t>Sublethal Effects of Dermal Exposure to Poly- and Perfluoroalkyl Substances on Postmetamorphic Amphibians</t>
        </is>
      </c>
      <c r="BU471" t="inlineStr">
        <is>
          <t>Environ. Toxicol. Chem.40(3): 717-726</t>
        </is>
      </c>
      <c r="BV471" t="n">
        <v>2021.0</v>
      </c>
      <c r="BW471"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472">
      <c r="A472" t="n">
        <v>2.7619972E7</v>
      </c>
      <c r="B472" t="inlineStr">
        <is>
          <t>3,3,4,4,5,5,6,6,7,7,8,8,8-Tridecafluoro-1-octanesulfonic acid</t>
        </is>
      </c>
      <c r="C472"/>
      <c r="D472" t="inlineStr">
        <is>
          <t>Chemical analysis reported</t>
        </is>
      </c>
      <c r="E472"/>
      <c r="F472" t="n">
        <v>98.0</v>
      </c>
      <c r="G472"/>
      <c r="H472"/>
      <c r="I472"/>
      <c r="J472"/>
      <c r="K472" t="inlineStr">
        <is>
          <t>Peromyscus leucopus</t>
        </is>
      </c>
      <c r="L472" t="inlineStr">
        <is>
          <t>White-Footed Mouse</t>
        </is>
      </c>
      <c r="M472" t="inlineStr">
        <is>
          <t>Mammals</t>
        </is>
      </c>
      <c r="N472" t="inlineStr">
        <is>
          <t>Adult</t>
        </is>
      </c>
      <c r="O472"/>
      <c r="P472"/>
      <c r="Q472"/>
      <c r="R472"/>
      <c r="S472"/>
      <c r="T472"/>
      <c r="U472"/>
      <c r="V472" t="inlineStr">
        <is>
          <t>Gavage</t>
        </is>
      </c>
      <c r="W472" t="inlineStr">
        <is>
          <t>No substrate</t>
        </is>
      </c>
      <c r="X472" t="inlineStr">
        <is>
          <t>Lab</t>
        </is>
      </c>
      <c r="Y472" t="n">
        <v>4.0</v>
      </c>
      <c r="Z472" t="inlineStr">
        <is>
          <t>Active ingredient</t>
        </is>
      </c>
      <c r="AA472"/>
      <c r="AB472"/>
      <c r="AC472"/>
      <c r="AD472" t="n">
        <v>2.5</v>
      </c>
      <c r="AE472"/>
      <c r="AF472" t="n">
        <v>12.5</v>
      </c>
      <c r="AG472" t="inlineStr">
        <is>
          <t>mg/kg bdwt/d</t>
        </is>
      </c>
      <c r="AH472"/>
      <c r="AI472"/>
      <c r="AJ472"/>
      <c r="AK472"/>
      <c r="AL472"/>
      <c r="AM472"/>
      <c r="AN472"/>
      <c r="AO472"/>
      <c r="AP472"/>
      <c r="AQ472"/>
      <c r="AR472"/>
      <c r="AS472"/>
      <c r="AT472"/>
      <c r="AU472"/>
      <c r="AV472"/>
      <c r="AW472"/>
      <c r="AX472" t="inlineStr">
        <is>
          <t>Accumulation</t>
        </is>
      </c>
      <c r="AY472" t="inlineStr">
        <is>
          <t>Residue</t>
        </is>
      </c>
      <c r="AZ472"/>
      <c r="BA472"/>
      <c r="BB472"/>
      <c r="BC472"/>
      <c r="BD472" t="n">
        <v>2.5</v>
      </c>
      <c r="BE472"/>
      <c r="BF472" t="n">
        <v>12.5</v>
      </c>
      <c r="BG472"/>
      <c r="BH472"/>
      <c r="BI472" t="inlineStr">
        <is>
          <t>mg/kg bdwt/d</t>
        </is>
      </c>
      <c r="BJ472" t="inlineStr">
        <is>
          <t>Serum</t>
        </is>
      </c>
      <c r="BK472"/>
      <c r="BL472"/>
      <c r="BM472"/>
      <c r="BN472" t="n">
        <v>21.0</v>
      </c>
      <c r="BO472"/>
      <c r="BP472" t="n">
        <v>28.0</v>
      </c>
      <c r="BQ472" t="inlineStr">
        <is>
          <t>Day(s)</t>
        </is>
      </c>
      <c r="BR472" t="inlineStr">
        <is>
          <t>Narizzano,A.M., M.E. Bohannon, A.G. East, C. McDonough, S. Choyke, C.P. Higgins, and M.J.,Jr. Quinn</t>
        </is>
      </c>
      <c r="BS472" t="n">
        <v>187172.0</v>
      </c>
      <c r="BT472" t="inlineStr">
        <is>
          <t>Patterns in Serum Toxicokinetics in Peromyscus Exposed to PFAS</t>
        </is>
      </c>
      <c r="BU472" t="inlineStr">
        <is>
          <t>Environ. Toxicol. Chem.40(10): 2886-2898</t>
        </is>
      </c>
      <c r="BV472" t="n">
        <v>2021.0</v>
      </c>
      <c r="BW472" t="inlineStr">
        <is>
          <t>Narizzano,A.M., M.E. Bohannon, A.G. East, C. McDonough, S. Choyke, C.P. Higgins, and M.J.,Jr. Quinn (2021). Patterns in Serum Toxicokinetics in Peromyscus Exposed to PFAS. Environ. Toxicol. Chem., 40, (10), 2886-2898. doi:10.1002/etc.5151. ECOREF#:187172</t>
        </is>
      </c>
    </row>
    <row r="473">
      <c r="A473" t="n">
        <v>5.6773423E7</v>
      </c>
      <c r="B473" t="inlineStr">
        <is>
          <t>N,N,N-triethylethanaminium 1,1,2,2,3,3,4,4,5,5,6,6,7,7,8,8,8-heptadecafluoro-1-octanesulfonate (1:1)</t>
        </is>
      </c>
      <c r="C473"/>
      <c r="D473" t="inlineStr">
        <is>
          <t>Unmeasured</t>
        </is>
      </c>
      <c r="E473"/>
      <c r="F473" t="n">
        <v>98.0</v>
      </c>
      <c r="G473"/>
      <c r="H473"/>
      <c r="I473"/>
      <c r="J473"/>
      <c r="K473" t="inlineStr">
        <is>
          <t>Bombus terrestris</t>
        </is>
      </c>
      <c r="L473" t="inlineStr">
        <is>
          <t>Buff Tailed Bumblebee</t>
        </is>
      </c>
      <c r="M473" t="inlineStr">
        <is>
          <t>Insects/Spiders</t>
        </is>
      </c>
      <c r="N473" t="inlineStr">
        <is>
          <t>Adult</t>
        </is>
      </c>
      <c r="O473"/>
      <c r="P473"/>
      <c r="Q473"/>
      <c r="R473"/>
      <c r="S473"/>
      <c r="T473"/>
      <c r="U473"/>
      <c r="V473" t="inlineStr">
        <is>
          <t>Food</t>
        </is>
      </c>
      <c r="W473" t="inlineStr">
        <is>
          <t>No substrate</t>
        </is>
      </c>
      <c r="X473" t="inlineStr">
        <is>
          <t>Lab</t>
        </is>
      </c>
      <c r="Y473" t="n">
        <v>3.0</v>
      </c>
      <c r="Z473" t="inlineStr">
        <is>
          <t>Active ingredient</t>
        </is>
      </c>
      <c r="AA473"/>
      <c r="AB473" t="n">
        <v>100.0</v>
      </c>
      <c r="AC473"/>
      <c r="AD473"/>
      <c r="AE473"/>
      <c r="AF473"/>
      <c r="AG473" t="inlineStr">
        <is>
          <t>ug/L diet</t>
        </is>
      </c>
      <c r="AH473"/>
      <c r="AI473"/>
      <c r="AJ473"/>
      <c r="AK473"/>
      <c r="AL473"/>
      <c r="AM473"/>
      <c r="AN473"/>
      <c r="AO473"/>
      <c r="AP473"/>
      <c r="AQ473"/>
      <c r="AR473"/>
      <c r="AS473"/>
      <c r="AT473"/>
      <c r="AU473"/>
      <c r="AV473"/>
      <c r="AW473"/>
      <c r="AX473" t="inlineStr">
        <is>
          <t>Accumulation</t>
        </is>
      </c>
      <c r="AY473" t="inlineStr">
        <is>
          <t>Residue</t>
        </is>
      </c>
      <c r="AZ473" t="inlineStr">
        <is>
          <t>BAF</t>
        </is>
      </c>
      <c r="BA473"/>
      <c r="BB473" t="n">
        <v>27.9</v>
      </c>
      <c r="BC473"/>
      <c r="BD473"/>
      <c r="BE473"/>
      <c r="BF473"/>
      <c r="BG473"/>
      <c r="BH473"/>
      <c r="BI473" t="inlineStr">
        <is>
          <t>RA</t>
        </is>
      </c>
      <c r="BJ473" t="inlineStr">
        <is>
          <t>Whole organism</t>
        </is>
      </c>
      <c r="BK473"/>
      <c r="BL473" t="n">
        <v>35.0</v>
      </c>
      <c r="BM473"/>
      <c r="BN473"/>
      <c r="BO473"/>
      <c r="BP473"/>
      <c r="BQ473" t="inlineStr">
        <is>
          <t>Day(s)</t>
        </is>
      </c>
      <c r="BR473" t="inlineStr">
        <is>
          <t>Mommaerts,V., A. Hagenaars, J. Meyer, W. De Coen, L. Swevers, H. Mosallanejad, and G. Smagghe</t>
        </is>
      </c>
      <c r="BS473" t="n">
        <v>163148.0</v>
      </c>
      <c r="BT473" t="inlineStr">
        <is>
          <t>Impact of a Perfluorinated Organic Compound PFOS on the Terrestrial Pollinator Bombus terrestris (Insecta, Hymenoptera)</t>
        </is>
      </c>
      <c r="BU473" t="inlineStr">
        <is>
          <t>Ecotoxicology20(2): 447-456</t>
        </is>
      </c>
      <c r="BV473" t="n">
        <v>2011.0</v>
      </c>
      <c r="BW473" t="inlineStr">
        <is>
          <t>Mommaerts,V., A. Hagenaars, J. Meyer, W. De Coen, L. Swevers, H. Mosallanejad, and G. Smagghe (2011). Impact of a Perfluorinated Organic Compound PFOS on the Terrestrial Pollinator Bombus terrestris (Insecta, Hymenoptera). Ecotoxicology, 20, (2), 447-456. doi:10.1007/s10646-011-0596-2. ECOREF#:163148</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182571.0</v>
      </c>
      <c r="B2" t="inlineStr">
        <is>
          <t>Abercrombie,S.A., C. De Perre, M. Iacchetta, R.W. Flynn, M.S. Sepulveda, L.S. Lee, and J.T. Hoverman</t>
        </is>
      </c>
      <c r="C2" t="inlineStr">
        <is>
          <t>Sublethal Effects of Dermal Exposure to Poly- and Perfluoroalkyl Substances on Postmetamorphic Amphibians</t>
        </is>
      </c>
      <c r="D2" t="inlineStr">
        <is>
          <t>Environ. Toxicol. Chem.40(3): 717-726</t>
        </is>
      </c>
      <c r="E2" t="n">
        <v>2021.0</v>
      </c>
      <c r="F2"/>
      <c r="G2" t="inlineStr">
        <is>
          <t>Abercrombie,S.A., C. De Perre, M. Iacchetta, R.W. Flynn, M.S. Sepulveda, L.S. Lee, and J.T. Hoverman (2021). Sublethal Effects of Dermal Exposure to Poly- and Perfluoroalkyl Substances on Postmetamorphic Amphibians. Environ. Toxicol. Chem., 40, (3), 717-726. doi:10.1002/etc.4711. ECOREF#:182571</t>
        </is>
      </c>
      <c r="H2" s="1" t="n">
        <f>HYPERLINK("https://scholar.google.com/scholar?hl=en&amp;as_q=&amp;as_oq=&amp;as_eq=&amp;as_sauthors=&amp;as_publication=&amp;as_ylo=&amp;as_yhi=&amp;as_occt=title&amp;as_sdt=0%2C5&amp;as_epq=%22Sublethal+Effects+of+Dermal+Exposure+to+Poly-+and+Perfluoroalkyl+Substances+on+Postmetamorphic+Amphibians", "Google Scholar")</f>
        <v>0.0</v>
      </c>
    </row>
    <row r="3">
      <c r="A3" t="n">
        <v>195040.0</v>
      </c>
      <c r="B3" t="inlineStr">
        <is>
          <t>Adu,O., S.S. Duza, V.K. Sharma, and X. Ma</t>
        </is>
      </c>
      <c r="C3" t="inlineStr">
        <is>
          <t>Effects of Nitrogen Fertilizer Types on the Uptake and Translocation of PFAS and Metabolomic Activities of Hydroponically Cultivated Lettuce (Lactuca sativa)</t>
        </is>
      </c>
      <c r="D3" t="inlineStr">
        <is>
          <t>J. Agric. Food Chem.73(18): 10907-10913</t>
        </is>
      </c>
      <c r="E3" t="n">
        <v>2025.0</v>
      </c>
      <c r="F3"/>
      <c r="G3" t="inlineStr">
        <is>
          <t>Adu,O., S.S. Duza, V.K. Sharma, and X. Ma (2025). Effects of Nitrogen Fertilizer Types on the Uptake and Translocation of PFAS and Metabolomic Activities of Hydroponically Cultivated Lettuce (Lactuca sativa). J. Agric. Food Chem., 73, (18), 10907-10913. ECOREF#:195040</t>
        </is>
      </c>
      <c r="H3" s="2" t="n">
        <f>HYPERLINK("https://scholar.google.com/scholar?hl=en&amp;as_q=&amp;as_oq=&amp;as_eq=&amp;as_sauthors=&amp;as_publication=&amp;as_ylo=&amp;as_yhi=&amp;as_occt=title&amp;as_sdt=0%2C5&amp;as_epq=%22Effects+of+Nitrogen+Fertilizer+Types+on+the+Uptake+and+Translocation+of+PFAS+and+Metabolomic+Activities+of+Hydro", "Google Scholar")</f>
        <v>0.0</v>
      </c>
    </row>
    <row r="4">
      <c r="A4" t="n">
        <v>191324.0</v>
      </c>
      <c r="B4" t="inlineStr">
        <is>
          <t>Awad,J., G. Brunetti, A. Juhasz, M. Williams, D. Navarro, B. Drigo, J. Bougoure, J. Vanderzalm, and S. Beecham</t>
        </is>
      </c>
      <c r="C4" t="inlineStr">
        <is>
          <t>Application of Native Plants in Constructed Floating Wetlands as a Passive Remediation Approach for PFAS-Impacted Surface Water</t>
        </is>
      </c>
      <c r="D4" t="inlineStr">
        <is>
          <t>J. Hazard. Mater.429:11 p.</t>
        </is>
      </c>
      <c r="E4" t="n">
        <v>2022.0</v>
      </c>
      <c r="F4"/>
      <c r="G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c r="H4" s="3" t="n">
        <f>HYPERLINK("https://scholar.google.com/scholar?hl=en&amp;as_q=&amp;as_oq=&amp;as_eq=&amp;as_sauthors=&amp;as_publication=&amp;as_ylo=&amp;as_yhi=&amp;as_occt=title&amp;as_sdt=0%2C5&amp;as_epq=%22Application+of+Native+Plants+in+Constructed+Floating+Wetlands+as+a+Passive+Remediation+Approach+for+PFAS-Impacte", "Google Scholar")</f>
        <v>0.0</v>
      </c>
    </row>
    <row r="5">
      <c r="A5" t="n">
        <v>184296.0</v>
      </c>
      <c r="B5" t="inlineStr">
        <is>
          <t>Bizkarguenaga,E., I. Zabaleta, L. Mijangos, A. Iparraguirre, L.A. Fernandez, A. Prieto, and O. Zuloaga</t>
        </is>
      </c>
      <c r="C5" t="inlineStr">
        <is>
          <t>Uptake of Perfluorooctanoic Acid, Perfluorooctane Sulfonate and Perfluorooctane Sulfonamide by Carrot and Lettuce from Compost Amended Soil</t>
        </is>
      </c>
      <c r="D5" t="inlineStr">
        <is>
          <t>Sci. Total Environ.571:444-451</t>
        </is>
      </c>
      <c r="E5" t="n">
        <v>2016.0</v>
      </c>
      <c r="F5"/>
      <c r="G5"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c r="H5" s="4" t="n">
        <f>HYPERLINK("https://scholar.google.com/scholar?hl=en&amp;as_q=&amp;as_oq=&amp;as_eq=&amp;as_sauthors=&amp;as_publication=&amp;as_ylo=&amp;as_yhi=&amp;as_occt=title&amp;as_sdt=0%2C5&amp;as_epq=%22Uptake+of+Perfluorooctanoic+Acid%2C+Perfluorooctane+Sulfonate+and+Perfluorooctane+Sulfonamide+by+Carrot+and+Lett", "Google Scholar")</f>
        <v>0.0</v>
      </c>
    </row>
    <row r="6">
      <c r="A6" t="n">
        <v>195258.0</v>
      </c>
      <c r="B6" t="inlineStr">
        <is>
          <t>Brand,A.F., S. Peterson, L.M.S. Gunzel, K.N. Yap, T.M. Ciesielski, C. Arzel, and V.L.B. Jaspers</t>
        </is>
      </c>
      <c r="C6" t="inlineStr">
        <is>
          <t>Gene Expression Changes in Ducklings Exposed In Ovo to Emerging and Legacy Per-/Poly-Fluoroalkyl Substances</t>
        </is>
      </c>
      <c r="D6" t="inlineStr">
        <is>
          <t>Environ. Toxicol. Chem.44(12): 3477-3491</t>
        </is>
      </c>
      <c r="E6" t="n">
        <v>2025.0</v>
      </c>
      <c r="F6"/>
      <c r="G6" t="inlineStr">
        <is>
          <t>Brand,A.F., S. Peterson, L.M.S. Gunzel, K.N. Yap, T.M. Ciesielski, C. Arzel, and V.L.B. Jaspers (2025). Gene Expression Changes in Ducklings Exposed In Ovo to Emerging and Legacy Per-/Poly-Fluoroalkyl Substances. Environ. Toxicol. Chem., 44, (12), 3477-3491. doi:10.1093/etojnl/vgaf213. ECOREF#:195258</t>
        </is>
      </c>
      <c r="H6" s="5" t="n">
        <f>HYPERLINK("https://scholar.google.com/scholar?hl=en&amp;as_q=&amp;as_oq=&amp;as_eq=&amp;as_sauthors=&amp;as_publication=&amp;as_ylo=&amp;as_yhi=&amp;as_occt=title&amp;as_sdt=0%2C5&amp;as_epq=%22Gene+Expression+Changes+in+Ducklings+Exposed+In+Ovo+to+Emerging+and+Legacy+Per-%2FPoly-Fluoroalkyl+Substances", "Google Scholar")</f>
        <v>0.0</v>
      </c>
    </row>
    <row r="7">
      <c r="A7" t="n">
        <v>179630.0</v>
      </c>
      <c r="B7" t="inlineStr">
        <is>
          <t>Briels,N., T.M. Ciesielski, D. Herzke, and V.L.B. Jaspers</t>
        </is>
      </c>
      <c r="C7" t="inlineStr">
        <is>
          <t>Developmental Toxicity of Perfluorooctanesulfonate (PFOS) and Its Chlorinated Polyfluoroalkyl Ether Sulfonate Alternative F-53B in the Domestic Chicken</t>
        </is>
      </c>
      <c r="D7" t="inlineStr">
        <is>
          <t>Environ. Sci. Technol.52(21): 12859-12867</t>
        </is>
      </c>
      <c r="E7" t="n">
        <v>2018.0</v>
      </c>
      <c r="F7"/>
      <c r="G7" t="inlineStr">
        <is>
          <t>Briels,N., T.M. Ciesielski, D. Herzke, and V.L.B. Jaspers (2018). Developmental Toxicity of Perfluorooctanesulfonate (PFOS) and Its Chlorinated Polyfluoroalkyl Ether Sulfonate Alternative F-53B in the Domestic Chicken. Environ. Sci. Technol., 52, (21), 12859-12867. doi:10.1021/acs.est.8b04749. ECOREF#:179630</t>
        </is>
      </c>
      <c r="H7" s="6" t="n">
        <f>HYPERLINK("https://scholar.google.com/scholar?hl=en&amp;as_q=&amp;as_oq=&amp;as_eq=&amp;as_sauthors=&amp;as_publication=&amp;as_ylo=&amp;as_yhi=&amp;as_occt=title&amp;as_sdt=0%2C5&amp;as_epq=%22Developmental+Toxicity+of+Perfluorooctanesulfonate+%28PFOS%29+and+Its+Chlorinated+Polyfluoroalkyl+Ether+Sulfonat", "Google Scholar")</f>
        <v>0.0</v>
      </c>
    </row>
    <row r="8">
      <c r="A8" t="n">
        <v>175361.0</v>
      </c>
      <c r="B8" t="inlineStr">
        <is>
          <t>Brignole,A.J., J.R. Porch, H.O. Krueger, and R.L. Van Hoven</t>
        </is>
      </c>
      <c r="C8" t="inlineStr">
        <is>
          <t>PFOS: A Toxicity Test to Determine the Effects of the Test Substance on Seedling Emergence of Seven Species of Plants</t>
        </is>
      </c>
      <c r="D8" t="inlineStr">
        <is>
          <t>EPA Docket AR226-1369, Wildlife International Ltd., Easton, MD:136 p.</t>
        </is>
      </c>
      <c r="E8" t="n">
        <v>2003.0</v>
      </c>
      <c r="F8"/>
      <c r="G8" t="inlineStr">
        <is>
          <t>Brignole,A.J., J.R. Porch, H.O. Krueger, and R.L. Van Hoven (2003). PFOS: A Toxicity Test to Determine the Effects of the Test Substance on Seedling Emergence of Seven Species of Plants. EPA Docket AR226-1369, Wildlife International Ltd., Easton, MD, 136 p. ECOREF#:175361</t>
        </is>
      </c>
      <c r="H8" s="7" t="n">
        <f>HYPERLINK("https://scholar.google.com/scholar?hl=en&amp;as_q=&amp;as_oq=&amp;as_eq=&amp;as_sauthors=&amp;as_publication=&amp;as_ylo=&amp;as_yhi=&amp;as_occt=title&amp;as_sdt=0%2C5&amp;as_epq=%22PFOS%3A+A+Toxicity+Test+to+Determine+the+Effects+of+the+Test+Substance+on+Seedling+Emergence+of+Seven+Species+of", "Google Scholar")</f>
        <v>0.0</v>
      </c>
    </row>
    <row r="9">
      <c r="A9" t="n">
        <v>182175.0</v>
      </c>
      <c r="B9" t="inlineStr">
        <is>
          <t>Bursian,S.J., J.E. Link, M. McCarty, and M.F. Simcik</t>
        </is>
      </c>
      <c r="C9" t="inlineStr">
        <is>
          <t>The Subacute Toxicity of Perfluorooctane Sulfonate and/or Perfluorooctanoic Acid and Legacy Aqueous Film-Forming Foams to Japanese Quail (Coturnix japonica) Chicks</t>
        </is>
      </c>
      <c r="D9" t="inlineStr">
        <is>
          <t>Environ. Toxicol. Chem.40(3): 695-710</t>
        </is>
      </c>
      <c r="E9" t="n">
        <v>2021.0</v>
      </c>
      <c r="F9"/>
      <c r="G9"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c r="H9" s="8" t="n">
        <f>HYPERLINK("https://scholar.google.com/scholar?hl=en&amp;as_q=&amp;as_oq=&amp;as_eq=&amp;as_sauthors=&amp;as_publication=&amp;as_ylo=&amp;as_yhi=&amp;as_occt=title&amp;as_sdt=0%2C5&amp;as_epq=%22The+Subacute+Toxicity+of+Perfluorooctane+Sulfonate+and%2For+Perfluorooctanoic+Acid+and+Legacy+Aqueous+Film-Formi", "Google Scholar")</f>
        <v>0.0</v>
      </c>
    </row>
    <row r="10">
      <c r="A10" t="n">
        <v>187171.0</v>
      </c>
      <c r="B10" t="inlineStr">
        <is>
          <t>Bursian,S.J., J.E. Link, M. Mccarty, K. Harr, J. Roberts, and M.F. Simcik</t>
        </is>
      </c>
      <c r="C10" t="inlineStr">
        <is>
          <t>Dietary Exposure of Japanese Quail (Coturnix japonica) to Perfluorooctane Sulfonate (PFOS) and a Legacy Aqueous Film Forming Foam (AFFF) Containing PFOS: Effects on Reproduction and Chick Survivability and Growth</t>
        </is>
      </c>
      <c r="D10" t="inlineStr">
        <is>
          <t>Environ. Toxicol. Chem.40(9): 2521-2537</t>
        </is>
      </c>
      <c r="E10" t="n">
        <v>2021.0</v>
      </c>
      <c r="F10"/>
      <c r="G10" t="inlineStr">
        <is>
          <t>Bursian,S.J., J.E. Link, M. Mccarty, K. Harr, J. Roberts, and M.F. Simcik (2021). Dietary Exposure of Japanese Quail (Coturnix japonica) to Perfluorooctane Sulfonate (PFOS) and a Legacy Aqueous Film Forming Foam (AFFF) Containing PFOS: Effects on Reproduction and Chick Survivability and Growth. Environ. Toxicol. Chem., 40, (9), 2521-2537. doi:10.1002/etc.5138. ECOREF#:187171</t>
        </is>
      </c>
      <c r="H10" s="9" t="n">
        <f>HYPERLINK("https://scholar.google.com/scholar?hl=en&amp;as_q=&amp;as_oq=&amp;as_eq=&amp;as_sauthors=&amp;as_publication=&amp;as_ylo=&amp;as_yhi=&amp;as_occt=title&amp;as_sdt=0%2C5&amp;as_epq=%22Dietary+Exposure+of+Japanese+Quail+%28Coturnix+japonica%29+to+Perfluorooctane+Sulfonate+%28PFOS%29+and+a+Legacy+", "Google Scholar")</f>
        <v>0.0</v>
      </c>
    </row>
    <row r="11">
      <c r="A11" t="n">
        <v>178025.0</v>
      </c>
      <c r="B11" t="inlineStr">
        <is>
          <t>Chen,F., C. Wei, Q. Chen, J. Zhang, L. Wang, Z. Zhou, M. Chen, and Y. Liang</t>
        </is>
      </c>
      <c r="C11" t="inlineStr">
        <is>
          <t>Internal Concentrations of Perfluorobutane Sulfonate (PFBS) Comparable to Those of Perfluorooctane Sulfonate (PFOS) Induce Reproductive Toxicity in Caenorhabditis elegans</t>
        </is>
      </c>
      <c r="D11" t="inlineStr">
        <is>
          <t>Ecotoxicol. Environ. Saf.158:223-229</t>
        </is>
      </c>
      <c r="E11" t="n">
        <v>2018.0</v>
      </c>
      <c r="F11"/>
      <c r="G11" t="inlineStr">
        <is>
          <t>Chen,F., C. Wei, Q. Chen, J. Zhang, L. Wang, Z. Zhou, M. Chen, and Y. Liang (2018). Internal Concentrations of Perfluorobutane Sulfonate (PFBS) Comparable to Those of Perfluorooctane Sulfonate (PFOS) Induce Reproductive Toxicity in Caenorhabditis elegans. Ecotoxicol. Environ. Saf., 158, 223-229. doi:10.1016/j.ecoenv.2018.04.032. ECOREF#:178025</t>
        </is>
      </c>
      <c r="H11" s="10" t="n">
        <f>HYPERLINK("https://scholar.google.com/scholar?hl=en&amp;as_q=&amp;as_oq=&amp;as_eq=&amp;as_sauthors=&amp;as_publication=&amp;as_ylo=&amp;as_yhi=&amp;as_occt=title&amp;as_sdt=0%2C5&amp;as_epq=%22Internal+Concentrations+of+Perfluorobutane+Sulfonate+%28PFBS%29+Comparable+to+Those+of+Perfluorooctane+Sulfonate", "Google Scholar")</f>
        <v>0.0</v>
      </c>
    </row>
    <row r="12">
      <c r="A12" t="n">
        <v>188170.0</v>
      </c>
      <c r="B12" t="inlineStr">
        <is>
          <t>Chowdhury,M.I., T. Sana, L. Panneerselvan, A.K. Sivaram, and M. Megharaj</t>
        </is>
      </c>
      <c r="C12" t="inlineStr">
        <is>
          <t>Perfluorooctane Sulfonate (PFOS) Induces Several Behavioural Defects in Caenorhabditis elegans that can also be Transferred to the Next Generations</t>
        </is>
      </c>
      <c r="D12" t="inlineStr">
        <is>
          <t>Chemosphere291:9 p.</t>
        </is>
      </c>
      <c r="E12" t="n">
        <v>2022.0</v>
      </c>
      <c r="F12"/>
      <c r="G12" t="inlineStr">
        <is>
          <t>Chowdhury,M.I., T. Sana, L. Panneerselvan, A.K. Sivaram, and M. Megharaj (2022). Perfluorooctane Sulfonate (PFOS) Induces Several Behavioural Defects in Caenorhabditis elegans that can also be Transferred to the Next Generations. Chemosphere, 291, 9 p. doi:10.1016/j.chemosphere.2021.132896. ECOREF#:188170</t>
        </is>
      </c>
      <c r="H12" s="11" t="n">
        <f>HYPERLINK("https://scholar.google.com/scholar?hl=en&amp;as_q=&amp;as_oq=&amp;as_eq=&amp;as_sauthors=&amp;as_publication=&amp;as_ylo=&amp;as_yhi=&amp;as_occt=title&amp;as_sdt=0%2C5&amp;as_epq=%22Perfluorooctane+Sulfonate+%28PFOS%29+Induces+Several+Behavioural+Defects+in+Caenorhabditis+elegans+that+can+also", "Google Scholar")</f>
        <v>0.0</v>
      </c>
    </row>
    <row r="13">
      <c r="A13" t="n">
        <v>194013.0</v>
      </c>
      <c r="B13" t="inlineStr">
        <is>
          <t>Currie,S.D., Y. Ji, Q. Huang, J.S. Wang, and L. Tang</t>
        </is>
      </c>
      <c r="C13" t="inlineStr">
        <is>
          <t>The Impact of Early Life Exposure to Individual and Combined PFAS on Learning, Memory, and Bioaccumulation in C. elegans</t>
        </is>
      </c>
      <c r="D13" t="inlineStr">
        <is>
          <t>Environ. Pollut.363(2): 13 p.</t>
        </is>
      </c>
      <c r="E13" t="n">
        <v>2024.0</v>
      </c>
      <c r="F13"/>
      <c r="G13" t="inlineStr">
        <is>
          <t>Currie,S.D., Y. Ji, Q. Huang, J.S. Wang, and L. Tang (2024). The Impact of Early Life Exposure to Individual and Combined PFAS on Learning, Memory, and Bioaccumulation in C. elegans. Environ. Pollut., 363, (2), 13 p. doi:10.1016/j.envpol.2024.125257. ECOREF#:194013</t>
        </is>
      </c>
      <c r="H13" s="12" t="n">
        <f>HYPERLINK("https://scholar.google.com/scholar?hl=en&amp;as_q=&amp;as_oq=&amp;as_eq=&amp;as_sauthors=&amp;as_publication=&amp;as_ylo=&amp;as_yhi=&amp;as_occt=title&amp;as_sdt=0%2C5&amp;as_epq=%22The+Impact+of+Early+Life+Exposure+to+Individual+and+Combined+PFAS+on+Learning%2C+Memory%2C+and+Bioaccumulation+i", "Google Scholar")</f>
        <v>0.0</v>
      </c>
    </row>
    <row r="14">
      <c r="A14" t="n">
        <v>191177.0</v>
      </c>
      <c r="B14" t="inlineStr">
        <is>
          <t>Diaz,O.E., C. Sorini, R.A. Morales, X. Luo, A. Frede, A.M. Krais, M.N. Chavez, E. Wincent, S.U. Das, and E.J. Villablan</t>
        </is>
      </c>
      <c r="C14" t="inlineStr">
        <is>
          <t>Perfluorooctanesulfonic Acid Modulates Barrier Function and Systemic T-Cell Homeostasis During Intestinal Inflammation</t>
        </is>
      </c>
      <c r="D14" t="inlineStr">
        <is>
          <t>Dis. Model. Mech.14(12): 1-11</t>
        </is>
      </c>
      <c r="E14" t="n">
        <v>2021.0</v>
      </c>
      <c r="F14"/>
      <c r="G14" t="inlineStr">
        <is>
          <t>Diaz,O.E., C. Sorini, R.A. Morales, X. Luo, A. Frede, A.M. Krais, M.N. Chavez, E. Wincent, S.U. Das, and E.J. Villablan (2021). Perfluorooctanesulfonic Acid Modulates Barrier Function and Systemic T-Cell Homeostasis During Intestinal Inflammation. Dis. Model. Mech., 14, (12), 1-11. doi:10.1242/dmm.049104. ECOREF#:191177</t>
        </is>
      </c>
      <c r="H14" s="13" t="n">
        <f>HYPERLINK("https://scholar.google.com/scholar?hl=en&amp;as_q=&amp;as_oq=&amp;as_eq=&amp;as_sauthors=&amp;as_publication=&amp;as_ylo=&amp;as_yhi=&amp;as_occt=title&amp;as_sdt=0%2C5&amp;as_epq=%22Perfluorooctanesulfonic+Acid+Modulates+Barrier+Function+and+Systemic+T-Cell+Homeostasis+During+Intestinal+Inflam", "Google Scholar")</f>
        <v>0.0</v>
      </c>
    </row>
    <row r="15">
      <c r="A15" t="n">
        <v>163386.0</v>
      </c>
      <c r="B15" t="inlineStr">
        <is>
          <t>Felizeter,S., M.S. McLachlan, and P. De Voogt</t>
        </is>
      </c>
      <c r="C15" t="inlineStr">
        <is>
          <t>Uptake of Perfluorinated Alkyl Acids by Hydroponically Grown Lettuce (Lactuca sativa)</t>
        </is>
      </c>
      <c r="D15" t="inlineStr">
        <is>
          <t>Environ. Sci. Technol.46(21): 11735-11743</t>
        </is>
      </c>
      <c r="E15" t="n">
        <v>2012.0</v>
      </c>
      <c r="F15"/>
      <c r="G15" t="inlineStr">
        <is>
          <t>Felizeter,S., M.S. McLachlan, and P. De Voogt (2012). Uptake of Perfluorinated Alkyl Acids by Hydroponically Grown Lettuce (Lactuca sativa). Environ. Sci. Technol., 46, (21), 11735-11743. doi:10.1021/es302398u. ECOREF#:163386</t>
        </is>
      </c>
      <c r="H15" s="14" t="n">
        <f>HYPERLINK("https://scholar.google.com/scholar?hl=en&amp;as_q=&amp;as_oq=&amp;as_eq=&amp;as_sauthors=&amp;as_publication=&amp;as_ylo=&amp;as_yhi=&amp;as_occt=title&amp;as_sdt=0%2C5&amp;as_epq=%22Uptake+of+Perfluorinated+Alkyl+Acids+by+Hydroponically+Grown+Lettuce+%28Lactuca+sativa%29", "Google Scholar")</f>
        <v>0.0</v>
      </c>
    </row>
    <row r="16">
      <c r="A16" t="n">
        <v>176914.0</v>
      </c>
      <c r="B16" t="inlineStr">
        <is>
          <t>Felizeter,S., M.S. McLachlan, and P. De Voogt</t>
        </is>
      </c>
      <c r="C16" t="inlineStr">
        <is>
          <t>Root Uptake and Translocation of Perfluorinated Alkyl Acids by Three Hydroponically Grown Crops</t>
        </is>
      </c>
      <c r="D16" t="inlineStr">
        <is>
          <t>J. Agric. Food Chem.62(15): 3334-3342</t>
        </is>
      </c>
      <c r="E16" t="n">
        <v>2014.0</v>
      </c>
      <c r="F16"/>
      <c r="G16" t="inlineStr">
        <is>
          <t>Felizeter,S., M.S. McLachlan, and P. De Voogt (2014). Root Uptake and Translocation of Perfluorinated Alkyl Acids by Three Hydroponically Grown Crops. J. Agric. Food Chem., 62, (15), 3334-3342. doi:10.1021/jf500674j. ECOREF#:176914</t>
        </is>
      </c>
      <c r="H16" s="15" t="n">
        <f>HYPERLINK("https://scholar.google.com/scholar?hl=en&amp;as_q=&amp;as_oq=&amp;as_eq=&amp;as_sauthors=&amp;as_publication=&amp;as_ylo=&amp;as_yhi=&amp;as_occt=title&amp;as_sdt=0%2C5&amp;as_epq=%22Root+Uptake+and+Translocation+of+Perfluorinated+Alkyl+Acids+by+Three+Hydroponically+Grown+Crops", "Google Scholar")</f>
        <v>0.0</v>
      </c>
    </row>
    <row r="17">
      <c r="A17" t="n">
        <v>185604.0</v>
      </c>
      <c r="B17" t="inlineStr">
        <is>
          <t>Flynn,R.W.</t>
        </is>
      </c>
      <c r="C17" t="inlineStr">
        <is>
          <t>Dietary Exposure and Accumulation of Per- and Polyfluoroalkyl Substances Alters Growth and Reduces Body Condition of Post-Metamorphic Salamanders</t>
        </is>
      </c>
      <c r="D17" t="inlineStr">
        <is>
          <t>Sci. Total Environ.765:10 p.</t>
        </is>
      </c>
      <c r="E17" t="n">
        <v>2021.0</v>
      </c>
      <c r="F17"/>
      <c r="G17" t="inlineStr">
        <is>
          <t>Flynn,R.W. (2021). Dietary Exposure and Accumulation of Per- and Polyfluoroalkyl Substances Alters Growth and Reduces Body Condition of Post-Metamorphic Salamanders. Sci. Total Environ., 765, 10 p. doi:10.1016/j.scitotenv.2020.142730. ECOREF#:185604</t>
        </is>
      </c>
      <c r="H17" s="16" t="n">
        <f>HYPERLINK("https://scholar.google.com/scholar?hl=en&amp;as_q=&amp;as_oq=&amp;as_eq=&amp;as_sauthors=&amp;as_publication=&amp;as_ylo=&amp;as_yhi=&amp;as_occt=title&amp;as_sdt=0%2C5&amp;as_epq=%22Dietary+Exposure+and+Accumulation+of+Per-+and+Polyfluoroalkyl+Substances+Alters+Growth+and+Reduces+Body+Conditio", "Google Scholar")</f>
        <v>0.0</v>
      </c>
    </row>
    <row r="18">
      <c r="A18" t="n">
        <v>181794.0</v>
      </c>
      <c r="B18" t="inlineStr">
        <is>
          <t>Gallagher,S.P., R.L. Van Hoven, and J.B. Beavers</t>
        </is>
      </c>
      <c r="C18" t="inlineStr">
        <is>
          <t>PFOS: A Pilot Reproductive Study with Mallards</t>
        </is>
      </c>
      <c r="D18" t="inlineStr">
        <is>
          <t>Project 454-105, Wildlife International Ltd.:123 p.</t>
        </is>
      </c>
      <c r="E18" t="n">
        <v>2004.0</v>
      </c>
      <c r="F18"/>
      <c r="G18" t="inlineStr">
        <is>
          <t>Gallagher,S.P., R.L. Van Hoven, and J.B. Beavers (2004). PFOS: A Pilot Reproductive Study with Mallards. Project 454-105, Wildlife International Ltd., 123 p. ECOREF#:181794</t>
        </is>
      </c>
      <c r="H18" s="17" t="n">
        <f>HYPERLINK("https://scholar.google.com/scholar?hl=en&amp;as_q=&amp;as_oq=&amp;as_eq=&amp;as_sauthors=&amp;as_publication=&amp;as_ylo=&amp;as_yhi=&amp;as_occt=title&amp;as_sdt=0%2C5&amp;as_epq=%22PFOS%3A+A+Pilot+Reproductive+Study+with+Mallards", "Google Scholar")</f>
        <v>0.0</v>
      </c>
    </row>
    <row r="19">
      <c r="A19" t="n">
        <v>182538.0</v>
      </c>
      <c r="B19" t="inlineStr">
        <is>
          <t>Guo,Q., Z. He, X. Liu, B. Liu, and Y. Zhang</t>
        </is>
      </c>
      <c r="C19" t="inlineStr">
        <is>
          <t>High-Throughput Non-Targeted Metabolomics Study of the Effects of Perfluorooctane Sulfonate (PFOS) on the Metabolic Characteristics of A. thaliana Leaves</t>
        </is>
      </c>
      <c r="D19" t="inlineStr">
        <is>
          <t>J. Agric. Food Chem.710:10 p.</t>
        </is>
      </c>
      <c r="E19" t="n">
        <v>2020.0</v>
      </c>
      <c r="F19"/>
      <c r="G19" t="inlineStr">
        <is>
          <t>Guo,Q., Z. He, X. Liu, B. Liu, and Y. Zhang (2020). High-Throughput Non-Targeted Metabolomics Study of the Effects of Perfluorooctane Sulfonate (PFOS) on the Metabolic Characteristics of A. thaliana Leaves. J. Agric. Food Chem., 710, 10 p. ECOREF#:182538</t>
        </is>
      </c>
      <c r="H19" s="18" t="n">
        <f>HYPERLINK("https://scholar.google.com/scholar?hl=en&amp;as_q=&amp;as_oq=&amp;as_eq=&amp;as_sauthors=&amp;as_publication=&amp;as_ylo=&amp;as_yhi=&amp;as_occt=title&amp;as_sdt=0%2C5&amp;as_epq=%22High-Throughput+Non-Targeted+Metabolomics+Study+of+the+Effects+of+Perfluorooctane+Sulfonate+%28PFOS%29+on+the+Me", "Google Scholar")</f>
        <v>0.0</v>
      </c>
    </row>
    <row r="20">
      <c r="A20" t="n">
        <v>191359.0</v>
      </c>
      <c r="B20" t="inlineStr">
        <is>
          <t>Han,Z., B.F. Oyeyemi, J.E. Zenobio, O.A. Salawu, and A.S. Adeleye</t>
        </is>
      </c>
      <c r="C20" t="inlineStr">
        <is>
          <t>Perfluorooctanoic Acid Dominates the Molecular-Level Effects of a Mixture of Equal Masses of Perfluorooctanoic Acid and Perfluorooctane Sulfonic Acid in Earthworm</t>
        </is>
      </c>
      <c r="D20" t="inlineStr">
        <is>
          <t>J. Hazard. Mater.457:11 p.</t>
        </is>
      </c>
      <c r="E20" t="n">
        <v>2023.0</v>
      </c>
      <c r="F20"/>
      <c r="G20" t="inlineStr">
        <is>
          <t>Han,Z., B.F. Oyeyemi, J.E. Zenobio, O.A. Salawu, and A.S. Adeleye (2023). Perfluorooctanoic Acid Dominates the Molecular-Level Effects of a Mixture of Equal Masses of Perfluorooctanoic Acid and Perfluorooctane Sulfonic Acid in Earthworm. J. Hazard. Mater., 457, 11 p. doi:10.1016/j.jhazmat.2023.131718. ECOREF#:191359</t>
        </is>
      </c>
      <c r="H20" s="19" t="n">
        <f>HYPERLINK("https://scholar.google.com/scholar?hl=en&amp;as_q=&amp;as_oq=&amp;as_eq=&amp;as_sauthors=&amp;as_publication=&amp;as_ylo=&amp;as_yhi=&amp;as_occt=title&amp;as_sdt=0%2C5&amp;as_epq=%22Perfluorooctanoic+Acid+Dominates+the+Molecular-Level+Effects+of+a+Mixture+of+Equal+Masses+of+Perfluorooctanoic+A", "Google Scholar")</f>
        <v>0.0</v>
      </c>
    </row>
    <row r="21">
      <c r="A21" t="n">
        <v>178466.0</v>
      </c>
      <c r="B21" t="inlineStr">
        <is>
          <t>Hu,W., P.D. Jones, B.L. Upham, J.E. Trosko, C. Lau, and J.P. Giesy</t>
        </is>
      </c>
      <c r="C21" t="inlineStr">
        <is>
          <t>Inhibition of Gap Junctional Intercellular Communication by Perfluorinated Compounds in Rat Liver and Dolphin Kidney Epithelial Cell Lines In Vitro and Sprague-Dawley Rats In Vivo</t>
        </is>
      </c>
      <c r="D21" t="inlineStr">
        <is>
          <t>Toxicol. Sci.68(2): 429-436</t>
        </is>
      </c>
      <c r="E21" t="n">
        <v>2002.0</v>
      </c>
      <c r="F21"/>
      <c r="G21" t="inlineStr">
        <is>
          <t>Hu,W., P.D. Jones, B.L. Upham, J.E. Trosko, C. Lau, and J.P. Giesy (2002). Inhibition of Gap Junctional Intercellular Communication by Perfluorinated Compounds in Rat Liver and Dolphin Kidney Epithelial Cell Lines In Vitro and Sprague-Dawley Rats In Vivo. Toxicol. Sci., 68, (2), 429-436. doi:10.1093/toxsci/68.2.429. ECOREF#:178466</t>
        </is>
      </c>
      <c r="H21" s="20" t="n">
        <f>HYPERLINK("https://scholar.google.com/scholar?hl=en&amp;as_q=&amp;as_oq=&amp;as_eq=&amp;as_sauthors=&amp;as_publication=&amp;as_ylo=&amp;as_yhi=&amp;as_occt=title&amp;as_sdt=0%2C5&amp;as_epq=%22Inhibition+of+Gap+Junctional+Intercellular+Communication+by+Perfluorinated+Compounds+in+Rat+Liver+and+Dolphin+Ki", "Google Scholar")</f>
        <v>0.0</v>
      </c>
    </row>
    <row r="22">
      <c r="A22" t="n">
        <v>191363.0</v>
      </c>
      <c r="B22" t="inlineStr">
        <is>
          <t>Jiang,T., W. Zhang, and Y. Liang</t>
        </is>
      </c>
      <c r="C22" t="inlineStr">
        <is>
          <t>Uptake of Individual and Mixed Per- and Polyfluoroalkyl Substances (PFAS) by Soybean and Their Effects on Functional Genes Related to Nitrification, Denitrification, and Nitrogen Fixation</t>
        </is>
      </c>
      <c r="D22" t="inlineStr">
        <is>
          <t>Sci. Total Environ.838:10 p.</t>
        </is>
      </c>
      <c r="E22" t="n">
        <v>2022.0</v>
      </c>
      <c r="F22"/>
      <c r="G22" t="inlineStr">
        <is>
          <t>Jiang,T., W. Zhang, and Y. Liang (2022). Uptake of Individual and Mixed Per- and Polyfluoroalkyl Substances (PFAS) by Soybean and Their Effects on Functional Genes Related to Nitrification, Denitrification, and Nitrogen Fixation. Sci. Total Environ., 838, 10 p. ECOREF#:191363</t>
        </is>
      </c>
      <c r="H22" s="21" t="n">
        <f>HYPERLINK("https://scholar.google.com/scholar?hl=en&amp;as_q=&amp;as_oq=&amp;as_eq=&amp;as_sauthors=&amp;as_publication=&amp;as_ylo=&amp;as_yhi=&amp;as_occt=title&amp;as_sdt=0%2C5&amp;as_epq=%22Uptake+of+Individual+and+Mixed+Per-+and+Polyfluoroalkyl+Substances+%28PFAS%29+by+Soybean+and+Their+Effects+on+Fu", "Google Scholar")</f>
        <v>0.0</v>
      </c>
    </row>
    <row r="23">
      <c r="A23" t="n">
        <v>184257.0</v>
      </c>
      <c r="B23" t="inlineStr">
        <is>
          <t>Jin,B., S. Mallula, S.A. Golovko, M.Y. Golovko, and F. Xiao</t>
        </is>
      </c>
      <c r="C23" t="inlineStr">
        <is>
          <t>In Vivo Generation of PFOA, PFOS, and Other Compounds from Cationic and Zwitterionic Per- and Polyfluoroalkyl Substances in a Terrestrial Invertebrate (Lumbricus terrestris)</t>
        </is>
      </c>
      <c r="D23" t="inlineStr">
        <is>
          <t>Environ. Sci. Technol.12:7378-7378</t>
        </is>
      </c>
      <c r="E23" t="n">
        <v>2020.0</v>
      </c>
      <c r="F23"/>
      <c r="G23"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c r="H23" s="22" t="n">
        <f>HYPERLINK("https://scholar.google.com/scholar?hl=en&amp;as_q=&amp;as_oq=&amp;as_eq=&amp;as_sauthors=&amp;as_publication=&amp;as_ylo=&amp;as_yhi=&amp;as_occt=title&amp;as_sdt=0%2C5&amp;as_epq=%22In+Vivo+Generation+of+PFOA%2C+PFOS%2C+and+Other+Compounds+from+Cationic+and+Zwitterionic+Per-+and+Polyfluoroalky", "Google Scholar")</f>
        <v>0.0</v>
      </c>
    </row>
    <row r="24">
      <c r="A24" t="n">
        <v>195148.0</v>
      </c>
      <c r="B24" t="inlineStr">
        <is>
          <t>Kikanme,K.N., A. Karnjanapiboonwong, R. Angappan, N.M. Dennis, F. Hossain, J.G. Suski, C.J. Salice, and T.A. Anderson</t>
        </is>
      </c>
      <c r="C24" t="inlineStr">
        <is>
          <t>Chorioallantoic Membrane of Northern Bobwhite (Colinus virginianus) as a Nonlethal Method for Evaluating Forever Chemical Exposure to Avian Offspring</t>
        </is>
      </c>
      <c r="D24" t="inlineStr">
        <is>
          <t>Environ. Toxicol. Chem.44(10): 2911-2917</t>
        </is>
      </c>
      <c r="E24" t="n">
        <v>2025.0</v>
      </c>
      <c r="F24"/>
      <c r="G24" t="inlineStr">
        <is>
          <t>Kikanme,K.N., A. Karnjanapiboonwong, R. Angappan, N.M. Dennis, F. Hossain, J.G. Suski, C.J. Salice, and T.A. Anderson (2025). Chorioallantoic Membrane of Northern Bobwhite (Colinus virginianus) as a Nonlethal Method for Evaluating Forever Chemical Exposure to Avian Offspring. Environ. Toxicol. Chem., 44, (10), 2911-2917. doi:10.1093/etojnl/vgaf152. ECOREF#:195148</t>
        </is>
      </c>
      <c r="H24" s="23" t="n">
        <f>HYPERLINK("https://scholar.google.com/scholar?hl=en&amp;as_q=&amp;as_oq=&amp;as_eq=&amp;as_sauthors=&amp;as_publication=&amp;as_ylo=&amp;as_yhi=&amp;as_occt=title&amp;as_sdt=0%2C5&amp;as_epq=%22Chorioallantoic+Membrane+of+Northern+Bobwhite+%28Colinus+virginianus%29+as+a+Nonlethal+Method+for+Evaluating+For", "Google Scholar")</f>
        <v>0.0</v>
      </c>
    </row>
    <row r="25">
      <c r="A25" t="n">
        <v>182545.0</v>
      </c>
      <c r="B25" t="inlineStr">
        <is>
          <t>Kim,H.M., N.P. Long, S.J. Yoon, N.H. Anh, S.J. Kim, J.H. Park, and S.W. Kwon</t>
        </is>
      </c>
      <c r="C25" t="inlineStr">
        <is>
          <t>Omics Approach Reveals Perturbation of Metabolism and Phenotype in Caenorhabditis elegans Triggered by Perfluorinated Compounds</t>
        </is>
      </c>
      <c r="D25" t="inlineStr">
        <is>
          <t>Sci. Total Environ.703:9 p.</t>
        </is>
      </c>
      <c r="E25" t="n">
        <v>2020.0</v>
      </c>
      <c r="F25"/>
      <c r="G25" t="inlineStr">
        <is>
          <t>Kim,H.M., N.P. Long, S.J. Yoon, N.H. Anh, S.J. Kim, J.H. Park, and S.W. Kwon (2020). Omics Approach Reveals Perturbation of Metabolism and Phenotype in Caenorhabditis elegans Triggered by Perfluorinated Compounds. Sci. Total Environ., 703, 9 p. doi:10.1016/j.scitotenv.2019.135500. ECOREF#:182545</t>
        </is>
      </c>
      <c r="H25" s="24" t="n">
        <f>HYPERLINK("https://scholar.google.com/scholar?hl=en&amp;as_q=&amp;as_oq=&amp;as_eq=&amp;as_sauthors=&amp;as_publication=&amp;as_ylo=&amp;as_yhi=&amp;as_occt=title&amp;as_sdt=0%2C5&amp;as_epq=%22Omics+Approach+Reveals+Perturbation+of+Metabolism+and+Phenotype+in+Caenorhabditis+elegans+Triggered+by+Perfluori", "Google Scholar")</f>
        <v>0.0</v>
      </c>
    </row>
    <row r="26">
      <c r="A26" t="n">
        <v>185958.0</v>
      </c>
      <c r="B26" t="inlineStr">
        <is>
          <t>Kim,J.H., B. Barbagallo, K. Annunziato, R. Farias-Pereira, J.J. Doherty, J. Lee, J. Zina, C. Tindal, C. Mcvey, R. Aresc</t>
        </is>
      </c>
      <c r="C26" t="inlineStr">
        <is>
          <t>Maternal Preconception PFOS Exposure of Drosophila melanogaster Alters Reproductive Capacity, Development, Morphology and Nutrient Regulation</t>
        </is>
      </c>
      <c r="D26" t="inlineStr">
        <is>
          <t>Food Chem. Toxicol.151:12 p.</t>
        </is>
      </c>
      <c r="E26" t="n">
        <v>2021.0</v>
      </c>
      <c r="F26"/>
      <c r="G26" t="inlineStr">
        <is>
          <t>Kim,J.H., B. Barbagallo, K. Annunziato, R. Farias-Pereira, J.J. Doherty, J. Lee, J. Zina, C. Tindal, C. Mcvey, R. Aresc (2021). Maternal Preconception PFOS Exposure of Drosophila melanogaster Alters Reproductive Capacity, Development, Morphology and Nutrient Regulation. Food Chem. Toxicol., 151, 12 p. doi:10.1016/j.fct.2021.112153. ECOREF#:185958</t>
        </is>
      </c>
      <c r="H26" s="25" t="n">
        <f>HYPERLINK("https://scholar.google.com/scholar?hl=en&amp;as_q=&amp;as_oq=&amp;as_eq=&amp;as_sauthors=&amp;as_publication=&amp;as_ylo=&amp;as_yhi=&amp;as_occt=title&amp;as_sdt=0%2C5&amp;as_epq=%22Maternal+Preconception+PFOS+Exposure+of+Drosophila+melanogaster+Alters+Reproductive+Capacity%2C+Development%2C+M", "Google Scholar")</f>
        <v>0.0</v>
      </c>
    </row>
    <row r="27">
      <c r="A27" t="n">
        <v>184552.0</v>
      </c>
      <c r="B27" t="inlineStr">
        <is>
          <t>Lal,M.S., M. Megharaj, R. Naidu, and M.M. Bahar</t>
        </is>
      </c>
      <c r="C27" t="inlineStr">
        <is>
          <t>Uptake of Perfluorooctane Sulfonate (PFOS) by Common Home-Grown Vegetable Plants and Potential Risks to Human Health</t>
        </is>
      </c>
      <c r="D27" t="inlineStr">
        <is>
          <t>Environ. Technol. Innov.19:7 p.</t>
        </is>
      </c>
      <c r="E27" t="n">
        <v>2020.0</v>
      </c>
      <c r="F27"/>
      <c r="G27" t="inlineStr">
        <is>
          <t>Lal,M.S., M. Megharaj, R. Naidu, and M.M. Bahar (2020). Uptake of Perfluorooctane Sulfonate (PFOS) by Common Home-Grown Vegetable Plants and Potential Risks to Human Health. Environ. Technol. Innov., 19, 7 p. doi:10.1016/j.eti.2020.100863. ECOREF#:184552</t>
        </is>
      </c>
      <c r="H27" s="26" t="n">
        <f>HYPERLINK("https://scholar.google.com/scholar?hl=en&amp;as_q=&amp;as_oq=&amp;as_eq=&amp;as_sauthors=&amp;as_publication=&amp;as_ylo=&amp;as_yhi=&amp;as_occt=title&amp;as_sdt=0%2C5&amp;as_epq=%22Uptake+of+Perfluorooctane+Sulfonate+%28PFOS%29+by+Common+Home-Grown+Vegetable+Plants+and+Potential+Risks+to+Huma", "Google Scholar")</f>
        <v>0.0</v>
      </c>
    </row>
    <row r="28">
      <c r="A28" t="n">
        <v>185956.0</v>
      </c>
      <c r="B28" t="inlineStr">
        <is>
          <t>Lee,D.Y., G.H. Choi, D. Megson, K.Y. Oh, I.W. Choi, D.C. Seo, and J.H. Kim</t>
        </is>
      </c>
      <c r="C28" t="inlineStr">
        <is>
          <t>Effect of Soil Organic Matter on the Plant Uptake of Perfluorooctanoic Acid (PFOA) and Perfluorooctanesulphonic Acid (PFOS) in Lettuce on Granular Activated Carbon-Applied Soil</t>
        </is>
      </c>
      <c r="D28" t="inlineStr">
        <is>
          <t>Environ. Geochem. Health43:2193-2202</t>
        </is>
      </c>
      <c r="E28" t="n">
        <v>2021.0</v>
      </c>
      <c r="F28"/>
      <c r="G28"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c r="H28" s="27" t="n">
        <f>HYPERLINK("https://scholar.google.com/scholar?hl=en&amp;as_q=&amp;as_oq=&amp;as_eq=&amp;as_sauthors=&amp;as_publication=&amp;as_ylo=&amp;as_yhi=&amp;as_occt=title&amp;as_sdt=0%2C5&amp;as_epq=%22Effect+of+Soil+Organic+Matter+on+the+Plant+Uptake+of+Perfluorooctanoic+Acid+%28PFOA%29+and+Perfluorooctanesulpho", "Google Scholar")</f>
        <v>0.0</v>
      </c>
    </row>
    <row r="29">
      <c r="A29" t="n">
        <v>186105.0</v>
      </c>
      <c r="B29" t="inlineStr">
        <is>
          <t>Li,P., J. Sun, X. Xie, Z. Li, B. Huang, G. Zhang, J. Li, and Z. Xiao</t>
        </is>
      </c>
      <c r="C29" t="inlineStr">
        <is>
          <t>Stress Response and Tolerance to Perfluorooctane Sulfonate (PFOS) in Lettuce (Lactuca sativa)</t>
        </is>
      </c>
      <c r="D29" t="inlineStr">
        <is>
          <t>J. Hazard. Mater.404:12 p.</t>
        </is>
      </c>
      <c r="E29" t="n">
        <v>2021.0</v>
      </c>
      <c r="F29"/>
      <c r="G29" t="inlineStr">
        <is>
          <t>Li,P., J. Sun, X. Xie, Z. Li, B. Huang, G. Zhang, J. Li, and Z. Xiao (2021). Stress Response and Tolerance to Perfluorooctane Sulfonate (PFOS) in Lettuce (Lactuca sativa). J. Hazard. Mater., 404, 12 p. doi:10.1016/j.hazmat.2020.124213. ECOREF#:186105</t>
        </is>
      </c>
      <c r="H29" s="28" t="n">
        <f>HYPERLINK("https://scholar.google.com/scholar?hl=en&amp;as_q=&amp;as_oq=&amp;as_eq=&amp;as_sauthors=&amp;as_publication=&amp;as_ylo=&amp;as_yhi=&amp;as_occt=title&amp;as_sdt=0%2C5&amp;as_epq=%22Stress+Response+and+Tolerance+to+Perfluorooctane+Sulfonate+%28PFOS%29+in+Lettuce+%28Lactuca+sativa%29", "Google Scholar")</f>
        <v>0.0</v>
      </c>
    </row>
    <row r="30">
      <c r="A30" t="n">
        <v>181725.0</v>
      </c>
      <c r="B30" t="inlineStr">
        <is>
          <t>Li,P., X. Oyang, X. Xie, Z. Li, H. Yang, J. Xi, Y. Guo, X. Tian, B. Liu, J. Li, and Z. Xiao</t>
        </is>
      </c>
      <c r="C30" t="inlineStr">
        <is>
          <t>Phytotoxicity Induced by Perfluorooctanoic Acid and Perfluorooctane Sulfonate Via Metabolomics</t>
        </is>
      </c>
      <c r="D30" t="inlineStr">
        <is>
          <t>J. Hazard. Mater.:9 p.</t>
        </is>
      </c>
      <c r="E30" t="n">
        <v>2020.0</v>
      </c>
      <c r="F30"/>
      <c r="G30" t="inlineStr">
        <is>
          <t>Li,P., X. Oyang, X. Xie, Z. Li, H. Yang, J. Xi, Y. Guo, X. Tian, B. Liu, J. Li, and Z. Xiao (2020). Phytotoxicity Induced by Perfluorooctanoic Acid and Perfluorooctane Sulfonate Via Metabolomics. J. Hazard. Mater., 9 p. ECOREF#:181725</t>
        </is>
      </c>
      <c r="H30" s="29" t="n">
        <f>HYPERLINK("https://scholar.google.com/scholar?hl=en&amp;as_q=&amp;as_oq=&amp;as_eq=&amp;as_sauthors=&amp;as_publication=&amp;as_ylo=&amp;as_yhi=&amp;as_occt=title&amp;as_sdt=0%2C5&amp;as_epq=%22Phytotoxicity+Induced+by+Perfluorooctanoic+Acid+and+Perfluorooctane+Sulfonate+Via+Metabolomics", "Google Scholar")</f>
        <v>0.0</v>
      </c>
    </row>
    <row r="31">
      <c r="A31" t="n">
        <v>195042.0</v>
      </c>
      <c r="B31" t="inlineStr">
        <is>
          <t>Li,S., L. Wang, J. Li, Y. Gao, S. Wen, J. Yao, L. Zhu, J. Wang, E. Guan, and Y.M. Kim</t>
        </is>
      </c>
      <c r="C31" t="inlineStr">
        <is>
          <t>Migration Characteristics and Toxic Effects of Perfluorooctane Sulfonate and Perfluorobutane Sulfonate in Tobacco</t>
        </is>
      </c>
      <c r="D31" t="inlineStr">
        <is>
          <t>Sci. Total Environ.961:14 p.</t>
        </is>
      </c>
      <c r="E31" t="n">
        <v>2025.0</v>
      </c>
      <c r="F31"/>
      <c r="G31" t="inlineStr">
        <is>
          <t>Li,S., L. Wang, J. Li, Y. Gao, S. Wen, J. Yao, L. Zhu, J. Wang, E. Guan, and Y.M. Kim (2025). Migration Characteristics and Toxic Effects of Perfluorooctane Sulfonate and Perfluorobutane Sulfonate in Tobacco. Sci. Total Environ., 961, 14 p. ECOREF#:195042</t>
        </is>
      </c>
      <c r="H31" s="30" t="n">
        <f>HYPERLINK("https://scholar.google.com/scholar?hl=en&amp;as_q=&amp;as_oq=&amp;as_eq=&amp;as_sauthors=&amp;as_publication=&amp;as_ylo=&amp;as_yhi=&amp;as_occt=title&amp;as_sdt=0%2C5&amp;as_epq=%22Migration+Characteristics+and+Toxic+Effects+of+Perfluorooctane+Sulfonate+and+Perfluorobutane+Sulfonate+in+Tobacc", "Google Scholar")</f>
        <v>0.0</v>
      </c>
    </row>
    <row r="32">
      <c r="A32" t="n">
        <v>184063.0</v>
      </c>
      <c r="B32" t="inlineStr">
        <is>
          <t>Lin,Q.Q., C. Zhou, L. Chen, Y.F. Li, X.F. Huang, S.Z. Wang, R.L. Qiu, and C.Y. Tang</t>
        </is>
      </c>
      <c r="C32" t="inlineStr">
        <is>
          <t>Accumulation and Associated Phytotoxicity of Novel Chlorinated Polyfluorinated Ether Sulfonate in Wheat Seedlings</t>
        </is>
      </c>
      <c r="D32" t="inlineStr">
        <is>
          <t>Chemosphere249:11 p.</t>
        </is>
      </c>
      <c r="E32" t="n">
        <v>2020.0</v>
      </c>
      <c r="F32"/>
      <c r="G32" t="inlineStr">
        <is>
          <t>Lin,Q.Q., C. Zhou, L. Chen, Y.F. Li, X.F. Huang, S.Z. Wang, R.L. Qiu, and C.Y. Tang (2020). Accumulation and Associated Phytotoxicity of Novel Chlorinated Polyfluorinated Ether Sulfonate in Wheat Seedlings. Chemosphere, 249, 11 p. ECOREF#:184063</t>
        </is>
      </c>
      <c r="H32" s="31" t="n">
        <f>HYPERLINK("https://scholar.google.com/scholar?hl=en&amp;as_q=&amp;as_oq=&amp;as_eq=&amp;as_sauthors=&amp;as_publication=&amp;as_ylo=&amp;as_yhi=&amp;as_occt=title&amp;as_sdt=0%2C5&amp;as_epq=%22Accumulation+and+Associated+Phytotoxicity+of+Novel+Chlorinated+Polyfluorinated+Ether+Sulfonate+in+Wheat+Seedling", "Google Scholar")</f>
        <v>0.0</v>
      </c>
    </row>
    <row r="33">
      <c r="A33" t="n">
        <v>191330.0</v>
      </c>
      <c r="B33" t="inlineStr">
        <is>
          <t>Liu,S., J. Zhou, J. Guo, M. Xue, L. Shen, S. Bai, X. Liang, T. Wang, and L. Zhu</t>
        </is>
      </c>
      <c r="C33" t="inlineStr">
        <is>
          <t>Impact Mechanisms of Humic Acid on the Transmembrane Transport of Per- and Polyfluoroalkyl Substances in Wheat at the Subcellular Level: The Important Role of Slow-Type Anion Channels</t>
        </is>
      </c>
      <c r="D33" t="inlineStr">
        <is>
          <t>Environ. Sci. Technol.57(23): 11 p.</t>
        </is>
      </c>
      <c r="E33" t="n">
        <v>2023.0</v>
      </c>
      <c r="F33"/>
      <c r="G33"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c r="H33" s="32" t="n">
        <f>HYPERLINK("https://scholar.google.com/scholar?hl=en&amp;as_q=&amp;as_oq=&amp;as_eq=&amp;as_sauthors=&amp;as_publication=&amp;as_ylo=&amp;as_yhi=&amp;as_occt=title&amp;as_sdt=0%2C5&amp;as_epq=%22Impact+Mechanisms+of+Humic+Acid+on+the+Transmembrane+Transport+of+Per-+and+Polyfluoroalkyl+Substances+in+Wheat+a", "Google Scholar")</f>
        <v>0.0</v>
      </c>
    </row>
    <row r="34">
      <c r="A34" t="n">
        <v>189037.0</v>
      </c>
      <c r="B34" t="inlineStr">
        <is>
          <t>Liu,S., J. Zhou, J. Guo, Z. Gao, Y. Jia, S. Li, T. Wang, and L. Zhu</t>
        </is>
      </c>
      <c r="C34" t="inlineStr">
        <is>
          <t>Insights into the Impacts of Dissolved Organic Matter of Different Origins on Bioaccumulation and Translocation of Per- and Polyfluoroalkyl Substances (PFASs) in Wheat</t>
        </is>
      </c>
      <c r="D34" t="inlineStr">
        <is>
          <t>Environ. Pollut.293:9 p.</t>
        </is>
      </c>
      <c r="E34" t="n">
        <v>2022.0</v>
      </c>
      <c r="F34"/>
      <c r="G34"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c r="H34" s="33" t="n">
        <f>HYPERLINK("https://scholar.google.com/scholar?hl=en&amp;as_q=&amp;as_oq=&amp;as_eq=&amp;as_sauthors=&amp;as_publication=&amp;as_ylo=&amp;as_yhi=&amp;as_occt=title&amp;as_sdt=0%2C5&amp;as_epq=%22Insights+into+the+Impacts+of+Dissolved+Organic+Matter+of+Different+Origins+on+Bioaccumulation+and+Translocation+", "Google Scholar")</f>
        <v>0.0</v>
      </c>
    </row>
    <row r="35">
      <c r="A35" t="n">
        <v>191342.0</v>
      </c>
      <c r="B35" t="inlineStr">
        <is>
          <t>Liu,Y., T. Jin, L. Wang, and J. Tang</t>
        </is>
      </c>
      <c r="C35" t="inlineStr">
        <is>
          <t>Polystyrene Micro and Nanoplastics Attenuated the Bioavailability and Toxic Effects of Perfluorooctane Sulfonate (PFOS) on Soybean (Glycine max) Sprouts</t>
        </is>
      </c>
      <c r="D35" t="inlineStr">
        <is>
          <t>J. Hazard. Mater.448:13 p.</t>
        </is>
      </c>
      <c r="E35" t="n">
        <v>2023.0</v>
      </c>
      <c r="F35"/>
      <c r="G35" t="inlineStr">
        <is>
          <t>Liu,Y., T. Jin, L. Wang, and J. Tang (2023). Polystyrene Micro and Nanoplastics Attenuated the Bioavailability and Toxic Effects of Perfluorooctane Sulfonate (PFOS) on Soybean (Glycine max) Sprouts. J. Hazard. Mater., 448, 13 p. doi:10.1016/j.jhazmat.2023.130911. ECOREF#:191342</t>
        </is>
      </c>
      <c r="H35" s="34" t="n">
        <f>HYPERLINK("https://scholar.google.com/scholar?hl=en&amp;as_q=&amp;as_oq=&amp;as_eq=&amp;as_sauthors=&amp;as_publication=&amp;as_ylo=&amp;as_yhi=&amp;as_occt=title&amp;as_sdt=0%2C5&amp;as_epq=%22Polystyrene+Micro+and+Nanoplastics+Attenuated+the+Bioavailability+and+Toxic+Effects+of+Perfluorooctane+Sulfonate", "Google Scholar")</f>
        <v>0.0</v>
      </c>
    </row>
    <row r="36">
      <c r="A36" t="n">
        <v>104399.0</v>
      </c>
      <c r="B36" t="inlineStr">
        <is>
          <t>Martin,M.T., R.J. Brennan, W. Hu, E. Ayanoglu, C. Lau, H. Ren, C.R. Wood, J.C. Corton, R.J. Kavlock, and D.J. Dix</t>
        </is>
      </c>
      <c r="C36" t="inlineStr">
        <is>
          <t>Toxicogenomic Study of Triazole Fungicides and Perfluoroalkyl Acids in Rat Livers Predicts Toxicity and Categorizes Chemicals Based on Mechanisms of Toxicity</t>
        </is>
      </c>
      <c r="D36" t="inlineStr">
        <is>
          <t>Toxicol. Sci.97(2): 595-613</t>
        </is>
      </c>
      <c r="E36" t="n">
        <v>2007.0</v>
      </c>
      <c r="F36"/>
      <c r="G36" t="inlineStr">
        <is>
          <t>Martin,M.T., R.J. Brennan, W. Hu, E. Ayanoglu, C. Lau, H. Ren, C.R. Wood, J.C. Corton, R.J. Kavlock, and D.J. Dix (2007). Toxicogenomic Study of Triazole Fungicides and Perfluoroalkyl Acids in Rat Livers Predicts Toxicity and Categorizes Chemicals Based on Mechanisms of Toxicity. Toxicol. Sci., 97, (2), 595-613. doi:10.1093/toxsci/kfm065. ECOREF#:104399</t>
        </is>
      </c>
      <c r="H36" s="35" t="n">
        <f>HYPERLINK("https://scholar.google.com/scholar?hl=en&amp;as_q=&amp;as_oq=&amp;as_eq=&amp;as_sauthors=&amp;as_publication=&amp;as_ylo=&amp;as_yhi=&amp;as_occt=title&amp;as_sdt=0%2C5&amp;as_epq=%22Toxicogenomic+Study+of+Triazole+Fungicides+and+Perfluoroalkyl+Acids+in+Rat+Livers+Predicts+Toxicity+and+Categori", "Google Scholar")</f>
        <v>0.0</v>
      </c>
    </row>
    <row r="37">
      <c r="A37" t="n">
        <v>87753.0</v>
      </c>
      <c r="B37" t="inlineStr">
        <is>
          <t>Molina,E.D., R. Balander, S.D. Fitzgerald, J.P. Giesy, K. Kannan, R. Mitchell, and S.J. Bursian</t>
        </is>
      </c>
      <c r="C37" t="inlineStr">
        <is>
          <t>Effects of Air Cell Injection of Perfluorooctane Sulfonate Before Incubation on Development of the White Leghorn Chicken (Gallus domesticus) Embryo</t>
        </is>
      </c>
      <c r="D37" t="inlineStr">
        <is>
          <t>Environ. Toxicol. Chem.25(1): 227-232</t>
        </is>
      </c>
      <c r="E37" t="n">
        <v>2006.0</v>
      </c>
      <c r="F37"/>
      <c r="G37" t="inlineStr">
        <is>
          <t>Molina,E.D., R. Balander, S.D. Fitzgerald, J.P. Giesy, K. Kannan, R. Mitchell, and S.J. Bursian (2006). Effects of Air Cell Injection of Perfluorooctane Sulfonate Before Incubation on Development of the White Leghorn Chicken (Gallus domesticus) Embryo. Environ. Toxicol. Chem., 25, (1), 227-232. doi:10.1897/04-414R.1. ECOREF#:87753</t>
        </is>
      </c>
      <c r="H37" s="36" t="n">
        <f>HYPERLINK("https://scholar.google.com/scholar?hl=en&amp;as_q=&amp;as_oq=&amp;as_eq=&amp;as_sauthors=&amp;as_publication=&amp;as_ylo=&amp;as_yhi=&amp;as_occt=title&amp;as_sdt=0%2C5&amp;as_epq=%22Effects+of+Air+Cell+Injection+of+Perfluorooctane+Sulfonate+Before+Incubation+on+Development+of+the+White+Leghorn", "Google Scholar")</f>
        <v>0.0</v>
      </c>
    </row>
    <row r="38">
      <c r="A38" t="n">
        <v>163148.0</v>
      </c>
      <c r="B38" t="inlineStr">
        <is>
          <t>Mommaerts,V., A. Hagenaars, J. Meyer, W. De Coen, L. Swevers, H. Mosallanejad, and G. Smagghe</t>
        </is>
      </c>
      <c r="C38" t="inlineStr">
        <is>
          <t>Impact of a Perfluorinated Organic Compound PFOS on the Terrestrial Pollinator Bombus terrestris (Insecta, Hymenoptera)</t>
        </is>
      </c>
      <c r="D38" t="inlineStr">
        <is>
          <t>Ecotoxicology20(2): 447-456</t>
        </is>
      </c>
      <c r="E38" t="n">
        <v>2011.0</v>
      </c>
      <c r="F38"/>
      <c r="G38" t="inlineStr">
        <is>
          <t>Mommaerts,V., A. Hagenaars, J. Meyer, W. De Coen, L. Swevers, H. Mosallanejad, and G. Smagghe (2011). Impact of a Perfluorinated Organic Compound PFOS on the Terrestrial Pollinator Bombus terrestris (Insecta, Hymenoptera). Ecotoxicology, 20, (2), 447-456. doi:10.1007/s10646-011-0596-2. ECOREF#:163148</t>
        </is>
      </c>
      <c r="H38" s="37" t="n">
        <f>HYPERLINK("https://scholar.google.com/scholar?hl=en&amp;as_q=&amp;as_oq=&amp;as_eq=&amp;as_sauthors=&amp;as_publication=&amp;as_ylo=&amp;as_yhi=&amp;as_occt=title&amp;as_sdt=0%2C5&amp;as_epq=%22Impact+of+a+Perfluorinated+Organic+Compound+PFOS+on+the+Terrestrial+Pollinator+Bombus+terrestris+%28Insecta%2C+H", "Google Scholar")</f>
        <v>0.0</v>
      </c>
    </row>
    <row r="39">
      <c r="A39" t="n">
        <v>187172.0</v>
      </c>
      <c r="B39" t="inlineStr">
        <is>
          <t>Narizzano,A.M., M.E. Bohannon, A.G. East, C. McDonough, S. Choyke, C.P. Higgins, and M.J.,Jr. Quinn</t>
        </is>
      </c>
      <c r="C39" t="inlineStr">
        <is>
          <t>Patterns in Serum Toxicokinetics in Peromyscus Exposed to PFAS</t>
        </is>
      </c>
      <c r="D39" t="inlineStr">
        <is>
          <t>Environ. Toxicol. Chem.40(10): 2886-2898</t>
        </is>
      </c>
      <c r="E39" t="n">
        <v>2021.0</v>
      </c>
      <c r="F39"/>
      <c r="G39" t="inlineStr">
        <is>
          <t>Narizzano,A.M., M.E. Bohannon, A.G. East, C. McDonough, S. Choyke, C.P. Higgins, and M.J.,Jr. Quinn (2021). Patterns in Serum Toxicokinetics in Peromyscus Exposed to PFAS. Environ. Toxicol. Chem., 40, (10), 2886-2898. doi:10.1002/etc.5151. ECOREF#:187172</t>
        </is>
      </c>
      <c r="H39" s="38" t="n">
        <f>HYPERLINK("https://scholar.google.com/scholar?hl=en&amp;as_q=&amp;as_oq=&amp;as_eq=&amp;as_sauthors=&amp;as_publication=&amp;as_ylo=&amp;as_yhi=&amp;as_occt=title&amp;as_sdt=0%2C5&amp;as_epq=%22Patterns+in+Serum+Toxicokinetics+in+Peromyscus+Exposed+to+PFAS", "Google Scholar")</f>
        <v>0.0</v>
      </c>
    </row>
    <row r="40">
      <c r="A40" t="n">
        <v>177188.0</v>
      </c>
      <c r="B40" t="inlineStr">
        <is>
          <t>Navarro,I., A. De La Torre, P. Sanz, M.A. Porcel, J. Pro, G. Carbonell, and M.A. Martinez</t>
        </is>
      </c>
      <c r="C40" t="inlineStr">
        <is>
          <t>Uptake of Perfluoroalkyl Substances and Halogenated Flame Retardants by Crop Plants Grown in Biosolids-Amended Soils</t>
        </is>
      </c>
      <c r="D40" t="inlineStr">
        <is>
          <t>Environ. Res.152:199-206</t>
        </is>
      </c>
      <c r="E40" t="n">
        <v>2017.0</v>
      </c>
      <c r="F40"/>
      <c r="G40" t="inlineStr">
        <is>
          <t>Navarro,I., A. De La Torre, P. Sanz, M.A. Porcel, J. Pro, G. Carbonell, and M.A. Martinez (2017). Uptake of Perfluoroalkyl Substances and Halogenated Flame Retardants by Crop Plants Grown in Biosolids-Amended Soils. Environ. Res., 152, 199-206. doi:10.1016/j.envres.2016.10.018. ECOREF#:177188</t>
        </is>
      </c>
      <c r="H40" s="39" t="n">
        <f>HYPERLINK("https://scholar.google.com/scholar?hl=en&amp;as_q=&amp;as_oq=&amp;as_eq=&amp;as_sauthors=&amp;as_publication=&amp;as_ylo=&amp;as_yhi=&amp;as_occt=title&amp;as_sdt=0%2C5&amp;as_epq=%22Uptake+of+Perfluoroalkyl+Substances+and+Halogenated+Flame+Retardants+by+Crop+Plants+Grown+in+Biosolids-Amended+S", "Google Scholar")</f>
        <v>0.0</v>
      </c>
    </row>
    <row r="41">
      <c r="A41" t="n">
        <v>175224.0</v>
      </c>
      <c r="B41" t="inlineStr">
        <is>
          <t>Newsted,J.L., K.K. Coady, S.A. Beach, J.L. Butenhoff, S. Gallagher, and J.P. Giesy</t>
        </is>
      </c>
      <c r="C41" t="inlineStr">
        <is>
          <t>Effects of Perfluorooctane Sulfonate on Mallard and Northern Bobwhite Quail Exposed Chronically via the Diet</t>
        </is>
      </c>
      <c r="D41" t="inlineStr">
        <is>
          <t>Environ. Toxicol. Pharmacol.23(1): 1-9</t>
        </is>
      </c>
      <c r="E41" t="n">
        <v>2007.0</v>
      </c>
      <c r="F41"/>
      <c r="G41" t="inlineStr">
        <is>
          <t>Newsted,J.L., K.K. Coady, S.A. Beach, J.L. Butenhoff, S. Gallagher, and J.P. Giesy (2007). Effects of Perfluorooctane Sulfonate on Mallard and Northern Bobwhite Quail Exposed Chronically via the Diet. Environ. Toxicol. Pharmacol., 23, (1), 1-9. doi:10.1016/j.etap.2006.04.008. ECOREF#:175224</t>
        </is>
      </c>
      <c r="H41" s="40" t="n">
        <f>HYPERLINK("https://scholar.google.com/scholar?hl=en&amp;as_q=&amp;as_oq=&amp;as_eq=&amp;as_sauthors=&amp;as_publication=&amp;as_ylo=&amp;as_yhi=&amp;as_occt=title&amp;as_sdt=0%2C5&amp;as_epq=%22Effects+of+Perfluorooctane+Sulfonate+on+Mallard+and+Northern+Bobwhite+Quail+Exposed+Chronically+via+the+Diet", "Google Scholar")</f>
        <v>0.0</v>
      </c>
    </row>
    <row r="42">
      <c r="A42" t="n">
        <v>110983.0</v>
      </c>
      <c r="B42" t="inlineStr">
        <is>
          <t>Newsted,J.L., S.A. Beach, S.P. Gallagher, and J.P. Giesy</t>
        </is>
      </c>
      <c r="C42" t="inlineStr">
        <is>
          <t>Pharmacokinetics and Acute Lethality of Perfluorooctanesulfonate (PFOS) to Juvenile Mallard and Northern Bobwhite</t>
        </is>
      </c>
      <c r="D42" t="inlineStr">
        <is>
          <t>Arch. Environ. Contam. Toxicol.50(3): 411-420</t>
        </is>
      </c>
      <c r="E42" t="n">
        <v>2006.0</v>
      </c>
      <c r="F42"/>
      <c r="G42" t="inlineStr">
        <is>
          <t>Newsted,J.L., S.A. Beach, S.P. Gallagher, and J.P. Giesy (2006). Pharmacokinetics and Acute Lethality of Perfluorooctanesulfonate (PFOS) to Juvenile Mallard and Northern Bobwhite. Arch. Environ. Contam. Toxicol., 50, (3), 411-420. doi:10.1007/s00244-005-1137-x. ECOREF#:110983</t>
        </is>
      </c>
      <c r="H42" s="41" t="n">
        <f>HYPERLINK("https://scholar.google.com/scholar?hl=en&amp;as_q=&amp;as_oq=&amp;as_eq=&amp;as_sauthors=&amp;as_publication=&amp;as_ylo=&amp;as_yhi=&amp;as_occt=title&amp;as_sdt=0%2C5&amp;as_epq=%22Pharmacokinetics+and+Acute+Lethality+of+Perfluorooctanesulfonate+%28PFOS%29+to+Juvenile+Mallard+and+Northern+Bob", "Google Scholar")</f>
        <v>0.0</v>
      </c>
    </row>
    <row r="43">
      <c r="A43" t="n">
        <v>177082.0</v>
      </c>
      <c r="B43" t="inlineStr">
        <is>
          <t>Norden,M., U. Berger, and M. Engwall</t>
        </is>
      </c>
      <c r="C43" t="inlineStr">
        <is>
          <t>Developmental Toxicity of PFOS and PFOA in Great Cormorant (Phalacrocorax carbo sinensis), Herring Gull (Larus argentatus) and Chicken (Gallus gallus domesticus)</t>
        </is>
      </c>
      <c r="D43" t="inlineStr">
        <is>
          <t>Environ. Sci. Pollut. Res. Int.23(11): 10855-10862</t>
        </is>
      </c>
      <c r="E43" t="n">
        <v>2016.0</v>
      </c>
      <c r="F43"/>
      <c r="G43"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c r="H43" s="42" t="n">
        <f>HYPERLINK("https://scholar.google.com/scholar?hl=en&amp;as_q=&amp;as_oq=&amp;as_eq=&amp;as_sauthors=&amp;as_publication=&amp;as_ylo=&amp;as_yhi=&amp;as_occt=title&amp;as_sdt=0%2C5&amp;as_epq=%22Developmental+Toxicity+of+PFOS+and+PFOA+in+Great+Cormorant+%28Phalacrocorax+carbo+sinensis%29%2C+Herring+Gull+%2", "Google Scholar")</f>
        <v>0.0</v>
      </c>
    </row>
    <row r="44">
      <c r="A44" t="n">
        <v>116621.0</v>
      </c>
      <c r="B44" t="inlineStr">
        <is>
          <t>O'Brien,J.M., A.C. Carew, S. Chu, R.J. Letcher, and S.W. Kennedy</t>
        </is>
      </c>
      <c r="C44" t="inlineStr">
        <is>
          <t>Perfluorooctane Sulfonate (PFOS) Toxicity in Domestic Chicken (Gallus gallus domesticus) Embryos in the Absence of Effects on Peroxisome Proliferator Activated Receptor alpha (PPARalpha)-Regulated Genes</t>
        </is>
      </c>
      <c r="D44" t="inlineStr">
        <is>
          <t>Comp. Biochem. Physiol. C Comp. Pharmacol. Toxicol.149(4): 524-530</t>
        </is>
      </c>
      <c r="E44" t="n">
        <v>2009.0</v>
      </c>
      <c r="F44"/>
      <c r="G44" t="inlineStr">
        <is>
          <t>O'Brien,J.M., A.C. Carew, S. Chu, R.J. Letcher, and S.W. Kennedy (2009). Perfluorooctane Sulfonate (PFOS) Toxicity in Domestic Chicken (Gallus gallus domesticus) Embryos in the Absence of Effects on Peroxisome Proliferator Activated Receptor alpha (PPARalpha)-Regulated Genes. Comp. Biochem. Physiol. C Comp. Pharmacol. Toxicol., 149, (4), 524-530. doi:10.1016/j.cbpc.2008.11.009. ECOREF#:116621</t>
        </is>
      </c>
      <c r="H44" s="43" t="n">
        <f>HYPERLINK("https://scholar.google.com/scholar?hl=en&amp;as_q=&amp;as_oq=&amp;as_eq=&amp;as_sauthors=&amp;as_publication=&amp;as_ylo=&amp;as_yhi=&amp;as_occt=title&amp;as_sdt=0%2C5&amp;as_epq=%22Perfluorooctane+Sulfonate+%28PFOS%29+Toxicity+in+Domestic+Chicken+%28Gallus+gallus+domesticus%29+Embryos+in+the+", "Google Scholar")</f>
        <v>0.0</v>
      </c>
    </row>
    <row r="45">
      <c r="A45" t="n">
        <v>187864.0</v>
      </c>
      <c r="B45" t="inlineStr">
        <is>
          <t>Pan,Y., B. Wen, H. Zhang, and S. Zhang</t>
        </is>
      </c>
      <c r="C45" t="inlineStr">
        <is>
          <t>Comparison of 6:2 Chlorinated Polyfluorinated Ether Sulfonate (6:2 Cl-PFESA) and Perfluorooctane Sulfonate (PFOS) Accumulation and Toxicity in Mung Bean</t>
        </is>
      </c>
      <c r="D45" t="inlineStr">
        <is>
          <t>Environ. Pollut.287:10p.</t>
        </is>
      </c>
      <c r="E45" t="n">
        <v>2021.0</v>
      </c>
      <c r="F45"/>
      <c r="G45" t="inlineStr">
        <is>
          <t>Pan,Y., B. Wen, H. Zhang, and S. Zhang (2021). Comparison of 6:2 Chlorinated Polyfluorinated Ether Sulfonate (6:2 Cl-PFESA) and Perfluorooctane Sulfonate (PFOS) Accumulation and Toxicity in Mung Bean. Environ. Pollut., 287, 10p. doi:10.1016/j.envpol.2021.117332. ECOREF#:187864</t>
        </is>
      </c>
      <c r="H45" s="44" t="n">
        <f>HYPERLINK("https://scholar.google.com/scholar?hl=en&amp;as_q=&amp;as_oq=&amp;as_eq=&amp;as_sauthors=&amp;as_publication=&amp;as_ylo=&amp;as_yhi=&amp;as_occt=title&amp;as_sdt=0%2C5&amp;as_epq=%22Comparison+of+6%3A2+Chlorinated+Polyfluorinated+Ether+Sulfonate+%286%3A2+Cl-PFESA%29+and+Perfluorooctane+Sulfona", "Google Scholar")</f>
        <v>0.0</v>
      </c>
    </row>
    <row r="46">
      <c r="A46" t="n">
        <v>175714.0</v>
      </c>
      <c r="B46" t="inlineStr">
        <is>
          <t>Peden-Adams,M.M., J.E. Stuckey, K.M. Gaworecki, J. Berger-Ritchie, K. Bryant, P.G. Jodice, T.R. Scott, J.B. Ferrario, B</t>
        </is>
      </c>
      <c r="C46" t="inlineStr">
        <is>
          <t>Developmental Toxicity in White Leghorn Chickens Following In Ovo Exposure to Perfluorooctane Sulfonate (PFOS)</t>
        </is>
      </c>
      <c r="D46" t="inlineStr">
        <is>
          <t>Reprod. Toxicol.27(3/4): 307-318</t>
        </is>
      </c>
      <c r="E46" t="n">
        <v>2009.0</v>
      </c>
      <c r="F46"/>
      <c r="G46" t="inlineStr">
        <is>
          <t>Peden-Adams,M.M., J.E. Stuckey, K.M. Gaworecki, J. Berger-Ritchie, K. Bryant, P.G. Jodice, T.R. Scott, J.B. Ferrario, B (2009). Developmental Toxicity in White Leghorn Chickens Following In Ovo Exposure to Perfluorooctane Sulfonate (PFOS). Reprod. Toxicol., 27, (3/4), 307-318. doi:10.1016/j.reprotox.2008.10.009. ECOREF#:175714</t>
        </is>
      </c>
      <c r="H46" s="45" t="n">
        <f>HYPERLINK("https://scholar.google.com/scholar?hl=en&amp;as_q=&amp;as_oq=&amp;as_eq=&amp;as_sauthors=&amp;as_publication=&amp;as_ylo=&amp;as_yhi=&amp;as_occt=title&amp;as_sdt=0%2C5&amp;as_epq=%22Developmental+Toxicity+in+White+Leghorn+Chickens+Following+In+Ovo+Exposure+to+Perfluorooctane+Sulfonate+%28PFOS%", "Google Scholar")</f>
        <v>0.0</v>
      </c>
    </row>
    <row r="47">
      <c r="A47" t="n">
        <v>195273.0</v>
      </c>
      <c r="B47" t="inlineStr">
        <is>
          <t>Peterson,S.</t>
        </is>
      </c>
      <c r="C47" t="inlineStr">
        <is>
          <t>Developmental Effects and Endocrine Disrupting Potential of In Ovo Exposure to per- and Polyfluoroalkyl Substances (PFASs) in Mallard Ducklings (Anas platyrhynchos)</t>
        </is>
      </c>
      <c r="D47" t="inlineStr">
        <is>
          <t>M.S. Thesis, Norwegian University of Science and Technology, Trondheim, Norway:71 p.</t>
        </is>
      </c>
      <c r="E47" t="n">
        <v>2024.0</v>
      </c>
      <c r="F47"/>
      <c r="G47" t="inlineStr">
        <is>
          <t>Peterson,S. (2024). Developmental Effects and Endocrine Disrupting Potential of In Ovo Exposure to per- and Polyfluoroalkyl Substances (PFASs) in Mallard Ducklings (Anas platyrhynchos). M.S. Thesis, Norwegian University of Science and Technology, Trondheim, Norway, 71 p. ECOREF#:195273</t>
        </is>
      </c>
      <c r="H47" s="46" t="n">
        <f>HYPERLINK("https://scholar.google.com/scholar?hl=en&amp;as_q=&amp;as_oq=&amp;as_eq=&amp;as_sauthors=&amp;as_publication=&amp;as_ylo=&amp;as_yhi=&amp;as_occt=title&amp;as_sdt=0%2C5&amp;as_epq=%22Developmental+Effects+and+Endocrine+Disrupting+Potential+of+In+Ovo+Exposure+to+per-+and+Polyfluoroalkyl+Substanc", "Google Scholar")</f>
        <v>0.0</v>
      </c>
    </row>
    <row r="48">
      <c r="A48" t="n">
        <v>193550.0</v>
      </c>
      <c r="B48" t="inlineStr">
        <is>
          <t>Rico,C.M., D.C. Wagner, P.C. Ofoegbu, N.J. Kirwa, P. Clubb, K. Coates, J.E. Zenobio, and A.S. Adeleye</t>
        </is>
      </c>
      <c r="C48" t="inlineStr">
        <is>
          <t>Toxicity Assessment of Perfluorooctanesulfonic Acid (PFOS) on a Spontaneous Plant, velvetleaf (Abutilon theophrasti), via Metabolomics</t>
        </is>
      </c>
      <c r="D48" t="inlineStr">
        <is>
          <t>Sci. Total Environ.907:13 p.</t>
        </is>
      </c>
      <c r="E48" t="n">
        <v>2024.0</v>
      </c>
      <c r="F48"/>
      <c r="G48" t="inlineStr">
        <is>
          <t>Rico,C.M., D.C. Wagner, P.C. Ofoegbu, N.J. Kirwa, P. Clubb, K. Coates, J.E. Zenobio, and A.S. Adeleye (2024). Toxicity Assessment of Perfluorooctanesulfonic Acid (PFOS) on a Spontaneous Plant, velvetleaf (Abutilon theophrasti), via Metabolomics. Sci. Total Environ., 907, 13 p. doi:10.1016/j.scitotenv.2023.167894. ECOREF#:193550</t>
        </is>
      </c>
      <c r="H48" s="47" t="n">
        <f>HYPERLINK("https://scholar.google.com/scholar?hl=en&amp;as_q=&amp;as_oq=&amp;as_eq=&amp;as_sauthors=&amp;as_publication=&amp;as_ylo=&amp;as_yhi=&amp;as_occt=title&amp;as_sdt=0%2C5&amp;as_epq=%22Toxicity+Assessment+of+Perfluorooctanesulfonic+Acid+%28PFOS%29+on+a+Spontaneous+Plant%2C+velvetleaf+%28Abutilon+", "Google Scholar")</f>
        <v>0.0</v>
      </c>
    </row>
    <row r="49">
      <c r="A49" t="n">
        <v>187867.0</v>
      </c>
      <c r="B49" t="inlineStr">
        <is>
          <t>Rijnders,J., L. Bervoets, E. Prinsen, M. Eens, G.T.S. Beemster, H. Abdelgawad, and T. Groffen</t>
        </is>
      </c>
      <c r="C49" t="inlineStr">
        <is>
          <t>Perfluoroalkylated Acids (PFAAs) Accumulate in Field-Exposed Snails (Cepaea sp.) and Affect Their Oxidative Status</t>
        </is>
      </c>
      <c r="D49" t="inlineStr">
        <is>
          <t>Sci. Total Environ.790:11 p.</t>
        </is>
      </c>
      <c r="E49" t="n">
        <v>2021.0</v>
      </c>
      <c r="F49"/>
      <c r="G49"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c r="H49" s="48" t="n">
        <f>HYPERLINK("https://scholar.google.com/scholar?hl=en&amp;as_q=&amp;as_oq=&amp;as_eq=&amp;as_sauthors=&amp;as_publication=&amp;as_ylo=&amp;as_yhi=&amp;as_occt=title&amp;as_sdt=0%2C5&amp;as_epq=%22Perfluoroalkylated+Acids+%28PFAAs%29+Accumulate+in+Field-Exposed+Snails+%28Cepaea+sp.%29+and+Affect+Their+Oxidat", "Google Scholar")</f>
        <v>0.0</v>
      </c>
    </row>
    <row r="50">
      <c r="A50" t="n">
        <v>194422.0</v>
      </c>
      <c r="B50" t="inlineStr">
        <is>
          <t>Salice,C.J., A. East, C. Weible, C.D. Furst, J. Rewerts, C. Heron, and J. Field</t>
        </is>
      </c>
      <c r="C50" t="inlineStr">
        <is>
          <t>Effects of Perfluorooctane Sulfonate (PFOS) on a Novel Reptilian Toxicity Test Species, the Brown Anole (Anolis sagrei)</t>
        </is>
      </c>
      <c r="D50" t="inlineStr">
        <is>
          <t>Environ. Toxicol. Chem.44(4): 1080-1090</t>
        </is>
      </c>
      <c r="E50" t="n">
        <v>2025.0</v>
      </c>
      <c r="F50"/>
      <c r="G50" t="inlineStr">
        <is>
          <t>Salice,C.J., A. East, C. Weible, C.D. Furst, J. Rewerts, C. Heron, and J. Field (2025). Effects of Perfluorooctane Sulfonate (PFOS) on a Novel Reptilian Toxicity Test Species, the Brown Anole (Anolis sagrei). Environ. Toxicol. Chem., 44, (4), 1080-1090. doi:10.1093/etojnl/vgaf038. ECOREF#:194422</t>
        </is>
      </c>
      <c r="H50" s="49" t="n">
        <f>HYPERLINK("https://scholar.google.com/scholar?hl=en&amp;as_q=&amp;as_oq=&amp;as_eq=&amp;as_sauthors=&amp;as_publication=&amp;as_ylo=&amp;as_yhi=&amp;as_occt=title&amp;as_sdt=0%2C5&amp;as_epq=%22Effects+of+Perfluorooctane+Sulfonate+%28PFOS%29+on+a+Novel+Reptilian+Toxicity+Test+Species%2C+the+Brown+Anole+%2", "Google Scholar")</f>
        <v>0.0</v>
      </c>
    </row>
    <row r="51">
      <c r="A51" t="n">
        <v>184505.0</v>
      </c>
      <c r="B51" t="inlineStr">
        <is>
          <t>Sammi,S.R., R.M. Foguth, C.S. Nieves, C. De Perre, P. Wipf, C.T. Mcmurray, L.S. Lee, and J.R. Cannon</t>
        </is>
      </c>
      <c r="C51" t="inlineStr">
        <is>
          <t>Perfluorooctane Sulfonate (PFOS) Produces Dopaminergic Neuropathology in Caenorhabditis elegans</t>
        </is>
      </c>
      <c r="D51" t="inlineStr">
        <is>
          <t>Toxicol. Sci.(2): 417-434</t>
        </is>
      </c>
      <c r="E51" t="n">
        <v>2019.0</v>
      </c>
      <c r="F51"/>
      <c r="G51" t="inlineStr">
        <is>
          <t>Sammi,S.R., R.M. Foguth, C.S. Nieves, C. De Perre, P. Wipf, C.T. Mcmurray, L.S. Lee, and J.R. Cannon (2019). Perfluorooctane Sulfonate (PFOS) Produces Dopaminergic Neuropathology in Caenorhabditis elegans. Toxicol. Sci., (2), 417-434. doi:10.1093/toxsci/kfz191. ECOREF#:184505</t>
        </is>
      </c>
      <c r="H51" s="50" t="n">
        <f>HYPERLINK("https://scholar.google.com/scholar?hl=en&amp;as_q=&amp;as_oq=&amp;as_eq=&amp;as_sauthors=&amp;as_publication=&amp;as_ylo=&amp;as_yhi=&amp;as_occt=title&amp;as_sdt=0%2C5&amp;as_epq=%22Perfluorooctane+Sulfonate+%28PFOS%29+Produces+Dopaminergic+Neuropathology+in+Caenorhabditis+elegans", "Google Scholar")</f>
        <v>0.0</v>
      </c>
    </row>
    <row r="52">
      <c r="A52" t="n">
        <v>177116.0</v>
      </c>
      <c r="B52" t="inlineStr">
        <is>
          <t>Sindermann,A.B., J.R. Porch, H.O. Krueger, and R.L. Van Hoven</t>
        </is>
      </c>
      <c r="C52" t="inlineStr">
        <is>
          <t>PFOS:  An Acute Toxicity Study with the Earthworm in an Artificial Soil Substrate</t>
        </is>
      </c>
      <c r="D52" t="inlineStr">
        <is>
          <t>Project 454-111, Widlife International Ltd., Easton, MD:58 p.</t>
        </is>
      </c>
      <c r="E52" t="n">
        <v>2002.0</v>
      </c>
      <c r="F52"/>
      <c r="G52" t="inlineStr">
        <is>
          <t>Sindermann,A.B., J.R. Porch, H.O. Krueger, and R.L. Van Hoven (2002). PFOS:  An Acute Toxicity Study with the Earthworm in an Artificial Soil Substrate. Project 454-111, Widlife International Ltd., Easton, MD, 58 p. ECOREF#:177116</t>
        </is>
      </c>
      <c r="H52" s="51" t="n">
        <f>HYPERLINK("https://scholar.google.com/scholar?hl=en&amp;as_q=&amp;as_oq=&amp;as_eq=&amp;as_sauthors=&amp;as_publication=&amp;as_ylo=&amp;as_yhi=&amp;as_occt=title&amp;as_sdt=0%2C5&amp;as_epq=%22PFOS%3A++An+Acute+Toxicity+Study+with+the+Earthworm+in+an+Artificial+Soil+Substrate", "Google Scholar")</f>
        <v>0.0</v>
      </c>
    </row>
    <row r="53">
      <c r="A53" t="n">
        <v>185965.0</v>
      </c>
      <c r="B53" t="inlineStr">
        <is>
          <t>Sobhani,Z., C. Fang, R. Naidu, and M. Megharaj</t>
        </is>
      </c>
      <c r="C53" t="inlineStr">
        <is>
          <t>Microplastics as a Vector of Toxic Chemicals in Soil: Enhanced Uptake of Perfluorooctane Sulfonate and Perfluorooctanoic Acid by Earthworms Through Sorption and Reproductive Toxicity</t>
        </is>
      </c>
      <c r="D53" t="inlineStr">
        <is>
          <t>Environ. Technol. Innov.22:6 p.</t>
        </is>
      </c>
      <c r="E53" t="n">
        <v>2021.0</v>
      </c>
      <c r="F53"/>
      <c r="G53" t="inlineStr">
        <is>
          <t>Sobhani,Z., C. Fang, R. Naidu, and M. Megharaj (2021). Microplastics as a Vector of Toxic Chemicals in Soil: Enhanced Uptake of Perfluorooctane Sulfonate and Perfluorooctanoic Acid by Earthworms Through Sorption and Reproductive Toxicity. Environ. Technol. Innov., 22, 6 p. doi:10.1016/j.eti.2021.101476. ECOREF#:185965</t>
        </is>
      </c>
      <c r="H53" s="52" t="n">
        <f>HYPERLINK("https://scholar.google.com/scholar?hl=en&amp;as_q=&amp;as_oq=&amp;as_eq=&amp;as_sauthors=&amp;as_publication=&amp;as_ylo=&amp;as_yhi=&amp;as_occt=title&amp;as_sdt=0%2C5&amp;as_epq=%22Microplastics+as+a+Vector+of+Toxic+Chemicals+in+Soil%3A+Enhanced+Uptake+of+Perfluorooctane+Sulfonate+and+Perfluo", "Google Scholar")</f>
        <v>0.0</v>
      </c>
    </row>
    <row r="54">
      <c r="A54" t="n">
        <v>187362.0</v>
      </c>
      <c r="B54" t="inlineStr">
        <is>
          <t>Sonter,C.A., R. Rader, G. Stevenson, J.R. Stavert, and S.C. Wilson</t>
        </is>
      </c>
      <c r="C54" t="inlineStr">
        <is>
          <t>Biological and Behavioral Responses of European Honey Bee (Apis mellifera) Colonies to Perfluorooctane Sulfonate Exposure</t>
        </is>
      </c>
      <c r="D54" t="inlineStr">
        <is>
          <t>Integr. Environ. Assess. Manag.:673-683</t>
        </is>
      </c>
      <c r="E54" t="n">
        <v>2021.0</v>
      </c>
      <c r="F54"/>
      <c r="G54" t="inlineStr">
        <is>
          <t>Sonter,C.A., R. Rader, G. Stevenson, J.R. Stavert, and S.C. Wilson (2021). Biological and Behavioral Responses of European Honey Bee (Apis mellifera) Colonies to Perfluorooctane Sulfonate Exposure. Integr. Environ. Assess. Manag., 673-683. doi:10.1002/ieam.4421. ECOREF#:187362</t>
        </is>
      </c>
      <c r="H54" s="53" t="n">
        <f>HYPERLINK("https://scholar.google.com/scholar?hl=en&amp;as_q=&amp;as_oq=&amp;as_eq=&amp;as_sauthors=&amp;as_publication=&amp;as_ylo=&amp;as_yhi=&amp;as_occt=title&amp;as_sdt=0%2C5&amp;as_epq=%22Biological+and+Behavioral+Responses+of+European+Honey+Bee+%28Apis+mellifera%29+Colonies+to+Perfluorooctane+Sulfo", "Google Scholar")</f>
        <v>0.0</v>
      </c>
    </row>
    <row r="55">
      <c r="A55" t="n">
        <v>182579.0</v>
      </c>
      <c r="B55" t="inlineStr">
        <is>
          <t>Stylianou,M., M.K. Bjornsdotter, P.E. Olsson, I. Ericson Jogsten, and J. Jass</t>
        </is>
      </c>
      <c r="C55" t="inlineStr">
        <is>
          <t>Distinct Transcriptional Response of Caenorhabditis elegans to Different Exposure Routes of Perfluorooctane Sulfonic Acid</t>
        </is>
      </c>
      <c r="D55" t="inlineStr">
        <is>
          <t>Environ. Res.168:406-413</t>
        </is>
      </c>
      <c r="E55" t="n">
        <v>2019.0</v>
      </c>
      <c r="F55"/>
      <c r="G55" t="inlineStr">
        <is>
          <t>Stylianou,M., M.K. Bjornsdotter, P.E. Olsson, I. Ericson Jogsten, and J. Jass (2019). Distinct Transcriptional Response of Caenorhabditis elegans to Different Exposure Routes of Perfluorooctane Sulfonic Acid. Environ. Res., 168, 406-413. doi:10.1016/j.envres.2018.10.019. ECOREF#:182579</t>
        </is>
      </c>
      <c r="H55" s="54" t="n">
        <f>HYPERLINK("https://scholar.google.com/scholar?hl=en&amp;as_q=&amp;as_oq=&amp;as_eq=&amp;as_sauthors=&amp;as_publication=&amp;as_ylo=&amp;as_yhi=&amp;as_occt=title&amp;as_sdt=0%2C5&amp;as_epq=%22Distinct+Transcriptional+Response+of+Caenorhabditis+elegans+to+Different+Exposure+Routes+of+Perfluorooctane+Sulf", "Google Scholar")</f>
        <v>0.0</v>
      </c>
    </row>
    <row r="56">
      <c r="A56" t="n">
        <v>191310.0</v>
      </c>
      <c r="B56" t="inlineStr">
        <is>
          <t>Wang,Z., Y. Shi, Z. Zhang, F. Qi, W. Xue, D. Tian, and S. Teng</t>
        </is>
      </c>
      <c r="C56" t="inlineStr">
        <is>
          <t>Assessing Joint Toxic Effects of Arsenate and Perfluorooctane Sulfonate on Earthworm by Combining Integrated Biomarker Response and Mixture Toxicity Indices</t>
        </is>
      </c>
      <c r="D56" t="inlineStr">
        <is>
          <t>Ecol. Indic.144:10 p.</t>
        </is>
      </c>
      <c r="E56" t="n">
        <v>2022.0</v>
      </c>
      <c r="F56"/>
      <c r="G56" t="inlineStr">
        <is>
          <t>Wang,Z., Y. Shi, Z. Zhang, F. Qi, W. Xue, D. Tian, and S. Teng (2022). Assessing Joint Toxic Effects of Arsenate and Perfluorooctane Sulfonate on Earthworm by Combining Integrated Biomarker Response and Mixture Toxicity Indices. Ecol. Indic., 144, 10 p. doi:10.1016/j.ecolind.2022.109521. ECOREF#:191310</t>
        </is>
      </c>
      <c r="H56" s="55" t="n">
        <f>HYPERLINK("https://scholar.google.com/scholar?hl=en&amp;as_q=&amp;as_oq=&amp;as_eq=&amp;as_sauthors=&amp;as_publication=&amp;as_ylo=&amp;as_yhi=&amp;as_occt=title&amp;as_sdt=0%2C5&amp;as_epq=%22Assessing+Joint+Toxic+Effects+of+Arsenate+and+Perfluorooctane+Sulfonate+on+Earthworm+by+Combining+Integrated+Bio", "Google Scholar")</f>
        <v>0.0</v>
      </c>
    </row>
    <row r="57">
      <c r="A57" t="n">
        <v>175713.0</v>
      </c>
      <c r="B57" t="inlineStr">
        <is>
          <t>Wen,B., L. Li, Y. Liu, H. Zhang, X. Hu, X.Q. Shan, and S. Zhang</t>
        </is>
      </c>
      <c r="C57" t="inlineStr">
        <is>
          <t>Mechanistic Studies of Perfluorooctane Sulfonate, Perfluorooctanoic Acid Uptake by Maize (Zea mays L. cv. TY2)</t>
        </is>
      </c>
      <c r="D57" t="inlineStr">
        <is>
          <t>Plant Soil370(1/2): 345-354</t>
        </is>
      </c>
      <c r="E57" t="n">
        <v>2013.0</v>
      </c>
      <c r="F57"/>
      <c r="G57" t="inlineStr">
        <is>
          <t>Wen,B., L. Li, Y. Liu, H. Zhang, X. Hu, X.Q. Shan, and S. Zhang (2013). Mechanistic Studies of Perfluorooctane Sulfonate, Perfluorooctanoic Acid Uptake by Maize (Zea mays L. cv. TY2). Plant Soil, 370, (1/2), 345-354. doi:10.1007/s11104-013-1637-9. ECOREF#:175713</t>
        </is>
      </c>
      <c r="H57" s="56" t="n">
        <f>HYPERLINK("https://scholar.google.com/scholar?hl=en&amp;as_q=&amp;as_oq=&amp;as_eq=&amp;as_sauthors=&amp;as_publication=&amp;as_ylo=&amp;as_yhi=&amp;as_occt=title&amp;as_sdt=0%2C5&amp;as_epq=%22Mechanistic+Studies+of+Perfluorooctane+Sulfonate%2C+Perfluorooctanoic+Acid+Uptake+by+Maize+%28Zea+mays+L.+cv.+TY", "Google Scholar")</f>
        <v>0.0</v>
      </c>
    </row>
    <row r="58">
      <c r="A58" t="n">
        <v>180253.0</v>
      </c>
      <c r="B58" t="inlineStr">
        <is>
          <t>Xu,Z., T. Tang, H. Cheng, Q. Bao, J. Yu, C. Zhang, T. Wu, X. Zhao, K.W. Schramm, and Y. Wang</t>
        </is>
      </c>
      <c r="C58" t="inlineStr">
        <is>
          <t xml:space="preserve">Negligible Effects of TiO2 Nanoparticles at Environmentally Relevant Concentrations on the Translocation and Accumulation of Perfluorooctanoic Acid and Perfluorooctanesulfonate in Hydroponically Grown Pumpkin Seedlings </t>
        </is>
      </c>
      <c r="D58" t="inlineStr">
        <is>
          <t>Sci. Total Environ.686:171-178</t>
        </is>
      </c>
      <c r="E58" t="n">
        <v>2019.0</v>
      </c>
      <c r="F58"/>
      <c r="G58" t="inlineStr">
        <is>
          <t>Xu,Z., T. Tang, H. Cheng, Q. Bao, J. Yu, C. Zhang, T. Wu, X. Zhao, K.W. Schramm, and Y. Wang (2019). Negligible Effects of TiO2 Nanoparticles at Environmentally Relevant Concentrations on the Translocation and Accumulation of Perfluorooctanoic Acid and Perfluorooctanesulfonate in Hydroponically Grown Pumpkin Seedlings . Sci. Total Environ., 686, 171-178. doi:10.1016/j.scitotenv.2019.05.473. ECOREF#:180253</t>
        </is>
      </c>
      <c r="H58" s="57" t="n">
        <f>HYPERLINK("https://scholar.google.com/scholar?hl=en&amp;as_q=&amp;as_oq=&amp;as_eq=&amp;as_sauthors=&amp;as_publication=&amp;as_ylo=&amp;as_yhi=&amp;as_occt=title&amp;as_sdt=0%2C5&amp;as_epq=%22Negligible+Effects+of+TiO2+Nanoparticles+at+Environmentally+Relevant+Concentrations+on+the+Translocation+and+Acc", "Google Scholar")</f>
        <v>0.0</v>
      </c>
    </row>
    <row r="59">
      <c r="A59" t="n">
        <v>191244.0</v>
      </c>
      <c r="B59" t="inlineStr">
        <is>
          <t>Yang,S., L. Shan, and K. Chu</t>
        </is>
      </c>
      <c r="C59" t="inlineStr">
        <is>
          <t>Fate and Transformation of 6:2 Fluorotelomer Sulfonic Acid Affected by Plant, Nutrient, Bioaugmentation, and Soil Microbiome Interactions</t>
        </is>
      </c>
      <c r="D59" t="inlineStr">
        <is>
          <t>Environ. Sci. Technol.56(15): 10721-10731</t>
        </is>
      </c>
      <c r="E59" t="n">
        <v>2022.0</v>
      </c>
      <c r="F59"/>
      <c r="G59" t="inlineStr">
        <is>
          <t>Yang,S., L. Shan, and K. Chu (2022). Fate and Transformation of 6:2 Fluorotelomer Sulfonic Acid Affected by Plant, Nutrient, Bioaugmentation, and Soil Microbiome Interactions. Environ. Sci. Technol., 56, (15), 10721-10731. doi:10.1021/acs.est.2c01867. ECOREF#:191244</t>
        </is>
      </c>
      <c r="H59" s="58" t="n">
        <f>HYPERLINK("https://scholar.google.com/scholar?hl=en&amp;as_q=&amp;as_oq=&amp;as_eq=&amp;as_sauthors=&amp;as_publication=&amp;as_ylo=&amp;as_yhi=&amp;as_occt=title&amp;as_sdt=0%2C5&amp;as_epq=%22Fate+and+Transformation+of+6%3A2+Fluorotelomer+Sulfonic+Acid+Affected+by+Plant%2C+Nutrient%2C+Bioaugmentation%2C", "Google Scholar")</f>
        <v>0.0</v>
      </c>
    </row>
    <row r="60">
      <c r="A60" t="n">
        <v>112078.0</v>
      </c>
      <c r="B60" t="inlineStr">
        <is>
          <t>Yoo,H., K.S. Guruge, N. Yamanaka, C. Sato, O. Mikami, S. Miyazaki, N. Yamashita, and J.P. Giesy</t>
        </is>
      </c>
      <c r="C60" t="inlineStr">
        <is>
          <t>Depuration Kinetics and Tissue Disposition of PFOA and PFOS in White Leghorn Chickens (Gallus gallus) Administered by Subcutaneous Implantation</t>
        </is>
      </c>
      <c r="D60" t="inlineStr">
        <is>
          <t>Ecotoxicol. Environ. Saf.72(1): 26-36</t>
        </is>
      </c>
      <c r="E60" t="n">
        <v>2009.0</v>
      </c>
      <c r="F60"/>
      <c r="G60" t="inlineStr">
        <is>
          <t>Yoo,H., K.S. Guruge, N. Yamanaka, C. Sato, O. Mikami, S. Miyazaki, N. Yamashita, and J.P. Giesy (2009). Depuration Kinetics and Tissue Disposition of PFOA and PFOS in White Leghorn Chickens (Gallus gallus) Administered by Subcutaneous Implantation. Ecotoxicol. Environ. Saf., 72, (1), 26-36. doi:10.1016/j.ecoenv.2007.09.007. ECOREF#:112078</t>
        </is>
      </c>
      <c r="H60" s="59" t="n">
        <f>HYPERLINK("https://scholar.google.com/scholar?hl=en&amp;as_q=&amp;as_oq=&amp;as_eq=&amp;as_sauthors=&amp;as_publication=&amp;as_ylo=&amp;as_yhi=&amp;as_occt=title&amp;as_sdt=0%2C5&amp;as_epq=%22Depuration+Kinetics+and+Tissue+Disposition+of+PFOA+and+PFOS+in+White+Leghorn+Chickens+%28Gallus+gallus%29+Admini", "Google Scholar")</f>
        <v>0.0</v>
      </c>
    </row>
    <row r="61">
      <c r="A61" t="n">
        <v>182588.0</v>
      </c>
      <c r="B61" t="inlineStr">
        <is>
          <t>Yu,P.F., L. Xiang, X.H. Li, Z.R. Ding, C.H. Mo, Y.W. Li, H. Li, Q.Y. Cai, D.M. Zhou, and M.H. Wong</t>
        </is>
      </c>
      <c r="C61" t="inlineStr">
        <is>
          <t>Cultivar-Dependent Accumulation and Translocation of Perfluorooctanesulfonate Among Lettuce ( Lactuca sativa L.) Cultivars Grown on Perfluorooctanesulfonate-Contaminated Soil</t>
        </is>
      </c>
      <c r="D61" t="inlineStr">
        <is>
          <t>J. Agric. Food Chem.66(50): 13096-13106</t>
        </is>
      </c>
      <c r="E61" t="n">
        <v>2018.0</v>
      </c>
      <c r="F61"/>
      <c r="G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 66, (50), 13096-13106. doi:10.1021/acs.jafc.8b04548. ECOREF#:182588</t>
        </is>
      </c>
      <c r="H61" s="60" t="n">
        <f>HYPERLINK("https://scholar.google.com/scholar?hl=en&amp;as_q=&amp;as_oq=&amp;as_eq=&amp;as_sauthors=&amp;as_publication=&amp;as_ylo=&amp;as_yhi=&amp;as_occt=title&amp;as_sdt=0%2C5&amp;as_epq=%22Cultivar-Dependent+Accumulation+and+Translocation+of+Perfluorooctanesulfonate+Among+Lettuce+%28+Lactuca+sativa+L", "Google Scholar")</f>
        <v>0.0</v>
      </c>
    </row>
    <row r="62">
      <c r="A62" t="n">
        <v>187869.0</v>
      </c>
      <c r="B62" t="inlineStr">
        <is>
          <t>Yu,P.F., Y.W. Li, L.J. Zou, B.L. Liu, L. Xiang, H.M. Zhao, H. Li, Q.Y. Cai, X.W. Hou, C.H. Mo, M.H. Wong, and Q.X. Li</t>
        </is>
      </c>
      <c r="C62" t="inlineStr">
        <is>
          <t>Variety-Selective Rhizospheric Activation, Uptake, and Subcellular Distribution of Perfluorooctanesulfonate (PFOS) in Lettuce (Lactuca Sativa L.)</t>
        </is>
      </c>
      <c r="D62" t="inlineStr">
        <is>
          <t>Environ. Sci. Technol.55(13): 8730-8741</t>
        </is>
      </c>
      <c r="E62" t="n">
        <v>2021.0</v>
      </c>
      <c r="F62"/>
      <c r="G62" t="inlineStr">
        <is>
          <t>Yu,P.F., Y.W. Li, L.J. Zou, B.L. Liu, L. Xiang, H.M. Zhao, H. Li, Q.Y. Cai, X.W. Hou, C.H. Mo, M.H. Wong, and Q.X. Li (2021). Variety-Selective Rhizospheric Activation, Uptake, and Subcellular Distribution of Perfluorooctanesulfonate (PFOS) in Lettuce (Lactuca Sativa L.). Environ. Sci. Technol., 55, (13), 8730-8741. doi:10.1021/acs.est.1c01175. ECOREF#:187869</t>
        </is>
      </c>
      <c r="H62" s="61" t="n">
        <f>HYPERLINK("https://scholar.google.com/scholar?hl=en&amp;as_q=&amp;as_oq=&amp;as_eq=&amp;as_sauthors=&amp;as_publication=&amp;as_ylo=&amp;as_yhi=&amp;as_occt=title&amp;as_sdt=0%2C5&amp;as_epq=%22Variety-Selective+Rhizospheric+Activation%2C+Uptake%2C+and+Subcellular+Distribution+of+Perfluorooctanesulfonate+", "Google Scholar")</f>
        <v>0.0</v>
      </c>
    </row>
    <row r="63">
      <c r="A63" t="n">
        <v>184789.0</v>
      </c>
      <c r="B63" t="inlineStr">
        <is>
          <t>Yue,Y., S. Li, Z. Qian, R.F. Pereira, J. Lee, J.J. Doherty, Z. Zhang, Y. Peng, J.M. Clark, A.R. Timme-Laragy, and Y. Pa</t>
        </is>
      </c>
      <c r="C63" t="inlineStr">
        <is>
          <t>Perfluorooctanesulfonic Acid (PFOS) and Perfluorobutanesulfonic Acid (PFBS) Impaired Reproduction and Altered Offspring Physiological Functions in Caenorhabditis elegans</t>
        </is>
      </c>
      <c r="D63" t="inlineStr">
        <is>
          <t>Food Chem. Toxicol.145:8 p.</t>
        </is>
      </c>
      <c r="E63" t="n">
        <v>2020.0</v>
      </c>
      <c r="F63"/>
      <c r="G63" t="inlineStr">
        <is>
          <t>Yue,Y., S. Li, Z. Qian, R.F. Pereira, J. Lee, J.J. Doherty, Z. Zhang, Y. Peng, J.M. Clark, A.R. Timme-Laragy, and Y. Pa (2020). Perfluorooctanesulfonic Acid (PFOS) and Perfluorobutanesulfonic Acid (PFBS) Impaired Reproduction and Altered Offspring Physiological Functions in Caenorhabditis elegans. Food Chem. Toxicol., 145, 8 p. doi:10.1016/j.fct.2020.111695. ECOREF#:184789</t>
        </is>
      </c>
      <c r="H63" s="62" t="n">
        <f>HYPERLINK("https://scholar.google.com/scholar?hl=en&amp;as_q=&amp;as_oq=&amp;as_eq=&amp;as_sauthors=&amp;as_publication=&amp;as_ylo=&amp;as_yhi=&amp;as_occt=title&amp;as_sdt=0%2C5&amp;as_epq=%22Perfluorooctanesulfonic+Acid+%28PFOS%29+and+Perfluorobutanesulfonic+Acid+%28PFBS%29+Impaired+Reproduction+and+Al", "Google Scholar")</f>
        <v>0.0</v>
      </c>
    </row>
    <row r="64">
      <c r="A64" t="n">
        <v>187871.0</v>
      </c>
      <c r="B64" t="inlineStr">
        <is>
          <t>Zhang,L., Q. Wang, H. Chen, Y. Yao, and H. Sun</t>
        </is>
      </c>
      <c r="C64" t="inlineStr">
        <is>
          <t>Uptake and Translocation of Perfluoroalkyl Acids with Different Carbon Chain Lengths (C2-C8) in Wheat (Triticum aestivum L.) under the Effect of Copper Exposure</t>
        </is>
      </c>
      <c r="D64" t="inlineStr">
        <is>
          <t>Environ. Pollut.274:18p.</t>
        </is>
      </c>
      <c r="E64" t="n">
        <v>2021.0</v>
      </c>
      <c r="F64"/>
      <c r="G64"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c r="H64" s="63" t="n">
        <f>HYPERLINK("https://scholar.google.com/scholar?hl=en&amp;as_q=&amp;as_oq=&amp;as_eq=&amp;as_sauthors=&amp;as_publication=&amp;as_ylo=&amp;as_yhi=&amp;as_occt=title&amp;as_sdt=0%2C5&amp;as_epq=%22Uptake+and+Translocation+of+Perfluoroalkyl+Acids+with+Different+Carbon+Chain+Lengths+%28C2-C8%29+in+Wheat+%28Tri", "Google Scholar")</f>
        <v>0.0</v>
      </c>
    </row>
    <row r="65">
      <c r="A65" t="n">
        <v>191420.0</v>
      </c>
      <c r="B65" t="inlineStr">
        <is>
          <t>Zhang,Y., L. Zhao, Z. He, J. Zhang, B. Liu, X. Liu, and Y. Zhang</t>
        </is>
      </c>
      <c r="C65" t="inlineStr">
        <is>
          <t>Effect Mechanism of Low-Level PFOS Isomers to A. thaliana Leaves Using High-Throughput Untargeted Metabolomics</t>
        </is>
      </c>
      <c r="D65" t="inlineStr">
        <is>
          <t>Chem. Res. Chin. Univ.:472-480</t>
        </is>
      </c>
      <c r="E65" t="n">
        <v>2023.0</v>
      </c>
      <c r="F65"/>
      <c r="G65" t="inlineStr">
        <is>
          <t>Zhang,Y., L. Zhao, Z. He, J. Zhang, B. Liu, X. Liu, and Y. Zhang (2023). Effect Mechanism of Low-Level PFOS Isomers to A. thaliana Leaves Using High-Throughput Untargeted Metabolomics. Chem. Res. Chin. Univ., 472-480. doi:10.1007/s40242-023-3046-9. ECOREF#:191420</t>
        </is>
      </c>
      <c r="H65" s="64" t="n">
        <f>HYPERLINK("https://scholar.google.com/scholar?hl=en&amp;as_q=&amp;as_oq=&amp;as_eq=&amp;as_sauthors=&amp;as_publication=&amp;as_ylo=&amp;as_yhi=&amp;as_occt=title&amp;as_sdt=0%2C5&amp;as_epq=%22Effect+Mechanism+of+Low-Level+PFOS+Isomers+to+A.+thaliana+Leaves+Using+High-Throughput+Untargeted+Metabolomics", "Google Scholar")</f>
        <v>0.0</v>
      </c>
    </row>
    <row r="66">
      <c r="A66" t="n">
        <v>181669.0</v>
      </c>
      <c r="B66" t="inlineStr">
        <is>
          <t>Zhao,S., B. Wang, Z. Zhong, T. Liu, T. Liang, and J. Zhan</t>
        </is>
      </c>
      <c r="C66" t="inlineStr">
        <is>
          <t>Contributions of Enzymes and Gut Microbes to Biotransformation of Perfluorooctane Sulfonamide in Earthworms (Eisenia fetida)</t>
        </is>
      </c>
      <c r="D66" t="inlineStr">
        <is>
          <t>Chemosphere238:9 p.</t>
        </is>
      </c>
      <c r="E66" t="n">
        <v>2020.0</v>
      </c>
      <c r="F66"/>
      <c r="G66" t="inlineStr">
        <is>
          <t>Zhao,S., B. Wang, Z. Zhong, T. Liu, T. Liang, and J. Zhan (2020). Contributions of Enzymes and Gut Microbes to Biotransformation of Perfluorooctane Sulfonamide in Earthworms (Eisenia fetida). Chemosphere, 238, 9 p. ECOREF#:181669</t>
        </is>
      </c>
      <c r="H66" s="65" t="n">
        <f>HYPERLINK("https://scholar.google.com/scholar?hl=en&amp;as_q=&amp;as_oq=&amp;as_eq=&amp;as_sauthors=&amp;as_publication=&amp;as_ylo=&amp;as_yhi=&amp;as_occt=title&amp;as_sdt=0%2C5&amp;as_epq=%22Contributions+of+Enzymes+and+Gut+Microbes+to+Biotransformation+of+Perfluorooctane+Sulfonamide+in+Earthworms+%28E", "Google Scholar")</f>
        <v>0.0</v>
      </c>
    </row>
    <row r="67">
      <c r="A67" t="n">
        <v>179523.0</v>
      </c>
      <c r="B67" t="inlineStr">
        <is>
          <t>Zhao,S., T. Liang, L. Zhu, L. Yang, T. Liu, J. Fu, B. Wang, J. Zhan, and L. Liu</t>
        </is>
      </c>
      <c r="C67" t="inlineStr">
        <is>
          <t>Fate of 6:2 Fluorotelomer Sulfonic Acid in Pumpkin (Cucurbita maxima L.) Based on Hydroponic Culture: Uptake, Translocation and Biotransformation</t>
        </is>
      </c>
      <c r="D67" t="inlineStr">
        <is>
          <t>Environ. Pollut.252:804-812</t>
        </is>
      </c>
      <c r="E67" t="n">
        <v>2019.0</v>
      </c>
      <c r="F67"/>
      <c r="G67"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c r="H67" s="66" t="n">
        <f>HYPERLINK("https://scholar.google.com/scholar?hl=en&amp;as_q=&amp;as_oq=&amp;as_eq=&amp;as_sauthors=&amp;as_publication=&amp;as_ylo=&amp;as_yhi=&amp;as_occt=title&amp;as_sdt=0%2C5&amp;as_epq=%22Fate+of+6%3A2+Fluorotelomer+Sulfonic+Acid+in+Pumpkin+%28Cucurbita+maxima%C2%A0L.%29+Based+on+Hydroponic+Culture%", "Google Scholar")</f>
        <v>0.0</v>
      </c>
    </row>
    <row r="68">
      <c r="A68" t="n">
        <v>178036.0</v>
      </c>
      <c r="B68" t="inlineStr">
        <is>
          <t>Zhao,S., T. Liang, T. Zhou, D. Li, B. Wang, J. Zhan, and L. Liu</t>
        </is>
      </c>
      <c r="C68" t="inlineStr">
        <is>
          <t>Biotransformation and Responses of Antioxidant Enzymes in Hydroponically Cultured Soybean and Pumpkin Exposed to Perfluorooctane Sulfonamide (FOSA)</t>
        </is>
      </c>
      <c r="D68" t="inlineStr">
        <is>
          <t>Ecotoxicol. Environ. Saf.161:669-675</t>
        </is>
      </c>
      <c r="E68" t="n">
        <v>2018.0</v>
      </c>
      <c r="F68"/>
      <c r="G68" t="inlineStr">
        <is>
          <t>Zhao,S., T. Liang, T. Zhou, D. Li, B. Wang, J. Zhan, and L. Liu (2018). Biotransformation and Responses of Antioxidant Enzymes in Hydroponically Cultured Soybean and Pumpkin Exposed to Perfluorooctane Sulfonamide (FOSA). Ecotoxicol. Environ. Saf., 161, 669-675. doi:10.1016/j.ecoenv.2018.06.048. ECOREF#:178036</t>
        </is>
      </c>
      <c r="H68" s="67" t="n">
        <f>HYPERLINK("https://scholar.google.com/scholar?hl=en&amp;as_q=&amp;as_oq=&amp;as_eq=&amp;as_sauthors=&amp;as_publication=&amp;as_ylo=&amp;as_yhi=&amp;as_occt=title&amp;as_sdt=0%2C5&amp;as_epq=%22Biotransformation+and+Responses+of+Antioxidant+Enzymes+in+Hydroponically+Cultured+Soybean+and+Pumpkin+Exposed+to", "Google Scholar")</f>
        <v>0.0</v>
      </c>
    </row>
    <row r="69">
      <c r="A69" t="n">
        <v>177072.0</v>
      </c>
      <c r="B69" t="inlineStr">
        <is>
          <t>Zhao,S., T. Zhou, B. Wang, L. Zhu, M. Chen, D. Li, and L. Yang</t>
        </is>
      </c>
      <c r="C69" t="inlineStr">
        <is>
          <t>Different Biotransformation Behaviors of Perfluorooctane Sulfonamide in Wheat (Triticum aestivum L.) from Earthworms (Eisenia fetida)</t>
        </is>
      </c>
      <c r="D69" t="inlineStr">
        <is>
          <t>J. Hazard. Mater.346:191-198</t>
        </is>
      </c>
      <c r="E69" t="n">
        <v>2018.0</v>
      </c>
      <c r="F69"/>
      <c r="G69" t="inlineStr">
        <is>
          <t>Zhao,S., T. Zhou, B. Wang, L. Zhu, M. Chen, D. Li, and L. Yang (2018). Different Biotransformation Behaviors of Perfluorooctane Sulfonamide in Wheat (Triticum aestivum L.) from Earthworms (Eisenia fetida). J. Hazard. Mater., 346, 191-198. doi:10.1016/j.jhazmat.2017.12.018. ECOREF#:177072</t>
        </is>
      </c>
      <c r="H69" s="68" t="n">
        <f>HYPERLINK("https://scholar.google.com/scholar?hl=en&amp;as_q=&amp;as_oq=&amp;as_eq=&amp;as_sauthors=&amp;as_publication=&amp;as_ylo=&amp;as_yhi=&amp;as_occt=title&amp;as_sdt=0%2C5&amp;as_epq=%22Different+Biotransformation+Behaviors+of+Perfluorooctane+Sulfonamide+in+Wheat+%28Triticum+aestivum+L.%29+from+Ea", "Google Scholar")</f>
        <v>0.0</v>
      </c>
    </row>
    <row r="70">
      <c r="A70" t="n">
        <v>184740.0</v>
      </c>
      <c r="B70" t="inlineStr">
        <is>
          <t>Zhou,Y., T. Wang, T. Jiang, X. Kong, Q. Li, Y. Sun, P. Wang, and Z. Liu</t>
        </is>
      </c>
      <c r="C70" t="inlineStr">
        <is>
          <t>Ecological Effect and Risk Towards Aquatic Plants Induced by Perfluoroalkyl Substances: Bridging Natural to Culturing Flora</t>
        </is>
      </c>
      <c r="D70" t="inlineStr">
        <is>
          <t>Chemosphere167:98-106</t>
        </is>
      </c>
      <c r="E70" t="n">
        <v>2017.0</v>
      </c>
      <c r="F70"/>
      <c r="G70" t="inlineStr">
        <is>
          <t>Zhou,Y., T. Wang, T. Jiang, X. Kong, Q. Li, Y. Sun, P. Wang, and Z. Liu (2017). Ecological Effect and Risk Towards Aquatic Plants Induced by Perfluoroalkyl Substances: Bridging Natural to Culturing Flora. Chemosphere, 167, 98-106. doi:10.1016/j.chemosphere.2016.09.146. ECOREF#:184740</t>
        </is>
      </c>
      <c r="H70" s="69" t="n">
        <f>HYPERLINK("https://scholar.google.com/scholar?hl=en&amp;as_q=&amp;as_oq=&amp;as_eq=&amp;as_sauthors=&amp;as_publication=&amp;as_ylo=&amp;as_yhi=&amp;as_occt=title&amp;as_sdt=0%2C5&amp;as_epq=%22Ecological+Effect+and+Risk+Towards+Aquatic+Plants+Induced+by+Perfluoroalkyl+Substances%3A+Bridging+Natural+to+Cu",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70" t="n">
        <v>46190.67077546296</v>
      </c>
    </row>
    <row r="3">
      <c r="A3"/>
      <c r="B3"/>
      <c r="C3"/>
      <c r="D3"/>
      <c r="E3"/>
      <c r="F3"/>
      <c r="G3"/>
    </row>
    <row r="4">
      <c r="A4" t="inlineStr">
        <is>
          <t>Habitat</t>
        </is>
      </c>
      <c r="B4"/>
      <c r="C4"/>
      <c r="D4"/>
      <c r="E4"/>
      <c r="F4"/>
      <c r="G4"/>
    </row>
    <row r="5">
      <c r="A5"/>
      <c r="B5"/>
      <c r="C5" t="inlineStr">
        <is>
          <t>Terrestrial</t>
        </is>
      </c>
      <c r="D5" t="inlineStr">
        <is>
          <t>Terrestrial</t>
        </is>
      </c>
      <c r="E5"/>
      <c r="F5"/>
      <c r="G5"/>
    </row>
    <row r="6">
      <c r="A6"/>
      <c r="B6"/>
      <c r="C6"/>
      <c r="D6"/>
      <c r="E6"/>
      <c r="F6"/>
      <c r="G6"/>
    </row>
    <row r="7">
      <c r="A7" t="inlineStr">
        <is>
          <t>Chemicals</t>
        </is>
      </c>
      <c r="B7"/>
      <c r="C7"/>
      <c r="D7"/>
      <c r="E7"/>
      <c r="F7"/>
      <c r="G7"/>
    </row>
    <row r="8">
      <c r="A8"/>
      <c r="B8"/>
      <c r="C8" t="inlineStr">
        <is>
          <t>Name(s) / Number(s)</t>
        </is>
      </c>
      <c r="D8" t="inlineStr">
        <is>
          <t>PFOS</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2026-06-17T20:05:54Z</dcterms:created>
  <dc:creator>Apache POI</dc:creator>
</cp:coreProperties>
</file>