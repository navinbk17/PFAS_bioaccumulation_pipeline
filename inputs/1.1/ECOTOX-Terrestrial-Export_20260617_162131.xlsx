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restrial-Export" r:id="rId3" sheetId="1"/>
    <sheet name="References" r:id="rId4" sheetId="2"/>
    <sheet name="Search_Parameter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sz val="11.0"/>
      <color indexed="8"/>
      <name val="Calibri"/>
      <family val="2"/>
      <scheme val="minor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true"/>
    <xf numFmtId="0" fontId="4" fillId="0" borderId="0" xfId="0" applyFont="true"/>
    <xf numFmtId="0" fontId="6" fillId="0" borderId="0" xfId="0" applyFont="true"/>
    <xf numFmtId="0" fontId="8" fillId="0" borderId="0" xfId="0" applyFont="true"/>
    <xf numFmtId="164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CAS Number</t>
        </is>
      </c>
      <c r="B1" t="inlineStr">
        <is>
          <t>Chemical Name</t>
        </is>
      </c>
      <c r="C1" t="inlineStr">
        <is>
          <t>Chemical Grade</t>
        </is>
      </c>
      <c r="D1" t="inlineStr">
        <is>
          <t>Chemical Analysis Method</t>
        </is>
      </c>
      <c r="E1" t="inlineStr">
        <is>
          <t>Chemical Purity Mean Op</t>
        </is>
      </c>
      <c r="F1" t="inlineStr">
        <is>
          <t>Chemical Purity Mean(%)</t>
        </is>
      </c>
      <c r="G1" t="inlineStr">
        <is>
          <t>Chemical Purity Min Op</t>
        </is>
      </c>
      <c r="H1" t="inlineStr">
        <is>
          <t>Chemical Purity Min(%)</t>
        </is>
      </c>
      <c r="I1" t="inlineStr">
        <is>
          <t>Chemical Purity Max Op</t>
        </is>
      </c>
      <c r="J1" t="inlineStr">
        <is>
          <t>Chemical Purity Max(%)</t>
        </is>
      </c>
      <c r="K1" t="inlineStr">
        <is>
          <t>Species Scientific Name</t>
        </is>
      </c>
      <c r="L1" t="inlineStr">
        <is>
          <t>Species Common Name</t>
        </is>
      </c>
      <c r="M1" t="inlineStr">
        <is>
          <t>Species Group</t>
        </is>
      </c>
      <c r="N1" t="inlineStr">
        <is>
          <t>Organism Lifestage</t>
        </is>
      </c>
      <c r="O1" t="inlineStr">
        <is>
          <t>Organism Age Mean Op</t>
        </is>
      </c>
      <c r="P1" t="inlineStr">
        <is>
          <t>Organism Age Mean</t>
        </is>
      </c>
      <c r="Q1" t="inlineStr">
        <is>
          <t>Organism Age Min Op</t>
        </is>
      </c>
      <c r="R1" t="inlineStr">
        <is>
          <t>Organism Age Min</t>
        </is>
      </c>
      <c r="S1" t="inlineStr">
        <is>
          <t>Organism Age Max Op</t>
        </is>
      </c>
      <c r="T1" t="inlineStr">
        <is>
          <t>Organism Age Max</t>
        </is>
      </c>
      <c r="U1" t="inlineStr">
        <is>
          <t>Organism Age Units</t>
        </is>
      </c>
      <c r="V1" t="inlineStr">
        <is>
          <t>Exposure Type</t>
        </is>
      </c>
      <c r="W1" t="inlineStr">
        <is>
          <t>Media Type</t>
        </is>
      </c>
      <c r="X1" t="inlineStr">
        <is>
          <t>Test Location</t>
        </is>
      </c>
      <c r="Y1" t="inlineStr">
        <is>
          <t>Number of Doses</t>
        </is>
      </c>
      <c r="Z1" t="inlineStr">
        <is>
          <t>Conc 1 Type (Author)</t>
        </is>
      </c>
      <c r="AA1" t="inlineStr">
        <is>
          <t>Conc 1 Mean Op (Author)</t>
        </is>
      </c>
      <c r="AB1" t="inlineStr">
        <is>
          <t>Conc 1 Mean (Author)</t>
        </is>
      </c>
      <c r="AC1" t="inlineStr">
        <is>
          <t>Conc 1 Min Op (Author)</t>
        </is>
      </c>
      <c r="AD1" t="inlineStr">
        <is>
          <t>Conc Min 1 (Author)</t>
        </is>
      </c>
      <c r="AE1" t="inlineStr">
        <is>
          <t>Conc 1 Max Op (Author)</t>
        </is>
      </c>
      <c r="AF1" t="inlineStr">
        <is>
          <t>Conc 1 Max (Author)</t>
        </is>
      </c>
      <c r="AG1" t="inlineStr">
        <is>
          <t>Conc 1 Units (Author)</t>
        </is>
      </c>
      <c r="AH1" t="inlineStr">
        <is>
          <t>Conc 2 Type (Author)</t>
        </is>
      </c>
      <c r="AI1" t="inlineStr">
        <is>
          <t>Conc 2 Mean Op (Author)</t>
        </is>
      </c>
      <c r="AJ1" t="inlineStr">
        <is>
          <t>Conc 2 Mean (Author)</t>
        </is>
      </c>
      <c r="AK1" t="inlineStr">
        <is>
          <t>Conc 2 Min Op (Author)</t>
        </is>
      </c>
      <c r="AL1" t="inlineStr">
        <is>
          <t>Conc Min 2 (Author)</t>
        </is>
      </c>
      <c r="AM1" t="inlineStr">
        <is>
          <t>Conc 2 Max Op (Author)</t>
        </is>
      </c>
      <c r="AN1" t="inlineStr">
        <is>
          <t>Conc 2 Max (Author)</t>
        </is>
      </c>
      <c r="AO1" t="inlineStr">
        <is>
          <t>Conc 2 Units (Author)</t>
        </is>
      </c>
      <c r="AP1" t="inlineStr">
        <is>
          <t>Conc 3 Type (Author)</t>
        </is>
      </c>
      <c r="AQ1" t="inlineStr">
        <is>
          <t>Conc 3 Mean Op (Author)</t>
        </is>
      </c>
      <c r="AR1" t="inlineStr">
        <is>
          <t>Conc 3 Mean (Author)</t>
        </is>
      </c>
      <c r="AS1" t="inlineStr">
        <is>
          <t>Conc 3 Min Op (Author)</t>
        </is>
      </c>
      <c r="AT1" t="inlineStr">
        <is>
          <t>Conc Min 3 (Author)</t>
        </is>
      </c>
      <c r="AU1" t="inlineStr">
        <is>
          <t>Conc 3 Max Op (Author)</t>
        </is>
      </c>
      <c r="AV1" t="inlineStr">
        <is>
          <t>Conc 3 Max (Author)</t>
        </is>
      </c>
      <c r="AW1" t="inlineStr">
        <is>
          <t>Conc 3 Units (Author)</t>
        </is>
      </c>
      <c r="AX1" t="inlineStr">
        <is>
          <t>Effect</t>
        </is>
      </c>
      <c r="AY1" t="inlineStr">
        <is>
          <t>Effect Measurement</t>
        </is>
      </c>
      <c r="AZ1" t="inlineStr">
        <is>
          <t>Endpoint</t>
        </is>
      </c>
      <c r="BA1" t="inlineStr">
        <is>
          <t>Observed Response Mean Op</t>
        </is>
      </c>
      <c r="BB1" t="inlineStr">
        <is>
          <t>Observed Response Mean</t>
        </is>
      </c>
      <c r="BC1" t="inlineStr">
        <is>
          <t>Observed Response Min Op</t>
        </is>
      </c>
      <c r="BD1" t="inlineStr">
        <is>
          <t>Observed Response Min</t>
        </is>
      </c>
      <c r="BE1" t="inlineStr">
        <is>
          <t>Observed Response Max Op</t>
        </is>
      </c>
      <c r="BF1" t="inlineStr">
        <is>
          <t>Observed Response Max</t>
        </is>
      </c>
      <c r="BG1" t="inlineStr">
        <is>
          <t>Result Statistical Method</t>
        </is>
      </c>
      <c r="BH1" t="inlineStr">
        <is>
          <t>Observed Response Value</t>
        </is>
      </c>
      <c r="BI1" t="inlineStr">
        <is>
          <t>Observed Response Units</t>
        </is>
      </c>
      <c r="BJ1" t="inlineStr">
        <is>
          <t>Response Site</t>
        </is>
      </c>
      <c r="BK1" t="inlineStr">
        <is>
          <t>Observed Duration Op (Days)</t>
        </is>
      </c>
      <c r="BL1" t="inlineStr">
        <is>
          <t>Observed Duration (Days)</t>
        </is>
      </c>
      <c r="BM1" t="inlineStr">
        <is>
          <t>Observed Duration Min Op (Days)</t>
        </is>
      </c>
      <c r="BN1" t="inlineStr">
        <is>
          <t>Observed Duration Min (Days)</t>
        </is>
      </c>
      <c r="BO1" t="inlineStr">
        <is>
          <t>Observed Duration Max Op (Days)</t>
        </is>
      </c>
      <c r="BP1" t="inlineStr">
        <is>
          <t>Observed Duration Max (Days)</t>
        </is>
      </c>
      <c r="BQ1" t="inlineStr">
        <is>
          <t>Observed Duration Units (Days)</t>
        </is>
      </c>
      <c r="BR1" t="inlineStr">
        <is>
          <t>Author</t>
        </is>
      </c>
      <c r="BS1" t="inlineStr">
        <is>
          <t>Reference Number</t>
        </is>
      </c>
      <c r="BT1" t="inlineStr">
        <is>
          <t>Title</t>
        </is>
      </c>
      <c r="BU1" t="inlineStr">
        <is>
          <t>Source</t>
        </is>
      </c>
      <c r="BV1" t="inlineStr">
        <is>
          <t>Publication Year</t>
        </is>
      </c>
      <c r="BW1" t="inlineStr">
        <is>
          <t>Citation</t>
        </is>
      </c>
    </row>
    <row r="2">
      <c r="A2" t="n">
        <v>1763231.0</v>
      </c>
      <c r="B2" t="inlineStr">
        <is>
          <t>1,1,2,2,3,3,4,4,5,5,6,6,7,7,8,8,8-Heptadecafluoro-1-octanesulfonic acid</t>
        </is>
      </c>
      <c r="C2"/>
      <c r="D2" t="inlineStr">
        <is>
          <t>Unmeasured</t>
        </is>
      </c>
      <c r="E2"/>
      <c r="F2"/>
      <c r="G2"/>
      <c r="H2"/>
      <c r="I2"/>
      <c r="J2"/>
      <c r="K2" t="inlineStr">
        <is>
          <t>Mus musculus</t>
        </is>
      </c>
      <c r="L2" t="inlineStr">
        <is>
          <t>House Mouse</t>
        </is>
      </c>
      <c r="M2" t="inlineStr">
        <is>
          <t>Mammals; Standard Test Species</t>
        </is>
      </c>
      <c r="N2"/>
      <c r="O2"/>
      <c r="P2"/>
      <c r="Q2"/>
      <c r="R2" t="n">
        <v>6.0</v>
      </c>
      <c r="S2"/>
      <c r="T2" t="n">
        <v>8.0</v>
      </c>
      <c r="U2" t="inlineStr">
        <is>
          <t>Week(s)</t>
        </is>
      </c>
      <c r="V2" t="inlineStr">
        <is>
          <t>Gavage</t>
        </is>
      </c>
      <c r="W2" t="inlineStr">
        <is>
          <t>Not reported</t>
        </is>
      </c>
      <c r="X2" t="inlineStr">
        <is>
          <t>Lab</t>
        </is>
      </c>
      <c r="Y2" t="n">
        <v>2.0</v>
      </c>
      <c r="Z2" t="inlineStr">
        <is>
          <t>Formulation</t>
        </is>
      </c>
      <c r="AA2"/>
      <c r="AB2" t="n">
        <v>2.5</v>
      </c>
      <c r="AC2"/>
      <c r="AD2"/>
      <c r="AE2"/>
      <c r="AF2"/>
      <c r="AG2" t="inlineStr">
        <is>
          <t>mg/kg bdwt</t>
        </is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 t="inlineStr">
        <is>
          <t>Accumulation</t>
        </is>
      </c>
      <c r="AY2" t="inlineStr">
        <is>
          <t>Residue</t>
        </is>
      </c>
      <c r="AZ2" t="inlineStr">
        <is>
          <t>NOEL</t>
        </is>
      </c>
      <c r="BA2"/>
      <c r="BB2" t="n">
        <v>2.5</v>
      </c>
      <c r="BC2"/>
      <c r="BD2"/>
      <c r="BE2"/>
      <c r="BF2"/>
      <c r="BG2"/>
      <c r="BH2"/>
      <c r="BI2" t="inlineStr">
        <is>
          <t>mg/kg bdwt</t>
        </is>
      </c>
      <c r="BJ2" t="inlineStr">
        <is>
          <t>Serum</t>
        </is>
      </c>
      <c r="BK2"/>
      <c r="BL2" t="n">
        <v>5.0</v>
      </c>
      <c r="BM2"/>
      <c r="BN2"/>
      <c r="BO2"/>
      <c r="BP2"/>
      <c r="BQ2" t="inlineStr">
        <is>
          <t>Day(s)</t>
        </is>
      </c>
      <c r="BR2" t="inlineStr">
        <is>
          <t>Diaz,O.E., C. Sorini, R.A. Morales, X. Luo, A. Frede, A.M. Krais, M.N. Chavez, E. Wincent, S.U. Das, and E.J. Villablan</t>
        </is>
      </c>
      <c r="BS2" t="n">
        <v>191177.0</v>
      </c>
      <c r="BT2" t="inlineStr">
        <is>
          <t>Perfluorooctanesulfonic Acid Modulates Barrier Function and Systemic T-Cell Homeostasis During Intestinal Inflammation</t>
        </is>
      </c>
      <c r="BU2" t="inlineStr">
        <is>
          <t>Dis. Model. Mech.14(12): 1-11</t>
        </is>
      </c>
      <c r="BV2" t="n">
        <v>2021.0</v>
      </c>
      <c r="BW2" t="inlineStr">
        <is>
          <t>Diaz,O.E., C. Sorini, R.A. Morales, X. Luo, A. Frede, A.M. Krais, M.N. Chavez, E. Wincent, S.U. Das, and E.J. Villablan (2021). Perfluorooctanesulfonic Acid Modulates Barrier Function and Systemic T-Cell Homeostasis During Intestinal Inflammation. Dis. Model. Mech., 14, (12), 1-11. doi:10.1242/dmm.049104. ECOREF#:191177</t>
        </is>
      </c>
    </row>
    <row r="3">
      <c r="A3" t="n">
        <v>1763231.0</v>
      </c>
      <c r="B3" t="inlineStr">
        <is>
          <t>1,1,2,2,3,3,4,4,5,5,6,6,7,7,8,8,8-Heptadecafluoro-1-octanesulfonic acid</t>
        </is>
      </c>
      <c r="C3"/>
      <c r="D3" t="inlineStr">
        <is>
          <t>Unmeasured</t>
        </is>
      </c>
      <c r="E3"/>
      <c r="F3"/>
      <c r="G3"/>
      <c r="H3"/>
      <c r="I3"/>
      <c r="J3"/>
      <c r="K3" t="inlineStr">
        <is>
          <t>Mus musculus</t>
        </is>
      </c>
      <c r="L3" t="inlineStr">
        <is>
          <t>House Mouse</t>
        </is>
      </c>
      <c r="M3" t="inlineStr">
        <is>
          <t>Mammals; Standard Test Species</t>
        </is>
      </c>
      <c r="N3"/>
      <c r="O3"/>
      <c r="P3"/>
      <c r="Q3"/>
      <c r="R3" t="n">
        <v>6.0</v>
      </c>
      <c r="S3"/>
      <c r="T3" t="n">
        <v>8.0</v>
      </c>
      <c r="U3" t="inlineStr">
        <is>
          <t>Week(s)</t>
        </is>
      </c>
      <c r="V3" t="inlineStr">
        <is>
          <t>Gavage</t>
        </is>
      </c>
      <c r="W3" t="inlineStr">
        <is>
          <t>Not reported</t>
        </is>
      </c>
      <c r="X3" t="inlineStr">
        <is>
          <t>Lab</t>
        </is>
      </c>
      <c r="Y3" t="n">
        <v>2.0</v>
      </c>
      <c r="Z3" t="inlineStr">
        <is>
          <t>Formulation</t>
        </is>
      </c>
      <c r="AA3"/>
      <c r="AB3" t="n">
        <v>2.5</v>
      </c>
      <c r="AC3"/>
      <c r="AD3"/>
      <c r="AE3"/>
      <c r="AF3"/>
      <c r="AG3" t="inlineStr">
        <is>
          <t>mg/kg bdwt</t>
        </is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 t="inlineStr">
        <is>
          <t>Accumulation</t>
        </is>
      </c>
      <c r="AY3" t="inlineStr">
        <is>
          <t>Residue</t>
        </is>
      </c>
      <c r="AZ3" t="inlineStr">
        <is>
          <t>NOEL</t>
        </is>
      </c>
      <c r="BA3"/>
      <c r="BB3" t="n">
        <v>2.5</v>
      </c>
      <c r="BC3"/>
      <c r="BD3"/>
      <c r="BE3"/>
      <c r="BF3"/>
      <c r="BG3"/>
      <c r="BH3"/>
      <c r="BI3" t="inlineStr">
        <is>
          <t>mg/kg bdwt</t>
        </is>
      </c>
      <c r="BJ3" t="inlineStr">
        <is>
          <t>Liver</t>
        </is>
      </c>
      <c r="BK3"/>
      <c r="BL3" t="n">
        <v>5.0</v>
      </c>
      <c r="BM3"/>
      <c r="BN3"/>
      <c r="BO3"/>
      <c r="BP3"/>
      <c r="BQ3" t="inlineStr">
        <is>
          <t>Day(s)</t>
        </is>
      </c>
      <c r="BR3" t="inlineStr">
        <is>
          <t>Diaz,O.E., C. Sorini, R.A. Morales, X. Luo, A. Frede, A.M. Krais, M.N. Chavez, E. Wincent, S.U. Das, and E.J. Villablan</t>
        </is>
      </c>
      <c r="BS3" t="n">
        <v>191177.0</v>
      </c>
      <c r="BT3" t="inlineStr">
        <is>
          <t>Perfluorooctanesulfonic Acid Modulates Barrier Function and Systemic T-Cell Homeostasis During Intestinal Inflammation</t>
        </is>
      </c>
      <c r="BU3" t="inlineStr">
        <is>
          <t>Dis. Model. Mech.14(12): 1-11</t>
        </is>
      </c>
      <c r="BV3" t="n">
        <v>2021.0</v>
      </c>
      <c r="BW3" t="inlineStr">
        <is>
          <t>Diaz,O.E., C. Sorini, R.A. Morales, X. Luo, A. Frede, A.M. Krais, M.N. Chavez, E. Wincent, S.U. Das, and E.J. Villablan (2021). Perfluorooctanesulfonic Acid Modulates Barrier Function and Systemic T-Cell Homeostasis During Intestinal Inflammation. Dis. Model. Mech., 14, (12), 1-11. doi:10.1242/dmm.049104. ECOREF#:191177</t>
        </is>
      </c>
    </row>
    <row r="4">
      <c r="A4" t="n">
        <v>2795393.0</v>
      </c>
      <c r="B4" t="inlineStr">
        <is>
          <t>1,1,2,2,3,3,4,4,5,5,6,6,7,7,8,8,8-Heptadecafluoro-1-octanesulfonic acid potassium salt</t>
        </is>
      </c>
      <c r="C4"/>
      <c r="D4" t="inlineStr">
        <is>
          <t>Chemical analysis reported</t>
        </is>
      </c>
      <c r="E4" t="inlineStr">
        <is>
          <t>&gt;=</t>
        </is>
      </c>
      <c r="F4" t="n">
        <v>98.0</v>
      </c>
      <c r="G4"/>
      <c r="H4"/>
      <c r="I4"/>
      <c r="J4"/>
      <c r="K4" t="inlineStr">
        <is>
          <t>Peromyscus leucopus</t>
        </is>
      </c>
      <c r="L4" t="inlineStr">
        <is>
          <t>White-Footed Mouse</t>
        </is>
      </c>
      <c r="M4" t="inlineStr">
        <is>
          <t>Mammals</t>
        </is>
      </c>
      <c r="N4" t="inlineStr">
        <is>
          <t>Adult</t>
        </is>
      </c>
      <c r="O4"/>
      <c r="P4"/>
      <c r="Q4"/>
      <c r="R4"/>
      <c r="S4"/>
      <c r="T4"/>
      <c r="U4"/>
      <c r="V4" t="inlineStr">
        <is>
          <t>Gavage</t>
        </is>
      </c>
      <c r="W4" t="inlineStr">
        <is>
          <t>No substrate</t>
        </is>
      </c>
      <c r="X4" t="inlineStr">
        <is>
          <t>Lab</t>
        </is>
      </c>
      <c r="Y4" t="n">
        <v>4.0</v>
      </c>
      <c r="Z4" t="inlineStr">
        <is>
          <t>Active ingredient</t>
        </is>
      </c>
      <c r="AA4"/>
      <c r="AB4" t="n">
        <v>2.5</v>
      </c>
      <c r="AC4"/>
      <c r="AD4"/>
      <c r="AE4"/>
      <c r="AF4"/>
      <c r="AG4" t="inlineStr">
        <is>
          <t>mg/kg bdwt/d</t>
        </is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 t="inlineStr">
        <is>
          <t>Accumulation</t>
        </is>
      </c>
      <c r="AY4" t="inlineStr">
        <is>
          <t>Residue</t>
        </is>
      </c>
      <c r="AZ4"/>
      <c r="BA4"/>
      <c r="BB4" t="n">
        <v>2.5</v>
      </c>
      <c r="BC4"/>
      <c r="BD4"/>
      <c r="BE4"/>
      <c r="BF4"/>
      <c r="BG4"/>
      <c r="BH4"/>
      <c r="BI4" t="inlineStr">
        <is>
          <t>mg/kg bdwt/d</t>
        </is>
      </c>
      <c r="BJ4" t="inlineStr">
        <is>
          <t>Serum</t>
        </is>
      </c>
      <c r="BK4"/>
      <c r="BL4"/>
      <c r="BM4"/>
      <c r="BN4" t="n">
        <v>14.0</v>
      </c>
      <c r="BO4"/>
      <c r="BP4" t="n">
        <v>28.0</v>
      </c>
      <c r="BQ4" t="inlineStr">
        <is>
          <t>Day(s)</t>
        </is>
      </c>
      <c r="BR4" t="inlineStr">
        <is>
          <t>Narizzano,A.M., M.E. Bohannon, A.G. East, C. McDonough, S. Choyke, C.P. Higgins, and M.J.,Jr. Quinn</t>
        </is>
      </c>
      <c r="BS4" t="n">
        <v>187172.0</v>
      </c>
      <c r="BT4" t="inlineStr">
        <is>
          <t>Patterns in Serum Toxicokinetics in Peromyscus Exposed to PFAS</t>
        </is>
      </c>
      <c r="BU4" t="inlineStr">
        <is>
          <t>Environ. Toxicol. Chem.40(10): 2886-2898</t>
        </is>
      </c>
      <c r="BV4" t="n">
        <v>2021.0</v>
      </c>
      <c r="BW4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</row>
    <row r="5">
      <c r="A5" t="n">
        <v>2795393.0</v>
      </c>
      <c r="B5" t="inlineStr">
        <is>
          <t>1,1,2,2,3,3,4,4,5,5,6,6,7,7,8,8,8-Heptadecafluoro-1-octanesulfonic acid potassium salt</t>
        </is>
      </c>
      <c r="C5"/>
      <c r="D5" t="inlineStr">
        <is>
          <t>Unmeasured</t>
        </is>
      </c>
      <c r="E5" t="inlineStr">
        <is>
          <t>&gt;</t>
        </is>
      </c>
      <c r="F5" t="n">
        <v>98.0</v>
      </c>
      <c r="G5"/>
      <c r="H5"/>
      <c r="I5"/>
      <c r="J5"/>
      <c r="K5" t="inlineStr">
        <is>
          <t>Rattus norvegicus</t>
        </is>
      </c>
      <c r="L5" t="inlineStr">
        <is>
          <t>Norway Rat</t>
        </is>
      </c>
      <c r="M5" t="inlineStr">
        <is>
          <t>Mammals; Standard Test Species</t>
        </is>
      </c>
      <c r="N5"/>
      <c r="O5" t="inlineStr">
        <is>
          <t>~</t>
        </is>
      </c>
      <c r="P5" t="n">
        <v>11.0</v>
      </c>
      <c r="Q5"/>
      <c r="R5"/>
      <c r="S5"/>
      <c r="T5"/>
      <c r="U5" t="inlineStr">
        <is>
          <t>Week(s)</t>
        </is>
      </c>
      <c r="V5" t="inlineStr">
        <is>
          <t>Gavage</t>
        </is>
      </c>
      <c r="W5" t="inlineStr">
        <is>
          <t>No substrate</t>
        </is>
      </c>
      <c r="X5" t="inlineStr">
        <is>
          <t>Lab</t>
        </is>
      </c>
      <c r="Y5" t="n">
        <v>2.0</v>
      </c>
      <c r="Z5" t="inlineStr">
        <is>
          <t>Active ingredient</t>
        </is>
      </c>
      <c r="AA5"/>
      <c r="AB5" t="n">
        <v>10.0</v>
      </c>
      <c r="AC5"/>
      <c r="AD5"/>
      <c r="AE5"/>
      <c r="AF5"/>
      <c r="AG5" t="inlineStr">
        <is>
          <t>mg/kg bdwt/d</t>
        </is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 t="inlineStr">
        <is>
          <t>Accumulation</t>
        </is>
      </c>
      <c r="AY5" t="inlineStr">
        <is>
          <t>Residue</t>
        </is>
      </c>
      <c r="AZ5"/>
      <c r="BA5"/>
      <c r="BB5" t="n">
        <v>10.0</v>
      </c>
      <c r="BC5"/>
      <c r="BD5"/>
      <c r="BE5"/>
      <c r="BF5"/>
      <c r="BG5"/>
      <c r="BH5"/>
      <c r="BI5" t="inlineStr">
        <is>
          <t>mg/kg bdwt/d</t>
        </is>
      </c>
      <c r="BJ5" t="inlineStr">
        <is>
          <t>Multiple entries</t>
        </is>
      </c>
      <c r="BK5"/>
      <c r="BL5"/>
      <c r="BM5"/>
      <c r="BN5" t="n">
        <v>2.0</v>
      </c>
      <c r="BO5"/>
      <c r="BP5" t="n">
        <v>6.0</v>
      </c>
      <c r="BQ5" t="inlineStr">
        <is>
          <t>Day(s)</t>
        </is>
      </c>
      <c r="BR5" t="inlineStr">
        <is>
          <t>Martin,M.T., R.J. Brennan, W. Hu, E. Ayanoglu, C. Lau, H. Ren, C.R. Wood, J.C. Corton, R.J. Kavlock, and D.J. Dix</t>
        </is>
      </c>
      <c r="BS5" t="n">
        <v>104399.0</v>
      </c>
      <c r="BT5" t="inlineStr">
        <is>
          <t>Toxicogenomic Study of Triazole Fungicides and Perfluoroalkyl Acids in Rat Livers Predicts Toxicity and Categorizes Chemicals Based on Mechanisms of Toxicity</t>
        </is>
      </c>
      <c r="BU5" t="inlineStr">
        <is>
          <t>Toxicol. Sci.97(2): 595-613</t>
        </is>
      </c>
      <c r="BV5" t="n">
        <v>2007.0</v>
      </c>
      <c r="BW5" t="inlineStr">
        <is>
          <t>Martin,M.T., R.J. Brennan, W. Hu, E. Ayanoglu, C. Lau, H. Ren, C.R. Wood, J.C. Corton, R.J. Kavlock, and D.J. Dix (2007). Toxicogenomic Study of Triazole Fungicides and Perfluoroalkyl Acids in Rat Livers Predicts Toxicity and Categorizes Chemicals Based on Mechanisms of Toxicity. Toxicol. Sci., 97, (2), 595-613. doi:10.1093/toxsci/kfm065. ECOREF#:104399</t>
        </is>
      </c>
    </row>
    <row r="6">
      <c r="A6" t="n">
        <v>2795393.0</v>
      </c>
      <c r="B6" t="inlineStr">
        <is>
          <t>1,1,2,2,3,3,4,4,5,5,6,6,7,7,8,8,8-Heptadecafluoro-1-octanesulfonic acid potassium salt</t>
        </is>
      </c>
      <c r="C6"/>
      <c r="D6" t="inlineStr">
        <is>
          <t>Unmeasured</t>
        </is>
      </c>
      <c r="E6"/>
      <c r="F6"/>
      <c r="G6"/>
      <c r="H6"/>
      <c r="I6"/>
      <c r="J6"/>
      <c r="K6" t="inlineStr">
        <is>
          <t>Rattus norvegicus</t>
        </is>
      </c>
      <c r="L6" t="inlineStr">
        <is>
          <t>Norway Rat</t>
        </is>
      </c>
      <c r="M6" t="inlineStr">
        <is>
          <t>Mammals; Standard Test Species</t>
        </is>
      </c>
      <c r="N6"/>
      <c r="O6"/>
      <c r="P6" t="n">
        <v>60.0</v>
      </c>
      <c r="Q6"/>
      <c r="R6"/>
      <c r="S6"/>
      <c r="T6"/>
      <c r="U6" t="inlineStr">
        <is>
          <t>Day(s)</t>
        </is>
      </c>
      <c r="V6" t="inlineStr">
        <is>
          <t>Gavage</t>
        </is>
      </c>
      <c r="W6" t="inlineStr">
        <is>
          <t>No substrate</t>
        </is>
      </c>
      <c r="X6" t="inlineStr">
        <is>
          <t>Lab</t>
        </is>
      </c>
      <c r="Y6" t="n">
        <v>2.0</v>
      </c>
      <c r="Z6" t="inlineStr">
        <is>
          <t>Formulation</t>
        </is>
      </c>
      <c r="AA6"/>
      <c r="AB6" t="n">
        <v>5.0</v>
      </c>
      <c r="AC6"/>
      <c r="AD6"/>
      <c r="AE6"/>
      <c r="AF6"/>
      <c r="AG6" t="inlineStr">
        <is>
          <t>mg/kg/d</t>
        </is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 t="inlineStr">
        <is>
          <t>Accumulation</t>
        </is>
      </c>
      <c r="AY6" t="inlineStr">
        <is>
          <t>Residue</t>
        </is>
      </c>
      <c r="AZ6"/>
      <c r="BA6"/>
      <c r="BB6" t="n">
        <v>5.0</v>
      </c>
      <c r="BC6"/>
      <c r="BD6"/>
      <c r="BE6"/>
      <c r="BF6"/>
      <c r="BG6"/>
      <c r="BH6"/>
      <c r="BI6" t="inlineStr">
        <is>
          <t>mg/kg/d</t>
        </is>
      </c>
      <c r="BJ6" t="inlineStr">
        <is>
          <t>Liver</t>
        </is>
      </c>
      <c r="BK6"/>
      <c r="BL6" t="n">
        <v>21.0</v>
      </c>
      <c r="BM6"/>
      <c r="BN6"/>
      <c r="BO6"/>
      <c r="BP6"/>
      <c r="BQ6" t="inlineStr">
        <is>
          <t>Day(s)</t>
        </is>
      </c>
      <c r="BR6" t="inlineStr">
        <is>
          <t>Hu,W., P.D. Jones, B.L. Upham, J.E. Trosko, C. Lau, and J.P. Giesy</t>
        </is>
      </c>
      <c r="BS6" t="n">
        <v>178466.0</v>
      </c>
      <c r="BT6" t="inlineStr">
        <is>
          <t>Inhibition of Gap Junctional Intercellular Communication by Perfluorinated Compounds in Rat Liver and Dolphin Kidney Epithelial Cell Lines In Vitro and Sprague-Dawley Rats In Vivo</t>
        </is>
      </c>
      <c r="BU6" t="inlineStr">
        <is>
          <t>Toxicol. Sci.68(2): 429-436</t>
        </is>
      </c>
      <c r="BV6" t="n">
        <v>2002.0</v>
      </c>
      <c r="BW6" t="inlineStr">
        <is>
          <t>Hu,W., P.D. Jones, B.L. Upham, J.E. Trosko, C. Lau, and J.P. Giesy (2002). Inhibition of Gap Junctional Intercellular Communication by Perfluorinated Compounds in Rat Liver and Dolphin Kidney Epithelial Cell Lines In Vitro and Sprague-Dawley Rats In Vivo. Toxicol. Sci., 68, (2), 429-436. doi:10.1093/toxsci/68.2.429. ECOREF#:178466</t>
        </is>
      </c>
    </row>
    <row r="7">
      <c r="A7" t="n">
        <v>2795393.0</v>
      </c>
      <c r="B7" t="inlineStr">
        <is>
          <t>1,1,2,2,3,3,4,4,5,5,6,6,7,7,8,8,8-Heptadecafluoro-1-octanesulfonic acid potassium salt</t>
        </is>
      </c>
      <c r="C7"/>
      <c r="D7" t="inlineStr">
        <is>
          <t>Unmeasured</t>
        </is>
      </c>
      <c r="E7"/>
      <c r="F7"/>
      <c r="G7"/>
      <c r="H7"/>
      <c r="I7"/>
      <c r="J7"/>
      <c r="K7" t="inlineStr">
        <is>
          <t>Rattus norvegicus</t>
        </is>
      </c>
      <c r="L7" t="inlineStr">
        <is>
          <t>Norway Rat</t>
        </is>
      </c>
      <c r="M7" t="inlineStr">
        <is>
          <t>Mammals; Standard Test Species</t>
        </is>
      </c>
      <c r="N7"/>
      <c r="O7"/>
      <c r="P7" t="n">
        <v>60.0</v>
      </c>
      <c r="Q7"/>
      <c r="R7"/>
      <c r="S7"/>
      <c r="T7"/>
      <c r="U7" t="inlineStr">
        <is>
          <t>Day(s)</t>
        </is>
      </c>
      <c r="V7" t="inlineStr">
        <is>
          <t>Gavage</t>
        </is>
      </c>
      <c r="W7" t="inlineStr">
        <is>
          <t>No substrate</t>
        </is>
      </c>
      <c r="X7" t="inlineStr">
        <is>
          <t>Lab</t>
        </is>
      </c>
      <c r="Y7" t="n">
        <v>2.0</v>
      </c>
      <c r="Z7" t="inlineStr">
        <is>
          <t>Formulation</t>
        </is>
      </c>
      <c r="AA7"/>
      <c r="AB7" t="n">
        <v>5.0</v>
      </c>
      <c r="AC7"/>
      <c r="AD7"/>
      <c r="AE7"/>
      <c r="AF7"/>
      <c r="AG7" t="inlineStr">
        <is>
          <t>mg/kg/d</t>
        </is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 t="inlineStr">
        <is>
          <t>Accumulation</t>
        </is>
      </c>
      <c r="AY7" t="inlineStr">
        <is>
          <t>Residue</t>
        </is>
      </c>
      <c r="AZ7"/>
      <c r="BA7"/>
      <c r="BB7" t="n">
        <v>5.0</v>
      </c>
      <c r="BC7"/>
      <c r="BD7"/>
      <c r="BE7"/>
      <c r="BF7"/>
      <c r="BG7"/>
      <c r="BH7"/>
      <c r="BI7" t="inlineStr">
        <is>
          <t>mg/kg/d</t>
        </is>
      </c>
      <c r="BJ7" t="inlineStr">
        <is>
          <t>Liver</t>
        </is>
      </c>
      <c r="BK7"/>
      <c r="BL7" t="n">
        <v>3.0</v>
      </c>
      <c r="BM7"/>
      <c r="BN7"/>
      <c r="BO7"/>
      <c r="BP7"/>
      <c r="BQ7" t="inlineStr">
        <is>
          <t>Day(s)</t>
        </is>
      </c>
      <c r="BR7" t="inlineStr">
        <is>
          <t>Hu,W., P.D. Jones, B.L. Upham, J.E. Trosko, C. Lau, and J.P. Giesy</t>
        </is>
      </c>
      <c r="BS7" t="n">
        <v>178466.0</v>
      </c>
      <c r="BT7" t="inlineStr">
        <is>
          <t>Inhibition of Gap Junctional Intercellular Communication by Perfluorinated Compounds in Rat Liver and Dolphin Kidney Epithelial Cell Lines In Vitro and Sprague-Dawley Rats In Vivo</t>
        </is>
      </c>
      <c r="BU7" t="inlineStr">
        <is>
          <t>Toxicol. Sci.68(2): 429-436</t>
        </is>
      </c>
      <c r="BV7" t="n">
        <v>2002.0</v>
      </c>
      <c r="BW7" t="inlineStr">
        <is>
          <t>Hu,W., P.D. Jones, B.L. Upham, J.E. Trosko, C. Lau, and J.P. Giesy (2002). Inhibition of Gap Junctional Intercellular Communication by Perfluorinated Compounds in Rat Liver and Dolphin Kidney Epithelial Cell Lines In Vitro and Sprague-Dawley Rats In Vivo. Toxicol. Sci., 68, (2), 429-436. doi:10.1093/toxsci/68.2.429. ECOREF#:178466</t>
        </is>
      </c>
    </row>
    <row r="8">
      <c r="A8" t="n">
        <v>2795393.0</v>
      </c>
      <c r="B8" t="inlineStr">
        <is>
          <t>1,1,2,2,3,3,4,4,5,5,6,6,7,7,8,8,8-Heptadecafluoro-1-octanesulfonic acid potassium salt</t>
        </is>
      </c>
      <c r="C8"/>
      <c r="D8" t="inlineStr">
        <is>
          <t>Unmeasured</t>
        </is>
      </c>
      <c r="E8"/>
      <c r="F8"/>
      <c r="G8"/>
      <c r="H8"/>
      <c r="I8"/>
      <c r="J8"/>
      <c r="K8" t="inlineStr">
        <is>
          <t>Rattus norvegicus</t>
        </is>
      </c>
      <c r="L8" t="inlineStr">
        <is>
          <t>Norway Rat</t>
        </is>
      </c>
      <c r="M8" t="inlineStr">
        <is>
          <t>Mammals; Standard Test Species</t>
        </is>
      </c>
      <c r="N8"/>
      <c r="O8"/>
      <c r="P8" t="n">
        <v>60.0</v>
      </c>
      <c r="Q8"/>
      <c r="R8"/>
      <c r="S8"/>
      <c r="T8"/>
      <c r="U8" t="inlineStr">
        <is>
          <t>Day(s)</t>
        </is>
      </c>
      <c r="V8" t="inlineStr">
        <is>
          <t>Gavage</t>
        </is>
      </c>
      <c r="W8" t="inlineStr">
        <is>
          <t>No substrate</t>
        </is>
      </c>
      <c r="X8" t="inlineStr">
        <is>
          <t>Lab</t>
        </is>
      </c>
      <c r="Y8" t="n">
        <v>2.0</v>
      </c>
      <c r="Z8" t="inlineStr">
        <is>
          <t>Formulation</t>
        </is>
      </c>
      <c r="AA8"/>
      <c r="AB8" t="n">
        <v>5.0</v>
      </c>
      <c r="AC8"/>
      <c r="AD8"/>
      <c r="AE8"/>
      <c r="AF8"/>
      <c r="AG8" t="inlineStr">
        <is>
          <t>mg/kg/d</t>
        </is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 t="inlineStr">
        <is>
          <t>Accumulation</t>
        </is>
      </c>
      <c r="AY8" t="inlineStr">
        <is>
          <t>Residue</t>
        </is>
      </c>
      <c r="AZ8"/>
      <c r="BA8"/>
      <c r="BB8" t="n">
        <v>5.0</v>
      </c>
      <c r="BC8"/>
      <c r="BD8"/>
      <c r="BE8"/>
      <c r="BF8"/>
      <c r="BG8"/>
      <c r="BH8"/>
      <c r="BI8" t="inlineStr">
        <is>
          <t>mg/kg/d</t>
        </is>
      </c>
      <c r="BJ8" t="inlineStr">
        <is>
          <t>Liver</t>
        </is>
      </c>
      <c r="BK8"/>
      <c r="BL8" t="n">
        <v>21.0</v>
      </c>
      <c r="BM8"/>
      <c r="BN8"/>
      <c r="BO8"/>
      <c r="BP8"/>
      <c r="BQ8" t="inlineStr">
        <is>
          <t>Day(s)</t>
        </is>
      </c>
      <c r="BR8" t="inlineStr">
        <is>
          <t>Hu,W., P.D. Jones, B.L. Upham, J.E. Trosko, C. Lau, and J.P. Giesy</t>
        </is>
      </c>
      <c r="BS8" t="n">
        <v>178466.0</v>
      </c>
      <c r="BT8" t="inlineStr">
        <is>
          <t>Inhibition of Gap Junctional Intercellular Communication by Perfluorinated Compounds in Rat Liver and Dolphin Kidney Epithelial Cell Lines In Vitro and Sprague-Dawley Rats In Vivo</t>
        </is>
      </c>
      <c r="BU8" t="inlineStr">
        <is>
          <t>Toxicol. Sci.68(2): 429-436</t>
        </is>
      </c>
      <c r="BV8" t="n">
        <v>2002.0</v>
      </c>
      <c r="BW8" t="inlineStr">
        <is>
          <t>Hu,W., P.D. Jones, B.L. Upham, J.E. Trosko, C. Lau, and J.P. Giesy (2002). Inhibition of Gap Junctional Intercellular Communication by Perfluorinated Compounds in Rat Liver and Dolphin Kidney Epithelial Cell Lines In Vitro and Sprague-Dawley Rats In Vivo. Toxicol. Sci., 68, (2), 429-436. doi:10.1093/toxsci/68.2.429. ECOREF#:178466</t>
        </is>
      </c>
    </row>
    <row r="9">
      <c r="A9" t="n">
        <v>2795393.0</v>
      </c>
      <c r="B9" t="inlineStr">
        <is>
          <t>1,1,2,2,3,3,4,4,5,5,6,6,7,7,8,8,8-Heptadecafluoro-1-octanesulfonic acid potassium salt</t>
        </is>
      </c>
      <c r="C9"/>
      <c r="D9" t="inlineStr">
        <is>
          <t>Unmeasured</t>
        </is>
      </c>
      <c r="E9"/>
      <c r="F9"/>
      <c r="G9"/>
      <c r="H9"/>
      <c r="I9"/>
      <c r="J9"/>
      <c r="K9" t="inlineStr">
        <is>
          <t>Rattus norvegicus</t>
        </is>
      </c>
      <c r="L9" t="inlineStr">
        <is>
          <t>Norway Rat</t>
        </is>
      </c>
      <c r="M9" t="inlineStr">
        <is>
          <t>Mammals; Standard Test Species</t>
        </is>
      </c>
      <c r="N9"/>
      <c r="O9"/>
      <c r="P9" t="n">
        <v>60.0</v>
      </c>
      <c r="Q9"/>
      <c r="R9"/>
      <c r="S9"/>
      <c r="T9"/>
      <c r="U9" t="inlineStr">
        <is>
          <t>Day(s)</t>
        </is>
      </c>
      <c r="V9" t="inlineStr">
        <is>
          <t>Gavage</t>
        </is>
      </c>
      <c r="W9" t="inlineStr">
        <is>
          <t>No substrate</t>
        </is>
      </c>
      <c r="X9" t="inlineStr">
        <is>
          <t>Lab</t>
        </is>
      </c>
      <c r="Y9" t="n">
        <v>2.0</v>
      </c>
      <c r="Z9" t="inlineStr">
        <is>
          <t>Formulation</t>
        </is>
      </c>
      <c r="AA9"/>
      <c r="AB9" t="n">
        <v>5.0</v>
      </c>
      <c r="AC9"/>
      <c r="AD9"/>
      <c r="AE9"/>
      <c r="AF9"/>
      <c r="AG9" t="inlineStr">
        <is>
          <t>mg/kg/d</t>
        </is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 t="inlineStr">
        <is>
          <t>Accumulation</t>
        </is>
      </c>
      <c r="AY9" t="inlineStr">
        <is>
          <t>Residue</t>
        </is>
      </c>
      <c r="AZ9"/>
      <c r="BA9"/>
      <c r="BB9" t="n">
        <v>5.0</v>
      </c>
      <c r="BC9"/>
      <c r="BD9"/>
      <c r="BE9"/>
      <c r="BF9"/>
      <c r="BG9"/>
      <c r="BH9"/>
      <c r="BI9" t="inlineStr">
        <is>
          <t>mg/kg/d</t>
        </is>
      </c>
      <c r="BJ9" t="inlineStr">
        <is>
          <t>Liver</t>
        </is>
      </c>
      <c r="BK9"/>
      <c r="BL9" t="n">
        <v>3.0</v>
      </c>
      <c r="BM9"/>
      <c r="BN9"/>
      <c r="BO9"/>
      <c r="BP9"/>
      <c r="BQ9" t="inlineStr">
        <is>
          <t>Day(s)</t>
        </is>
      </c>
      <c r="BR9" t="inlineStr">
        <is>
          <t>Hu,W., P.D. Jones, B.L. Upham, J.E. Trosko, C. Lau, and J.P. Giesy</t>
        </is>
      </c>
      <c r="BS9" t="n">
        <v>178466.0</v>
      </c>
      <c r="BT9" t="inlineStr">
        <is>
          <t>Inhibition of Gap Junctional Intercellular Communication by Perfluorinated Compounds in Rat Liver and Dolphin Kidney Epithelial Cell Lines In Vitro and Sprague-Dawley Rats In Vivo</t>
        </is>
      </c>
      <c r="BU9" t="inlineStr">
        <is>
          <t>Toxicol. Sci.68(2): 429-436</t>
        </is>
      </c>
      <c r="BV9" t="n">
        <v>2002.0</v>
      </c>
      <c r="BW9" t="inlineStr">
        <is>
          <t>Hu,W., P.D. Jones, B.L. Upham, J.E. Trosko, C. Lau, and J.P. Giesy (2002). Inhibition of Gap Junctional Intercellular Communication by Perfluorinated Compounds in Rat Liver and Dolphin Kidney Epithelial Cell Lines In Vitro and Sprague-Dawley Rats In Vivo. Toxicol. Sci., 68, (2), 429-436. doi:10.1093/toxsci/68.2.429. ECOREF#:178466</t>
        </is>
      </c>
    </row>
    <row r="10">
      <c r="A10" t="n">
        <v>2.7619972E7</v>
      </c>
      <c r="B10" t="inlineStr">
        <is>
          <t>3,3,4,4,5,5,6,6,7,7,8,8,8-Tridecafluoro-1-octanesulfonic acid</t>
        </is>
      </c>
      <c r="C10"/>
      <c r="D10" t="inlineStr">
        <is>
          <t>Chemical analysis reported</t>
        </is>
      </c>
      <c r="E10"/>
      <c r="F10" t="n">
        <v>98.0</v>
      </c>
      <c r="G10"/>
      <c r="H10"/>
      <c r="I10"/>
      <c r="J10"/>
      <c r="K10" t="inlineStr">
        <is>
          <t>Peromyscus leucopus</t>
        </is>
      </c>
      <c r="L10" t="inlineStr">
        <is>
          <t>White-Footed Mouse</t>
        </is>
      </c>
      <c r="M10" t="inlineStr">
        <is>
          <t>Mammals</t>
        </is>
      </c>
      <c r="N10" t="inlineStr">
        <is>
          <t>Adult</t>
        </is>
      </c>
      <c r="O10"/>
      <c r="P10"/>
      <c r="Q10"/>
      <c r="R10"/>
      <c r="S10"/>
      <c r="T10"/>
      <c r="U10"/>
      <c r="V10" t="inlineStr">
        <is>
          <t>Gavage</t>
        </is>
      </c>
      <c r="W10" t="inlineStr">
        <is>
          <t>No substrate</t>
        </is>
      </c>
      <c r="X10" t="inlineStr">
        <is>
          <t>Lab</t>
        </is>
      </c>
      <c r="Y10" t="n">
        <v>4.0</v>
      </c>
      <c r="Z10" t="inlineStr">
        <is>
          <t>Active ingredient</t>
        </is>
      </c>
      <c r="AA10"/>
      <c r="AB10"/>
      <c r="AC10"/>
      <c r="AD10" t="n">
        <v>2.5</v>
      </c>
      <c r="AE10"/>
      <c r="AF10" t="n">
        <v>12.5</v>
      </c>
      <c r="AG10" t="inlineStr">
        <is>
          <t>mg/kg bdwt/d</t>
        </is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 t="inlineStr">
        <is>
          <t>Accumulation</t>
        </is>
      </c>
      <c r="AY10" t="inlineStr">
        <is>
          <t>Residue</t>
        </is>
      </c>
      <c r="AZ10"/>
      <c r="BA10"/>
      <c r="BB10"/>
      <c r="BC10"/>
      <c r="BD10" t="n">
        <v>2.5</v>
      </c>
      <c r="BE10"/>
      <c r="BF10" t="n">
        <v>12.5</v>
      </c>
      <c r="BG10"/>
      <c r="BH10"/>
      <c r="BI10" t="inlineStr">
        <is>
          <t>mg/kg bdwt/d</t>
        </is>
      </c>
      <c r="BJ10" t="inlineStr">
        <is>
          <t>Serum</t>
        </is>
      </c>
      <c r="BK10"/>
      <c r="BL10"/>
      <c r="BM10"/>
      <c r="BN10" t="n">
        <v>21.0</v>
      </c>
      <c r="BO10"/>
      <c r="BP10" t="n">
        <v>28.0</v>
      </c>
      <c r="BQ10" t="inlineStr">
        <is>
          <t>Day(s)</t>
        </is>
      </c>
      <c r="BR10" t="inlineStr">
        <is>
          <t>Narizzano,A.M., M.E. Bohannon, A.G. East, C. McDonough, S. Choyke, C.P. Higgins, and M.J.,Jr. Quinn</t>
        </is>
      </c>
      <c r="BS10" t="n">
        <v>187172.0</v>
      </c>
      <c r="BT10" t="inlineStr">
        <is>
          <t>Patterns in Serum Toxicokinetics in Peromyscus Exposed to PFAS</t>
        </is>
      </c>
      <c r="BU10" t="inlineStr">
        <is>
          <t>Environ. Toxicol. Chem.40(10): 2886-2898</t>
        </is>
      </c>
      <c r="BV10" t="n">
        <v>2021.0</v>
      </c>
      <c r="BW10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Ref. Number</t>
        </is>
      </c>
      <c r="B1" t="inlineStr">
        <is>
          <t>Author</t>
        </is>
      </c>
      <c r="C1" t="inlineStr">
        <is>
          <t>Title</t>
        </is>
      </c>
      <c r="D1" t="inlineStr">
        <is>
          <t>Source</t>
        </is>
      </c>
      <c r="E1" t="inlineStr">
        <is>
          <t>Pub. Year</t>
        </is>
      </c>
      <c r="F1" t="inlineStr">
        <is>
          <t>Ref. Type</t>
        </is>
      </c>
      <c r="G1" t="inlineStr">
        <is>
          <t>Citation</t>
        </is>
      </c>
      <c r="H1" t="inlineStr">
        <is>
          <t>Google Scholar</t>
        </is>
      </c>
    </row>
    <row r="2">
      <c r="A2" t="n">
        <v>191177.0</v>
      </c>
      <c r="B2" t="inlineStr">
        <is>
          <t>Diaz,O.E., C. Sorini, R.A. Morales, X. Luo, A. Frede, A.M. Krais, M.N. Chavez, E. Wincent, S.U. Das, and E.J. Villablan</t>
        </is>
      </c>
      <c r="C2" t="inlineStr">
        <is>
          <t>Perfluorooctanesulfonic Acid Modulates Barrier Function and Systemic T-Cell Homeostasis During Intestinal Inflammation</t>
        </is>
      </c>
      <c r="D2" t="inlineStr">
        <is>
          <t>Dis. Model. Mech.14(12): 1-11</t>
        </is>
      </c>
      <c r="E2" t="n">
        <v>2021.0</v>
      </c>
      <c r="F2"/>
      <c r="G2" t="inlineStr">
        <is>
          <t>Diaz,O.E., C. Sorini, R.A. Morales, X. Luo, A. Frede, A.M. Krais, M.N. Chavez, E. Wincent, S.U. Das, and E.J. Villablan (2021). Perfluorooctanesulfonic Acid Modulates Barrier Function and Systemic T-Cell Homeostasis During Intestinal Inflammation. Dis. Model. Mech., 14, (12), 1-11. doi:10.1242/dmm.049104. ECOREF#:191177</t>
        </is>
      </c>
      <c r="H2" s="1" t="n">
        <f>HYPERLINK("https://scholar.google.com/scholar?hl=en&amp;as_q=&amp;as_oq=&amp;as_eq=&amp;as_sauthors=&amp;as_publication=&amp;as_ylo=&amp;as_yhi=&amp;as_occt=title&amp;as_sdt=0%2C5&amp;as_epq=%22Perfluorooctanesulfonic+Acid+Modulates+Barrier+Function+and+Systemic+T-Cell+Homeostasis+During+Intestinal+Inflam", "Google Scholar")</f>
        <v>0.0</v>
      </c>
    </row>
    <row r="3">
      <c r="A3" t="n">
        <v>178466.0</v>
      </c>
      <c r="B3" t="inlineStr">
        <is>
          <t>Hu,W., P.D. Jones, B.L. Upham, J.E. Trosko, C. Lau, and J.P. Giesy</t>
        </is>
      </c>
      <c r="C3" t="inlineStr">
        <is>
          <t>Inhibition of Gap Junctional Intercellular Communication by Perfluorinated Compounds in Rat Liver and Dolphin Kidney Epithelial Cell Lines In Vitro and Sprague-Dawley Rats In Vivo</t>
        </is>
      </c>
      <c r="D3" t="inlineStr">
        <is>
          <t>Toxicol. Sci.68(2): 429-436</t>
        </is>
      </c>
      <c r="E3" t="n">
        <v>2002.0</v>
      </c>
      <c r="F3"/>
      <c r="G3" t="inlineStr">
        <is>
          <t>Hu,W., P.D. Jones, B.L. Upham, J.E. Trosko, C. Lau, and J.P. Giesy (2002). Inhibition of Gap Junctional Intercellular Communication by Perfluorinated Compounds in Rat Liver and Dolphin Kidney Epithelial Cell Lines In Vitro and Sprague-Dawley Rats In Vivo. Toxicol. Sci., 68, (2), 429-436. doi:10.1093/toxsci/68.2.429. ECOREF#:178466</t>
        </is>
      </c>
      <c r="H3" s="2" t="n">
        <f>HYPERLINK("https://scholar.google.com/scholar?hl=en&amp;as_q=&amp;as_oq=&amp;as_eq=&amp;as_sauthors=&amp;as_publication=&amp;as_ylo=&amp;as_yhi=&amp;as_occt=title&amp;as_sdt=0%2C5&amp;as_epq=%22Inhibition+of+Gap+Junctional+Intercellular+Communication+by+Perfluorinated+Compounds+in+Rat+Liver+and+Dolphin+Ki", "Google Scholar")</f>
        <v>0.0</v>
      </c>
    </row>
    <row r="4">
      <c r="A4" t="n">
        <v>104399.0</v>
      </c>
      <c r="B4" t="inlineStr">
        <is>
          <t>Martin,M.T., R.J. Brennan, W. Hu, E. Ayanoglu, C. Lau, H. Ren, C.R. Wood, J.C. Corton, R.J. Kavlock, and D.J. Dix</t>
        </is>
      </c>
      <c r="C4" t="inlineStr">
        <is>
          <t>Toxicogenomic Study of Triazole Fungicides and Perfluoroalkyl Acids in Rat Livers Predicts Toxicity and Categorizes Chemicals Based on Mechanisms of Toxicity</t>
        </is>
      </c>
      <c r="D4" t="inlineStr">
        <is>
          <t>Toxicol. Sci.97(2): 595-613</t>
        </is>
      </c>
      <c r="E4" t="n">
        <v>2007.0</v>
      </c>
      <c r="F4"/>
      <c r="G4" t="inlineStr">
        <is>
          <t>Martin,M.T., R.J. Brennan, W. Hu, E. Ayanoglu, C. Lau, H. Ren, C.R. Wood, J.C. Corton, R.J. Kavlock, and D.J. Dix (2007). Toxicogenomic Study of Triazole Fungicides and Perfluoroalkyl Acids in Rat Livers Predicts Toxicity and Categorizes Chemicals Based on Mechanisms of Toxicity. Toxicol. Sci., 97, (2), 595-613. doi:10.1093/toxsci/kfm065. ECOREF#:104399</t>
        </is>
      </c>
      <c r="H4" s="3" t="n">
        <f>HYPERLINK("https://scholar.google.com/scholar?hl=en&amp;as_q=&amp;as_oq=&amp;as_eq=&amp;as_sauthors=&amp;as_publication=&amp;as_ylo=&amp;as_yhi=&amp;as_occt=title&amp;as_sdt=0%2C5&amp;as_epq=%22Toxicogenomic+Study+of+Triazole+Fungicides+and+Perfluoroalkyl+Acids+in+Rat+Livers+Predicts+Toxicity+and+Categori", "Google Scholar")</f>
        <v>0.0</v>
      </c>
    </row>
    <row r="5">
      <c r="A5" t="n">
        <v>187172.0</v>
      </c>
      <c r="B5" t="inlineStr">
        <is>
          <t>Narizzano,A.M., M.E. Bohannon, A.G. East, C. McDonough, S. Choyke, C.P. Higgins, and M.J.,Jr. Quinn</t>
        </is>
      </c>
      <c r="C5" t="inlineStr">
        <is>
          <t>Patterns in Serum Toxicokinetics in Peromyscus Exposed to PFAS</t>
        </is>
      </c>
      <c r="D5" t="inlineStr">
        <is>
          <t>Environ. Toxicol. Chem.40(10): 2886-2898</t>
        </is>
      </c>
      <c r="E5" t="n">
        <v>2021.0</v>
      </c>
      <c r="F5"/>
      <c r="G5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  <c r="H5" s="4" t="n">
        <f>HYPERLINK("https://scholar.google.com/scholar?hl=en&amp;as_q=&amp;as_oq=&amp;as_eq=&amp;as_sauthors=&amp;as_publication=&amp;as_ylo=&amp;as_yhi=&amp;as_occt=title&amp;as_sdt=0%2C5&amp;as_epq=%22Patterns+in+Serum+Toxicokinetics+in+Peromyscus+Exposed+to+PFAS", "Google Scholar")</f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Category</t>
        </is>
      </c>
      <c r="B1" t="inlineStr">
        <is>
          <t>Parameter Group</t>
        </is>
      </c>
      <c r="C1" t="inlineStr">
        <is>
          <t>Name</t>
        </is>
      </c>
      <c r="D1" t="inlineStr">
        <is>
          <t>Value</t>
        </is>
      </c>
      <c r="E1" t="inlineStr">
        <is>
          <t>Additional Info</t>
        </is>
      </c>
      <c r="F1"/>
      <c r="G1" t="inlineStr">
        <is>
          <t>Search run-time</t>
        </is>
      </c>
    </row>
    <row r="2">
      <c r="A2"/>
      <c r="B2"/>
      <c r="C2"/>
      <c r="D2"/>
      <c r="E2"/>
      <c r="F2"/>
      <c r="G2" s="5" t="n">
        <v>46190.681608796294</v>
      </c>
    </row>
    <row r="3">
      <c r="A3"/>
      <c r="B3"/>
      <c r="C3"/>
      <c r="D3"/>
      <c r="E3"/>
      <c r="F3"/>
      <c r="G3"/>
    </row>
    <row r="4">
      <c r="A4" t="inlineStr">
        <is>
          <t>Habitat</t>
        </is>
      </c>
      <c r="B4"/>
      <c r="C4"/>
      <c r="D4"/>
      <c r="E4"/>
      <c r="F4"/>
      <c r="G4"/>
    </row>
    <row r="5">
      <c r="A5"/>
      <c r="B5"/>
      <c r="C5" t="inlineStr">
        <is>
          <t>Terrestrial</t>
        </is>
      </c>
      <c r="D5" t="inlineStr">
        <is>
          <t>Terrestrial</t>
        </is>
      </c>
      <c r="E5"/>
      <c r="F5"/>
      <c r="G5"/>
    </row>
    <row r="6">
      <c r="A6"/>
      <c r="B6"/>
      <c r="C6"/>
      <c r="D6"/>
      <c r="E6"/>
      <c r="F6"/>
      <c r="G6"/>
    </row>
    <row r="7">
      <c r="A7" t="inlineStr">
        <is>
          <t>Chemicals</t>
        </is>
      </c>
      <c r="B7"/>
      <c r="C7"/>
      <c r="D7"/>
      <c r="E7"/>
      <c r="F7"/>
      <c r="G7"/>
    </row>
    <row r="8">
      <c r="A8"/>
      <c r="B8"/>
      <c r="C8" t="inlineStr">
        <is>
          <t>Name(s) / Number(s)</t>
        </is>
      </c>
      <c r="D8" t="inlineStr">
        <is>
          <t>PFOS</t>
        </is>
      </c>
      <c r="E8"/>
      <c r="F8"/>
      <c r="G8"/>
    </row>
    <row r="9">
      <c r="A9"/>
      <c r="B9"/>
      <c r="C9"/>
      <c r="D9"/>
      <c r="E9"/>
      <c r="F9"/>
      <c r="G9"/>
    </row>
    <row r="10">
      <c r="A10" t="inlineStr">
        <is>
          <t>Effect Measurements</t>
        </is>
      </c>
      <c r="B10"/>
      <c r="C10"/>
      <c r="D10"/>
      <c r="E10"/>
      <c r="F10"/>
      <c r="G10"/>
    </row>
    <row r="11">
      <c r="A11"/>
      <c r="B11" t="inlineStr">
        <is>
          <t>Accumulation Group</t>
        </is>
      </c>
      <c r="C11" t="inlineStr">
        <is>
          <t>Accumulation</t>
        </is>
      </c>
      <c r="D11" t="inlineStr">
        <is>
          <t>ALL</t>
        </is>
      </c>
      <c r="E11"/>
      <c r="F11"/>
      <c r="G11"/>
    </row>
    <row r="12">
      <c r="A12"/>
      <c r="B12"/>
      <c r="C12"/>
      <c r="D12"/>
      <c r="E12"/>
      <c r="F12"/>
      <c r="G12"/>
    </row>
    <row r="13">
      <c r="A13" t="inlineStr">
        <is>
          <t>Endpoints</t>
        </is>
      </c>
      <c r="B13"/>
      <c r="C13"/>
      <c r="D13"/>
      <c r="E13"/>
      <c r="F13"/>
      <c r="G13"/>
    </row>
    <row r="14">
      <c r="A14"/>
      <c r="B14"/>
      <c r="C14"/>
      <c r="D14"/>
      <c r="E14"/>
      <c r="F14"/>
      <c r="G14"/>
    </row>
    <row r="15">
      <c r="A15" t="inlineStr">
        <is>
          <t>Species</t>
        </is>
      </c>
      <c r="B15"/>
      <c r="C15"/>
      <c r="D15"/>
      <c r="E15"/>
      <c r="F15"/>
      <c r="G15"/>
    </row>
    <row r="16">
      <c r="A16"/>
      <c r="B16" t="inlineStr">
        <is>
          <t>Animals</t>
        </is>
      </c>
      <c r="C16" t="inlineStr">
        <is>
          <t>Mammals</t>
        </is>
      </c>
      <c r="D16" t="inlineStr">
        <is>
          <t>ALL</t>
        </is>
      </c>
      <c r="E16"/>
      <c r="F16"/>
      <c r="G16"/>
    </row>
    <row r="17">
      <c r="A17"/>
      <c r="B17"/>
      <c r="C17"/>
      <c r="D17"/>
      <c r="E17"/>
      <c r="F17"/>
      <c r="G17"/>
    </row>
    <row r="18">
      <c r="A18" t="inlineStr">
        <is>
          <t>Test Conditions</t>
        </is>
      </c>
      <c r="B18"/>
      <c r="C18"/>
      <c r="D18"/>
      <c r="E18"/>
      <c r="F18"/>
      <c r="G18"/>
    </row>
    <row r="19">
      <c r="A19"/>
      <c r="B19"/>
      <c r="C19"/>
      <c r="D19"/>
      <c r="E19"/>
      <c r="F19"/>
      <c r="G19"/>
    </row>
    <row r="20">
      <c r="A20" t="inlineStr">
        <is>
          <t>Publication Options</t>
        </is>
      </c>
      <c r="B20"/>
      <c r="C20"/>
      <c r="D20"/>
      <c r="E20"/>
      <c r="F20"/>
      <c r="G20"/>
    </row>
    <row r="21">
      <c r="A21"/>
      <c r="B21"/>
      <c r="C21"/>
      <c r="D21"/>
      <c r="E21"/>
      <c r="F21"/>
      <c r="G2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2026-06-17T20:21:31Z</dcterms:created>
  <dc:creator>Apache POI</dc:creator>
</cp:coreProperties>
</file>