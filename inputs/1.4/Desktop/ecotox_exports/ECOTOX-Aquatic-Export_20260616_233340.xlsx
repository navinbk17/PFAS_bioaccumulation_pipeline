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quatic-Export" r:id="rId3" sheetId="1"/>
    <sheet name="References" r:id="rId4" sheetId="2"/>
    <sheet name="Search_Parameter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23">
    <font>
      <sz val="11.0"/>
      <color indexed="8"/>
      <name val="Calibri"/>
      <family val="2"/>
      <scheme val="minor"/>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s>
  <fills count="5">
    <fill>
      <patternFill patternType="none"/>
    </fill>
    <fill>
      <patternFill patternType="darkGray"/>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3">
    <xf numFmtId="0" fontId="0" fillId="0" borderId="0" xfId="0"/>
    <xf numFmtId="0" fontId="2" fillId="0" borderId="0" xfId="0" applyFont="true"/>
    <xf numFmtId="0" fontId="4" fillId="0" borderId="0" xfId="0" applyFont="true"/>
    <xf numFmtId="0" fontId="6" fillId="0" borderId="0" xfId="0" applyFont="true"/>
    <xf numFmtId="0" fontId="8" fillId="0" borderId="0" xfId="0" applyFont="true"/>
    <xf numFmtId="0" fontId="10" fillId="0" borderId="0" xfId="0" applyFont="true"/>
    <xf numFmtId="0" fontId="12" fillId="0" borderId="0" xfId="0" applyFont="true"/>
    <xf numFmtId="0" fontId="14" fillId="0" borderId="0" xfId="0" applyFont="true"/>
    <xf numFmtId="0" fontId="16" fillId="0" borderId="0" xfId="0" applyFont="true"/>
    <xf numFmtId="0" fontId="18" fillId="0" borderId="0" xfId="0" applyFont="true"/>
    <xf numFmtId="0" fontId="20" fillId="0" borderId="0" xfId="0" applyFont="true"/>
    <xf numFmtId="0" fontId="22" fillId="0" borderId="0" xfId="0" applyFont="true"/>
    <xf numFmtId="164" fontId="0" fillId="4" borderId="4" xfId="0" applyAlignment="true"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xSplit="1.0" ySplit="1.0" state="frozen" topLeftCell="B2" activePane="bottomRight"/>
      <selection pane="bottomRight"/>
    </sheetView>
  </sheetViews>
  <sheetFormatPr defaultRowHeight="15.0"/>
  <sheetData>
    <row r="1">
      <c r="A1" t="inlineStr">
        <is>
          <t>CAS Number</t>
        </is>
      </c>
      <c r="B1" t="inlineStr">
        <is>
          <t>Chemical Name</t>
        </is>
      </c>
      <c r="C1" t="inlineStr">
        <is>
          <t>Chemical Grade</t>
        </is>
      </c>
      <c r="D1" t="inlineStr">
        <is>
          <t>Chemical Analysis</t>
        </is>
      </c>
      <c r="E1" t="inlineStr">
        <is>
          <t>Chemical Purity</t>
        </is>
      </c>
      <c r="F1" t="inlineStr">
        <is>
          <t>Species Scientific Name</t>
        </is>
      </c>
      <c r="G1" t="inlineStr">
        <is>
          <t>Species Common Name</t>
        </is>
      </c>
      <c r="H1" t="inlineStr">
        <is>
          <t>Species Group</t>
        </is>
      </c>
      <c r="I1" t="inlineStr">
        <is>
          <t>Organism Lifestage</t>
        </is>
      </c>
      <c r="J1" t="inlineStr">
        <is>
          <t>Organism Age</t>
        </is>
      </c>
      <c r="K1" t="inlineStr">
        <is>
          <t>Age Units</t>
        </is>
      </c>
      <c r="L1" t="inlineStr">
        <is>
          <t>Exposure Type</t>
        </is>
      </c>
      <c r="M1" t="inlineStr">
        <is>
          <t>Media Type</t>
        </is>
      </c>
      <c r="N1" t="inlineStr">
        <is>
          <t>Test Location</t>
        </is>
      </c>
      <c r="O1" t="inlineStr">
        <is>
          <t>Number of Doses</t>
        </is>
      </c>
      <c r="P1" t="inlineStr">
        <is>
          <t>Conc 1 Type (Standardized)</t>
        </is>
      </c>
      <c r="Q1" t="inlineStr">
        <is>
          <t>Conc 1 Mean Op (Standardized)</t>
        </is>
      </c>
      <c r="R1" t="inlineStr">
        <is>
          <t>Conc 1 Mean (Standardized)</t>
        </is>
      </c>
      <c r="S1" t="inlineStr">
        <is>
          <t>Conc 1 Min Op (Standardized)</t>
        </is>
      </c>
      <c r="T1" t="inlineStr">
        <is>
          <t>Conc Min 1 (Standardized)</t>
        </is>
      </c>
      <c r="U1" t="inlineStr">
        <is>
          <t>Conc 1 Max Op (Standardized)</t>
        </is>
      </c>
      <c r="V1" t="inlineStr">
        <is>
          <t>Conc 1 Max (Standardized)</t>
        </is>
      </c>
      <c r="W1" t="inlineStr">
        <is>
          <t>Conc 1 Units (Standardized)</t>
        </is>
      </c>
      <c r="X1" t="inlineStr">
        <is>
          <t>Effect</t>
        </is>
      </c>
      <c r="Y1" t="inlineStr">
        <is>
          <t>Effect Measurement</t>
        </is>
      </c>
      <c r="Z1" t="inlineStr">
        <is>
          <t>Endpoint</t>
        </is>
      </c>
      <c r="AA1" t="inlineStr">
        <is>
          <t>Response Site</t>
        </is>
      </c>
      <c r="AB1" t="inlineStr">
        <is>
          <t>Observed Duration (Days)</t>
        </is>
      </c>
      <c r="AC1" t="inlineStr">
        <is>
          <t>Observed Duration Units (Days)</t>
        </is>
      </c>
      <c r="AD1" t="inlineStr">
        <is>
          <t>BCF 1 Value Op</t>
        </is>
      </c>
      <c r="AE1" t="inlineStr">
        <is>
          <t>BCF 1 Value</t>
        </is>
      </c>
      <c r="AF1" t="inlineStr">
        <is>
          <t>BCF 1 Min Op</t>
        </is>
      </c>
      <c r="AG1" t="inlineStr">
        <is>
          <t>BCF 1 Min</t>
        </is>
      </c>
      <c r="AH1" t="inlineStr">
        <is>
          <t>BCF 1 Max Op</t>
        </is>
      </c>
      <c r="AI1" t="inlineStr">
        <is>
          <t>BCF 1 Max</t>
        </is>
      </c>
      <c r="AJ1" t="inlineStr">
        <is>
          <t>BCF 1 Unit</t>
        </is>
      </c>
      <c r="AK1" t="inlineStr">
        <is>
          <t>BCF 2 Value Op</t>
        </is>
      </c>
      <c r="AL1" t="inlineStr">
        <is>
          <t>BCF 2 Value</t>
        </is>
      </c>
      <c r="AM1" t="inlineStr">
        <is>
          <t>BCF 2 Min Op</t>
        </is>
      </c>
      <c r="AN1" t="inlineStr">
        <is>
          <t>BCF 2 Min</t>
        </is>
      </c>
      <c r="AO1" t="inlineStr">
        <is>
          <t>BCF 2 Max Op</t>
        </is>
      </c>
      <c r="AP1" t="inlineStr">
        <is>
          <t>BCF 2 Max</t>
        </is>
      </c>
      <c r="AQ1" t="inlineStr">
        <is>
          <t>BCF 2 Unit</t>
        </is>
      </c>
      <c r="AR1" t="inlineStr">
        <is>
          <t>BCF 3 Value Op</t>
        </is>
      </c>
      <c r="AS1" t="inlineStr">
        <is>
          <t>BCF 3 Value</t>
        </is>
      </c>
      <c r="AT1" t="inlineStr">
        <is>
          <t>BCF 3 Min Op</t>
        </is>
      </c>
      <c r="AU1" t="inlineStr">
        <is>
          <t>BCF 3 Min</t>
        </is>
      </c>
      <c r="AV1" t="inlineStr">
        <is>
          <t>BCF 3 Max Op</t>
        </is>
      </c>
      <c r="AW1" t="inlineStr">
        <is>
          <t>BCF 3 Max</t>
        </is>
      </c>
      <c r="AX1" t="inlineStr">
        <is>
          <t>BCF 3 Unit</t>
        </is>
      </c>
      <c r="AY1" t="inlineStr">
        <is>
          <t>Author</t>
        </is>
      </c>
      <c r="AZ1" t="inlineStr">
        <is>
          <t>Reference Number</t>
        </is>
      </c>
      <c r="BA1" t="inlineStr">
        <is>
          <t>Title</t>
        </is>
      </c>
      <c r="BB1" t="inlineStr">
        <is>
          <t>Source</t>
        </is>
      </c>
      <c r="BC1" t="inlineStr">
        <is>
          <t>Publication Year</t>
        </is>
      </c>
      <c r="BD1" t="inlineStr">
        <is>
          <t>Citation</t>
        </is>
      </c>
      <c r="BE1" t="inlineStr">
        <is>
          <t>Summary of Additional Parameters</t>
        </is>
      </c>
    </row>
    <row r="2">
      <c r="A2" t="n">
        <v>375951.0</v>
      </c>
      <c r="B2" t="inlineStr">
        <is>
          <t>2,2,3,3,4,4,5,5,6,6,7,7,8,8,9,9,9-Heptadecafluorononanoic acid</t>
        </is>
      </c>
      <c r="C2"/>
      <c r="D2" t="inlineStr">
        <is>
          <t>Measured</t>
        </is>
      </c>
      <c r="E2" t="inlineStr">
        <is>
          <t>&gt;95</t>
        </is>
      </c>
      <c r="F2" t="inlineStr">
        <is>
          <t>Danio rerio</t>
        </is>
      </c>
      <c r="G2" t="inlineStr">
        <is>
          <t>Zebra Danio</t>
        </is>
      </c>
      <c r="H2" t="inlineStr">
        <is>
          <t>Fish; Standard Test Species</t>
        </is>
      </c>
      <c r="I2" t="inlineStr">
        <is>
          <t>Embryo</t>
        </is>
      </c>
      <c r="J2" t="n">
        <v>64.0</v>
      </c>
      <c r="K2" t="inlineStr">
        <is>
          <t>Cell stage</t>
        </is>
      </c>
      <c r="L2" t="inlineStr">
        <is>
          <t>Renewal</t>
        </is>
      </c>
      <c r="M2" t="inlineStr">
        <is>
          <t>Culture</t>
        </is>
      </c>
      <c r="N2" t="inlineStr">
        <is>
          <t>Lab</t>
        </is>
      </c>
      <c r="O2" t="n">
        <v>3.0</v>
      </c>
      <c r="P2" t="inlineStr">
        <is>
          <t>Active ingredient</t>
        </is>
      </c>
      <c r="Q2"/>
      <c r="R2" t="n">
        <v>1.69388689</v>
      </c>
      <c r="S2"/>
      <c r="T2"/>
      <c r="U2"/>
      <c r="V2"/>
      <c r="W2" t="inlineStr">
        <is>
          <t>AI mg/L</t>
        </is>
      </c>
      <c r="X2" t="inlineStr">
        <is>
          <t>Accumulation</t>
        </is>
      </c>
      <c r="Y2" t="inlineStr">
        <is>
          <t>Residue</t>
        </is>
      </c>
      <c r="Z2" t="inlineStr">
        <is>
          <t>BCF</t>
        </is>
      </c>
      <c r="AA2" t="inlineStr">
        <is>
          <t>Whole organism</t>
        </is>
      </c>
      <c r="AB2" t="n">
        <v>5.0</v>
      </c>
      <c r="AC2" t="inlineStr">
        <is>
          <t>Day(s) post-fertilization</t>
        </is>
      </c>
      <c r="AD2"/>
      <c r="AE2" t="n">
        <v>73.0</v>
      </c>
      <c r="AF2"/>
      <c r="AG2"/>
      <c r="AH2"/>
      <c r="AI2"/>
      <c r="AJ2" t="inlineStr">
        <is>
          <t>L/kg</t>
        </is>
      </c>
      <c r="AK2"/>
      <c r="AL2"/>
      <c r="AM2"/>
      <c r="AN2"/>
      <c r="AO2"/>
      <c r="AP2"/>
      <c r="AQ2"/>
      <c r="AR2"/>
      <c r="AS2"/>
      <c r="AT2"/>
      <c r="AU2"/>
      <c r="AV2"/>
      <c r="AW2"/>
      <c r="AX2"/>
      <c r="AY2" t="inlineStr">
        <is>
          <t>Han,J., W. Gu, H. Barrett, D. Yang, S. Tang, J. Sun, J. Liu, H.M. Krause, K.A. Houck, and H. Peng</t>
        </is>
      </c>
      <c r="AZ2" t="n">
        <v>190831.0</v>
      </c>
      <c r="BA2" t="inlineStr">
        <is>
          <t>A Roadmap to the Structure-Related Metabolism Pathways of Per- and Polyfluoroalkyl Substances in the Early Life Stages of Zebrafish (Danio rerio)</t>
        </is>
      </c>
      <c r="BB2" t="inlineStr">
        <is>
          <t>Environ. Health Perspect.129(7): 15 p.</t>
        </is>
      </c>
      <c r="BC2" t="n">
        <v>2021.0</v>
      </c>
      <c r="BD2"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c r="BE2" t="inlineStr">
        <is>
          <t>Purity:  NR - NR | Organism Age:  NR - NR Cell stage | Duration (Days):  NR - NR Day(s) post-fertilization | Conc 2 (Standardized):  NR (NR - NR) NR | Conc 3 (Standardized):  NR (NR - NR) NR</t>
        </is>
      </c>
    </row>
    <row r="3">
      <c r="A3" t="n">
        <v>375951.0</v>
      </c>
      <c r="B3" t="inlineStr">
        <is>
          <t>2,2,3,3,4,4,5,5,6,6,7,7,8,8,9,9,9-Heptadecafluorononanoic acid</t>
        </is>
      </c>
      <c r="C3"/>
      <c r="D3" t="inlineStr">
        <is>
          <t>Measured</t>
        </is>
      </c>
      <c r="E3" t="inlineStr">
        <is>
          <t>&gt;95</t>
        </is>
      </c>
      <c r="F3" t="inlineStr">
        <is>
          <t>Danio rerio</t>
        </is>
      </c>
      <c r="G3" t="inlineStr">
        <is>
          <t>Zebra Danio</t>
        </is>
      </c>
      <c r="H3" t="inlineStr">
        <is>
          <t>Fish; Standard Test Species</t>
        </is>
      </c>
      <c r="I3" t="inlineStr">
        <is>
          <t>Embryo</t>
        </is>
      </c>
      <c r="J3" t="n">
        <v>64.0</v>
      </c>
      <c r="K3" t="inlineStr">
        <is>
          <t>Cell stage</t>
        </is>
      </c>
      <c r="L3" t="inlineStr">
        <is>
          <t>Renewal</t>
        </is>
      </c>
      <c r="M3" t="inlineStr">
        <is>
          <t>Culture</t>
        </is>
      </c>
      <c r="N3" t="inlineStr">
        <is>
          <t>Lab</t>
        </is>
      </c>
      <c r="O3" t="n">
        <v>3.0</v>
      </c>
      <c r="P3" t="inlineStr">
        <is>
          <t>Active ingredient</t>
        </is>
      </c>
      <c r="Q3"/>
      <c r="R3" t="n">
        <v>0.180990654</v>
      </c>
      <c r="S3"/>
      <c r="T3"/>
      <c r="U3"/>
      <c r="V3"/>
      <c r="W3" t="inlineStr">
        <is>
          <t>AI mg/L</t>
        </is>
      </c>
      <c r="X3" t="inlineStr">
        <is>
          <t>Accumulation</t>
        </is>
      </c>
      <c r="Y3" t="inlineStr">
        <is>
          <t>Residue</t>
        </is>
      </c>
      <c r="Z3" t="inlineStr">
        <is>
          <t>BCF</t>
        </is>
      </c>
      <c r="AA3" t="inlineStr">
        <is>
          <t>Whole organism</t>
        </is>
      </c>
      <c r="AB3" t="n">
        <v>5.0</v>
      </c>
      <c r="AC3" t="inlineStr">
        <is>
          <t>Day(s) post-fertilization</t>
        </is>
      </c>
      <c r="AD3"/>
      <c r="AE3" t="n">
        <v>153.0</v>
      </c>
      <c r="AF3"/>
      <c r="AG3"/>
      <c r="AH3"/>
      <c r="AI3"/>
      <c r="AJ3" t="inlineStr">
        <is>
          <t>L/kg</t>
        </is>
      </c>
      <c r="AK3"/>
      <c r="AL3"/>
      <c r="AM3"/>
      <c r="AN3"/>
      <c r="AO3"/>
      <c r="AP3"/>
      <c r="AQ3"/>
      <c r="AR3"/>
      <c r="AS3"/>
      <c r="AT3"/>
      <c r="AU3"/>
      <c r="AV3"/>
      <c r="AW3"/>
      <c r="AX3"/>
      <c r="AY3" t="inlineStr">
        <is>
          <t>Han,J., W. Gu, H. Barrett, D. Yang, S. Tang, J. Sun, J. Liu, H.M. Krause, K.A. Houck, and H. Peng</t>
        </is>
      </c>
      <c r="AZ3" t="n">
        <v>190831.0</v>
      </c>
      <c r="BA3" t="inlineStr">
        <is>
          <t>A Roadmap to the Structure-Related Metabolism Pathways of Per- and Polyfluoroalkyl Substances in the Early Life Stages of Zebrafish (Danio rerio)</t>
        </is>
      </c>
      <c r="BB3" t="inlineStr">
        <is>
          <t>Environ. Health Perspect.129(7): 15 p.</t>
        </is>
      </c>
      <c r="BC3" t="n">
        <v>2021.0</v>
      </c>
      <c r="BD3"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c r="BE3" t="inlineStr">
        <is>
          <t>Purity:  NR - NR | Organism Age:  NR - NR Cell stage | Duration (Days):  NR - NR Day(s) post-fertilization | Conc 2 (Standardized):  NR (NR - NR) NR | Conc 3 (Standardized):  NR (NR - NR) NR</t>
        </is>
      </c>
    </row>
    <row r="4">
      <c r="A4" t="n">
        <v>375951.0</v>
      </c>
      <c r="B4" t="inlineStr">
        <is>
          <t>2,2,3,3,4,4,5,5,6,6,7,7,8,8,9,9,9-Heptadecafluorononanoic acid</t>
        </is>
      </c>
      <c r="C4"/>
      <c r="D4" t="inlineStr">
        <is>
          <t>Measured</t>
        </is>
      </c>
      <c r="E4" t="n">
        <v>97.0</v>
      </c>
      <c r="F4" t="inlineStr">
        <is>
          <t>Pimephales promelas</t>
        </is>
      </c>
      <c r="G4" t="inlineStr">
        <is>
          <t>Fathead Minnow</t>
        </is>
      </c>
      <c r="H4" t="inlineStr">
        <is>
          <t>Fish; Standard Test Species</t>
        </is>
      </c>
      <c r="I4" t="inlineStr">
        <is>
          <t>Sexually mature</t>
        </is>
      </c>
      <c r="J4" t="n">
        <v>5.0</v>
      </c>
      <c r="K4" t="inlineStr">
        <is>
          <t>Month(s)</t>
        </is>
      </c>
      <c r="L4" t="inlineStr">
        <is>
          <t>Renewal</t>
        </is>
      </c>
      <c r="M4" t="inlineStr">
        <is>
          <t>Fresh water</t>
        </is>
      </c>
      <c r="N4" t="inlineStr">
        <is>
          <t>Lab</t>
        </is>
      </c>
      <c r="O4" t="n">
        <v>5.0</v>
      </c>
      <c r="P4" t="inlineStr">
        <is>
          <t>Active ingredient</t>
        </is>
      </c>
      <c r="Q4"/>
      <c r="R4" t="n">
        <v>0.1056</v>
      </c>
      <c r="S4"/>
      <c r="T4"/>
      <c r="U4"/>
      <c r="V4"/>
      <c r="W4" t="inlineStr">
        <is>
          <t>AI mg/L</t>
        </is>
      </c>
      <c r="X4" t="inlineStr">
        <is>
          <t>Accumulation</t>
        </is>
      </c>
      <c r="Y4" t="inlineStr">
        <is>
          <t>Residue</t>
        </is>
      </c>
      <c r="Z4" t="inlineStr">
        <is>
          <t>LOEC</t>
        </is>
      </c>
      <c r="AA4" t="inlineStr">
        <is>
          <t>Ovaries</t>
        </is>
      </c>
      <c r="AB4" t="n">
        <v>42.0</v>
      </c>
      <c r="AC4" t="inlineStr">
        <is>
          <t>Day(s)</t>
        </is>
      </c>
      <c r="AD4"/>
      <c r="AE4"/>
      <c r="AF4"/>
      <c r="AG4"/>
      <c r="AH4"/>
      <c r="AI4"/>
      <c r="AJ4" t="inlineStr">
        <is>
          <t>--</t>
        </is>
      </c>
      <c r="AK4"/>
      <c r="AL4"/>
      <c r="AM4"/>
      <c r="AN4"/>
      <c r="AO4"/>
      <c r="AP4"/>
      <c r="AQ4"/>
      <c r="AR4"/>
      <c r="AS4"/>
      <c r="AT4"/>
      <c r="AU4"/>
      <c r="AV4"/>
      <c r="AW4"/>
      <c r="AX4"/>
      <c r="AY4" t="inlineStr">
        <is>
          <t>Suski,J.G., M.K. Chanov, C. Heron, J. Field, and C.J. Salice</t>
        </is>
      </c>
      <c r="AZ4" t="n">
        <v>191102.0</v>
      </c>
      <c r="BA4" t="inlineStr">
        <is>
          <t>Ecotoxicity and Accumulation of Perfluorononanoic Acid  in the Fathead Minnow (Pimephales promelas) and an Approach to Developing Protective Thresholds in the Aquatic Environment Through Species Sensitivity Distribution</t>
        </is>
      </c>
      <c r="BB4" t="inlineStr">
        <is>
          <t>Environ. Toxicol. Chem.:1-8</t>
        </is>
      </c>
      <c r="BC4" t="n">
        <v>2023.0</v>
      </c>
      <c r="BD4" t="inlineStr">
        <is>
          <t>Suski,J.G., M.K. Chanov, C. Heron, J. Field, and C.J. Salice (2023). Ecotoxicity and Accumulation of Perfluorononanoic Acid  in the Fathead Minnow (Pimephales promelas) and an Approach to Developing Protective Thresholds in the Aquatic Environment Through Species Sensitivity Distribution. Environ. Toxicol. Chem., 1-8. doi:10.1002/etc.5692. ECOREF#:191102</t>
        </is>
      </c>
      <c r="BE4" t="inlineStr">
        <is>
          <t>Purity:  NR - NR | Organism Age:  NR - NR Month(s) | Duration (Days):  NR - NR Day(s) | Conc 2 (Standardized):  NR (NR - NR) NR | Conc 3 (Standardized):  NR (NR - NR) NR</t>
        </is>
      </c>
    </row>
    <row r="5">
      <c r="A5" t="n">
        <v>375951.0</v>
      </c>
      <c r="B5" t="inlineStr">
        <is>
          <t>2,2,3,3,4,4,5,5,6,6,7,7,8,8,9,9,9-Heptadecafluorononanoic acid</t>
        </is>
      </c>
      <c r="C5"/>
      <c r="D5" t="inlineStr">
        <is>
          <t>Unmeasured</t>
        </is>
      </c>
      <c r="E5" t="n">
        <v>97.0</v>
      </c>
      <c r="F5" t="inlineStr">
        <is>
          <t>Danio rerio</t>
        </is>
      </c>
      <c r="G5" t="inlineStr">
        <is>
          <t>Zebra Danio</t>
        </is>
      </c>
      <c r="H5" t="inlineStr">
        <is>
          <t>Fish; Standard Test Species</t>
        </is>
      </c>
      <c r="I5" t="inlineStr">
        <is>
          <t>Adult</t>
        </is>
      </c>
      <c r="J5" t="n">
        <v>5.0</v>
      </c>
      <c r="K5" t="inlineStr">
        <is>
          <t>Month(s)</t>
        </is>
      </c>
      <c r="L5" t="inlineStr">
        <is>
          <t>Flow-through</t>
        </is>
      </c>
      <c r="M5" t="inlineStr">
        <is>
          <t>Fresh water</t>
        </is>
      </c>
      <c r="N5" t="inlineStr">
        <is>
          <t>Lab</t>
        </is>
      </c>
      <c r="O5" t="n">
        <v>4.0</v>
      </c>
      <c r="P5" t="inlineStr">
        <is>
          <t>Active ingredient</t>
        </is>
      </c>
      <c r="Q5"/>
      <c r="R5" t="n">
        <v>1.0</v>
      </c>
      <c r="S5"/>
      <c r="T5"/>
      <c r="U5"/>
      <c r="V5"/>
      <c r="W5" t="inlineStr">
        <is>
          <t>AI mg/L</t>
        </is>
      </c>
      <c r="X5" t="inlineStr">
        <is>
          <t>Accumulation</t>
        </is>
      </c>
      <c r="Y5" t="inlineStr">
        <is>
          <t>Residue</t>
        </is>
      </c>
      <c r="Z5" t="inlineStr">
        <is>
          <t>NOEC</t>
        </is>
      </c>
      <c r="AA5" t="inlineStr">
        <is>
          <t>Gonad(s)</t>
        </is>
      </c>
      <c r="AB5" t="n">
        <v>180.0</v>
      </c>
      <c r="AC5" t="inlineStr">
        <is>
          <t>Day(s)</t>
        </is>
      </c>
      <c r="AD5"/>
      <c r="AE5"/>
      <c r="AF5"/>
      <c r="AG5"/>
      <c r="AH5"/>
      <c r="AI5"/>
      <c r="AJ5" t="inlineStr">
        <is>
          <t>--</t>
        </is>
      </c>
      <c r="AK5"/>
      <c r="AL5"/>
      <c r="AM5"/>
      <c r="AN5"/>
      <c r="AO5"/>
      <c r="AP5"/>
      <c r="AQ5"/>
      <c r="AR5"/>
      <c r="AS5"/>
      <c r="AT5"/>
      <c r="AU5"/>
      <c r="AV5"/>
      <c r="AW5"/>
      <c r="AX5"/>
      <c r="AY5" t="inlineStr">
        <is>
          <t>Zhang,W., N. Sheng, M. Wang, H. Zhang, and J. Dai</t>
        </is>
      </c>
      <c r="AZ5" t="n">
        <v>175216.0</v>
      </c>
      <c r="BA5" t="inlineStr">
        <is>
          <t>Zebrafish Reproductive Toxicity Induced by Chronic Perfluorononanoate Exposure</t>
        </is>
      </c>
      <c r="BB5" t="inlineStr">
        <is>
          <t>Aquat. Toxicol.175:269-276</t>
        </is>
      </c>
      <c r="BC5" t="n">
        <v>2016.0</v>
      </c>
      <c r="BD5" t="inlineStr">
        <is>
          <t>Zhang,W., N. Sheng, M. Wang, H. Zhang, and J. Dai (2016). Zebrafish Reproductive Toxicity Induced by Chronic Perfluorononanoate Exposure. Aquat. Toxicol., 175, 269-276. doi:10.1016/j.aquatox.2016.04.005. ECOREF#:175216</t>
        </is>
      </c>
      <c r="BE5" t="inlineStr">
        <is>
          <t>Purity:  NR - NR | Organism Age:  NR - NR Month(s) | Duration (Days):  NR - NR Day(s) | Conc 2 (Standardized):  NR (NR - NR) NR | Conc 3 (Standardized):  NR (NR - NR) NR</t>
        </is>
      </c>
    </row>
    <row r="6">
      <c r="A6" t="n">
        <v>375951.0</v>
      </c>
      <c r="B6" t="inlineStr">
        <is>
          <t>2,2,3,3,4,4,5,5,6,6,7,7,8,8,9,9,9-Heptadecafluorononanoic acid</t>
        </is>
      </c>
      <c r="C6"/>
      <c r="D6" t="inlineStr">
        <is>
          <t>Unmeasured</t>
        </is>
      </c>
      <c r="E6" t="n">
        <v>97.0</v>
      </c>
      <c r="F6" t="inlineStr">
        <is>
          <t>Danio rerio</t>
        </is>
      </c>
      <c r="G6" t="inlineStr">
        <is>
          <t>Zebra Danio</t>
        </is>
      </c>
      <c r="H6" t="inlineStr">
        <is>
          <t>Fish; Standard Test Species</t>
        </is>
      </c>
      <c r="I6" t="inlineStr">
        <is>
          <t>Adult</t>
        </is>
      </c>
      <c r="J6" t="n">
        <v>5.0</v>
      </c>
      <c r="K6" t="inlineStr">
        <is>
          <t>Month(s)</t>
        </is>
      </c>
      <c r="L6" t="inlineStr">
        <is>
          <t>Flow-through</t>
        </is>
      </c>
      <c r="M6" t="inlineStr">
        <is>
          <t>Fresh water</t>
        </is>
      </c>
      <c r="N6" t="inlineStr">
        <is>
          <t>Lab</t>
        </is>
      </c>
      <c r="O6" t="n">
        <v>4.0</v>
      </c>
      <c r="P6" t="inlineStr">
        <is>
          <t>Active ingredient</t>
        </is>
      </c>
      <c r="Q6"/>
      <c r="R6"/>
      <c r="S6"/>
      <c r="T6" t="n">
        <v>0.01</v>
      </c>
      <c r="U6"/>
      <c r="V6" t="n">
        <v>1.0</v>
      </c>
      <c r="W6" t="inlineStr">
        <is>
          <t>AI mg/L</t>
        </is>
      </c>
      <c r="X6" t="inlineStr">
        <is>
          <t>Accumulation</t>
        </is>
      </c>
      <c r="Y6" t="inlineStr">
        <is>
          <t>Residue</t>
        </is>
      </c>
      <c r="Z6"/>
      <c r="AA6" t="inlineStr">
        <is>
          <t>Gonad(s)</t>
        </is>
      </c>
      <c r="AB6" t="n">
        <v>180.0</v>
      </c>
      <c r="AC6" t="inlineStr">
        <is>
          <t>Day(s)</t>
        </is>
      </c>
      <c r="AD6"/>
      <c r="AE6"/>
      <c r="AF6"/>
      <c r="AG6"/>
      <c r="AH6"/>
      <c r="AI6"/>
      <c r="AJ6" t="inlineStr">
        <is>
          <t>--</t>
        </is>
      </c>
      <c r="AK6"/>
      <c r="AL6"/>
      <c r="AM6"/>
      <c r="AN6"/>
      <c r="AO6"/>
      <c r="AP6"/>
      <c r="AQ6"/>
      <c r="AR6"/>
      <c r="AS6"/>
      <c r="AT6"/>
      <c r="AU6"/>
      <c r="AV6"/>
      <c r="AW6"/>
      <c r="AX6"/>
      <c r="AY6" t="inlineStr">
        <is>
          <t>Zhang,W., N. Sheng, M. Wang, H. Zhang, and J. Dai</t>
        </is>
      </c>
      <c r="AZ6" t="n">
        <v>175216.0</v>
      </c>
      <c r="BA6" t="inlineStr">
        <is>
          <t>Zebrafish Reproductive Toxicity Induced by Chronic Perfluorononanoate Exposure</t>
        </is>
      </c>
      <c r="BB6" t="inlineStr">
        <is>
          <t>Aquat. Toxicol.175:269-276</t>
        </is>
      </c>
      <c r="BC6" t="n">
        <v>2016.0</v>
      </c>
      <c r="BD6" t="inlineStr">
        <is>
          <t>Zhang,W., N. Sheng, M. Wang, H. Zhang, and J. Dai (2016). Zebrafish Reproductive Toxicity Induced by Chronic Perfluorononanoate Exposure. Aquat. Toxicol., 175, 269-276. doi:10.1016/j.aquatox.2016.04.005. ECOREF#:175216</t>
        </is>
      </c>
      <c r="BE6" t="inlineStr">
        <is>
          <t>Purity:  NR - NR | Organism Age:  NR - NR Month(s) | Duration (Days):  NR - NR Day(s) | Conc 2 (Standardized):  NR (NR - NR) NR | Conc 3 (Standardized):  NR (NR - NR) NR</t>
        </is>
      </c>
    </row>
    <row r="7">
      <c r="A7" t="n">
        <v>375951.0</v>
      </c>
      <c r="B7" t="inlineStr">
        <is>
          <t>2,2,3,3,4,4,5,5,6,6,7,7,8,8,9,9,9-Heptadecafluorononanoic acid</t>
        </is>
      </c>
      <c r="C7"/>
      <c r="D7" t="inlineStr">
        <is>
          <t>Measured</t>
        </is>
      </c>
      <c r="E7" t="n">
        <v>97.0</v>
      </c>
      <c r="F7" t="inlineStr">
        <is>
          <t>Pimephales promelas</t>
        </is>
      </c>
      <c r="G7" t="inlineStr">
        <is>
          <t>Fathead Minnow</t>
        </is>
      </c>
      <c r="H7" t="inlineStr">
        <is>
          <t>Fish; Standard Test Species</t>
        </is>
      </c>
      <c r="I7" t="inlineStr">
        <is>
          <t>Sexually mature</t>
        </is>
      </c>
      <c r="J7" t="n">
        <v>5.0</v>
      </c>
      <c r="K7" t="inlineStr">
        <is>
          <t>Month(s)</t>
        </is>
      </c>
      <c r="L7" t="inlineStr">
        <is>
          <t>Renewal</t>
        </is>
      </c>
      <c r="M7" t="inlineStr">
        <is>
          <t>Fresh water</t>
        </is>
      </c>
      <c r="N7" t="inlineStr">
        <is>
          <t>Lab</t>
        </is>
      </c>
      <c r="O7" t="n">
        <v>5.0</v>
      </c>
      <c r="P7" t="inlineStr">
        <is>
          <t>Active ingredient</t>
        </is>
      </c>
      <c r="Q7"/>
      <c r="R7"/>
      <c r="S7"/>
      <c r="T7" t="n">
        <v>0.1056</v>
      </c>
      <c r="U7"/>
      <c r="V7" t="n">
        <v>0.8422</v>
      </c>
      <c r="W7" t="inlineStr">
        <is>
          <t>AI mg/L</t>
        </is>
      </c>
      <c r="X7" t="inlineStr">
        <is>
          <t>Accumulation</t>
        </is>
      </c>
      <c r="Y7" t="inlineStr">
        <is>
          <t>Residue</t>
        </is>
      </c>
      <c r="Z7"/>
      <c r="AA7" t="inlineStr">
        <is>
          <t>Multiple entries</t>
        </is>
      </c>
      <c r="AB7" t="n">
        <v>42.0</v>
      </c>
      <c r="AC7" t="inlineStr">
        <is>
          <t>Day(s)</t>
        </is>
      </c>
      <c r="AD7"/>
      <c r="AE7"/>
      <c r="AF7"/>
      <c r="AG7"/>
      <c r="AH7"/>
      <c r="AI7"/>
      <c r="AJ7" t="inlineStr">
        <is>
          <t>--</t>
        </is>
      </c>
      <c r="AK7"/>
      <c r="AL7"/>
      <c r="AM7"/>
      <c r="AN7"/>
      <c r="AO7"/>
      <c r="AP7"/>
      <c r="AQ7"/>
      <c r="AR7"/>
      <c r="AS7"/>
      <c r="AT7"/>
      <c r="AU7"/>
      <c r="AV7"/>
      <c r="AW7"/>
      <c r="AX7"/>
      <c r="AY7" t="inlineStr">
        <is>
          <t>Suski,J.G., M.K. Chanov, C. Heron, J. Field, and C.J. Salice</t>
        </is>
      </c>
      <c r="AZ7" t="n">
        <v>191102.0</v>
      </c>
      <c r="BA7" t="inlineStr">
        <is>
          <t>Ecotoxicity and Accumulation of Perfluorononanoic Acid  in the Fathead Minnow (Pimephales promelas) and an Approach to Developing Protective Thresholds in the Aquatic Environment Through Species Sensitivity Distribution</t>
        </is>
      </c>
      <c r="BB7" t="inlineStr">
        <is>
          <t>Environ. Toxicol. Chem.:1-8</t>
        </is>
      </c>
      <c r="BC7" t="n">
        <v>2023.0</v>
      </c>
      <c r="BD7" t="inlineStr">
        <is>
          <t>Suski,J.G., M.K. Chanov, C. Heron, J. Field, and C.J. Salice (2023). Ecotoxicity and Accumulation of Perfluorononanoic Acid  in the Fathead Minnow (Pimephales promelas) and an Approach to Developing Protective Thresholds in the Aquatic Environment Through Species Sensitivity Distribution. Environ. Toxicol. Chem., 1-8. doi:10.1002/etc.5692. ECOREF#:191102</t>
        </is>
      </c>
      <c r="BE7" t="inlineStr">
        <is>
          <t>Purity:  NR - NR | Organism Age:  NR - NR Month(s) | Duration (Days):  NR - NR Day(s) | Conc 2 (Standardized):  NR (NR - NR) NR | Conc 3 (Standardized):  NR (NR - NR) NR</t>
        </is>
      </c>
    </row>
    <row r="8">
      <c r="A8" t="n">
        <v>375951.0</v>
      </c>
      <c r="B8" t="inlineStr">
        <is>
          <t>2,2,3,3,4,4,5,5,6,6,7,7,8,8,9,9,9-Heptadecafluorononanoic acid</t>
        </is>
      </c>
      <c r="C8"/>
      <c r="D8" t="inlineStr">
        <is>
          <t>Measured</t>
        </is>
      </c>
      <c r="E8" t="n">
        <v>97.0</v>
      </c>
      <c r="F8" t="inlineStr">
        <is>
          <t>Pimephales promelas</t>
        </is>
      </c>
      <c r="G8" t="inlineStr">
        <is>
          <t>Fathead Minnow</t>
        </is>
      </c>
      <c r="H8" t="inlineStr">
        <is>
          <t>Fish; Standard Test Species</t>
        </is>
      </c>
      <c r="I8" t="inlineStr">
        <is>
          <t>Sexually mature</t>
        </is>
      </c>
      <c r="J8" t="n">
        <v>5.0</v>
      </c>
      <c r="K8" t="inlineStr">
        <is>
          <t>Month(s)</t>
        </is>
      </c>
      <c r="L8" t="inlineStr">
        <is>
          <t>Renewal</t>
        </is>
      </c>
      <c r="M8" t="inlineStr">
        <is>
          <t>Fresh water</t>
        </is>
      </c>
      <c r="N8" t="inlineStr">
        <is>
          <t>Lab</t>
        </is>
      </c>
      <c r="O8" t="n">
        <v>5.0</v>
      </c>
      <c r="P8" t="inlineStr">
        <is>
          <t>Active ingredient</t>
        </is>
      </c>
      <c r="Q8"/>
      <c r="R8"/>
      <c r="S8"/>
      <c r="T8" t="n">
        <v>0.1056</v>
      </c>
      <c r="U8"/>
      <c r="V8" t="n">
        <v>0.8422</v>
      </c>
      <c r="W8" t="inlineStr">
        <is>
          <t>AI mg/L</t>
        </is>
      </c>
      <c r="X8" t="inlineStr">
        <is>
          <t>Accumulation</t>
        </is>
      </c>
      <c r="Y8" t="inlineStr">
        <is>
          <t>Residue</t>
        </is>
      </c>
      <c r="Z8"/>
      <c r="AA8" t="inlineStr">
        <is>
          <t>Multiple entries</t>
        </is>
      </c>
      <c r="AB8" t="n">
        <v>42.0</v>
      </c>
      <c r="AC8" t="inlineStr">
        <is>
          <t>Day(s)</t>
        </is>
      </c>
      <c r="AD8"/>
      <c r="AE8"/>
      <c r="AF8"/>
      <c r="AG8"/>
      <c r="AH8"/>
      <c r="AI8"/>
      <c r="AJ8" t="inlineStr">
        <is>
          <t>--</t>
        </is>
      </c>
      <c r="AK8"/>
      <c r="AL8"/>
      <c r="AM8"/>
      <c r="AN8"/>
      <c r="AO8"/>
      <c r="AP8"/>
      <c r="AQ8"/>
      <c r="AR8"/>
      <c r="AS8"/>
      <c r="AT8"/>
      <c r="AU8"/>
      <c r="AV8"/>
      <c r="AW8"/>
      <c r="AX8"/>
      <c r="AY8" t="inlineStr">
        <is>
          <t>Suski,J.G., M.K. Chanov, C. Heron, J. Field, and C.J. Salice</t>
        </is>
      </c>
      <c r="AZ8" t="n">
        <v>191102.0</v>
      </c>
      <c r="BA8" t="inlineStr">
        <is>
          <t>Ecotoxicity and Accumulation of Perfluorononanoic Acid  in the Fathead Minnow (Pimephales promelas) and an Approach to Developing Protective Thresholds in the Aquatic Environment Through Species Sensitivity Distribution</t>
        </is>
      </c>
      <c r="BB8" t="inlineStr">
        <is>
          <t>Environ. Toxicol. Chem.:1-8</t>
        </is>
      </c>
      <c r="BC8" t="n">
        <v>2023.0</v>
      </c>
      <c r="BD8" t="inlineStr">
        <is>
          <t>Suski,J.G., M.K. Chanov, C. Heron, J. Field, and C.J. Salice (2023). Ecotoxicity and Accumulation of Perfluorononanoic Acid  in the Fathead Minnow (Pimephales promelas) and an Approach to Developing Protective Thresholds in the Aquatic Environment Through Species Sensitivity Distribution. Environ. Toxicol. Chem., 1-8. doi:10.1002/etc.5692. ECOREF#:191102</t>
        </is>
      </c>
      <c r="BE8" t="inlineStr">
        <is>
          <t>Purity:  NR - NR | Organism Age:  NR - NR Month(s) | Duration (Days):  NR - NR Day(s) | Conc 2 (Standardized):  NR (NR - NR) NR | Conc 3 (Standardized):  NR (NR - NR) NR</t>
        </is>
      </c>
    </row>
    <row r="9">
      <c r="A9" t="n">
        <v>375951.0</v>
      </c>
      <c r="B9" t="inlineStr">
        <is>
          <t>2,2,3,3,4,4,5,5,6,6,7,7,8,8,9,9,9-Heptadecafluorononanoic acid</t>
        </is>
      </c>
      <c r="C9"/>
      <c r="D9" t="inlineStr">
        <is>
          <t>Unmeasured</t>
        </is>
      </c>
      <c r="E9" t="n">
        <v>97.0</v>
      </c>
      <c r="F9" t="inlineStr">
        <is>
          <t>Danio rerio</t>
        </is>
      </c>
      <c r="G9" t="inlineStr">
        <is>
          <t>Zebra Danio</t>
        </is>
      </c>
      <c r="H9" t="inlineStr">
        <is>
          <t>Fish; Standard Test Species</t>
        </is>
      </c>
      <c r="I9" t="inlineStr">
        <is>
          <t>Adult</t>
        </is>
      </c>
      <c r="J9" t="n">
        <v>5.0</v>
      </c>
      <c r="K9" t="inlineStr">
        <is>
          <t>Month(s)</t>
        </is>
      </c>
      <c r="L9" t="inlineStr">
        <is>
          <t>Flow-through</t>
        </is>
      </c>
      <c r="M9" t="inlineStr">
        <is>
          <t>Fresh water</t>
        </is>
      </c>
      <c r="N9" t="inlineStr">
        <is>
          <t>Lab</t>
        </is>
      </c>
      <c r="O9" t="n">
        <v>4.0</v>
      </c>
      <c r="P9" t="inlineStr">
        <is>
          <t>Active ingredient</t>
        </is>
      </c>
      <c r="Q9"/>
      <c r="R9"/>
      <c r="S9"/>
      <c r="T9" t="n">
        <v>0.01</v>
      </c>
      <c r="U9"/>
      <c r="V9" t="n">
        <v>1.0</v>
      </c>
      <c r="W9" t="inlineStr">
        <is>
          <t>AI mg/L</t>
        </is>
      </c>
      <c r="X9" t="inlineStr">
        <is>
          <t>Accumulation</t>
        </is>
      </c>
      <c r="Y9" t="inlineStr">
        <is>
          <t>Residue</t>
        </is>
      </c>
      <c r="Z9"/>
      <c r="AA9" t="inlineStr">
        <is>
          <t>Multiple entries</t>
        </is>
      </c>
      <c r="AB9" t="n">
        <v>180.0</v>
      </c>
      <c r="AC9" t="inlineStr">
        <is>
          <t>Day(s)</t>
        </is>
      </c>
      <c r="AD9"/>
      <c r="AE9"/>
      <c r="AF9"/>
      <c r="AG9"/>
      <c r="AH9"/>
      <c r="AI9"/>
      <c r="AJ9" t="inlineStr">
        <is>
          <t>--</t>
        </is>
      </c>
      <c r="AK9"/>
      <c r="AL9"/>
      <c r="AM9"/>
      <c r="AN9"/>
      <c r="AO9"/>
      <c r="AP9"/>
      <c r="AQ9"/>
      <c r="AR9"/>
      <c r="AS9"/>
      <c r="AT9"/>
      <c r="AU9"/>
      <c r="AV9"/>
      <c r="AW9"/>
      <c r="AX9"/>
      <c r="AY9" t="inlineStr">
        <is>
          <t>Zhang,W., Y. Zhang, H. Zhang, J. Wang, R. Cui, and J. Dai</t>
        </is>
      </c>
      <c r="AZ9" t="n">
        <v>160553.0</v>
      </c>
      <c r="BA9" t="inlineStr">
        <is>
          <t>Sex Differences in Transcriptional Expression of FABPs in Zebrafish Liver After Chronic Perfluorononanoic Acid Exposure</t>
        </is>
      </c>
      <c r="BB9" t="inlineStr">
        <is>
          <t>Environ. Sci. Technol.46(9): 5175-5182</t>
        </is>
      </c>
      <c r="BC9" t="n">
        <v>2012.0</v>
      </c>
      <c r="BD9" t="inlineStr">
        <is>
          <t>Zhang,W., Y. Zhang, H. Zhang, J. Wang, R. Cui, and J. Dai (2012). Sex Differences in Transcriptional Expression of FABPs in Zebrafish Liver After Chronic Perfluorononanoic Acid Exposure. Environ. Sci. Technol., 46, (9), 5175-5182. doi:10.1021/es300147w. ECOREF#:160553</t>
        </is>
      </c>
      <c r="BE9" t="inlineStr">
        <is>
          <t>Purity:  NR - NR | Organism Age:  NR - NR Month(s) | Duration (Days):  NR - NR Day(s) | Conc 2 (Standardized):  NR (NR - NR) NR | Conc 3 (Standardized):  NR (NR - NR) NR</t>
        </is>
      </c>
    </row>
    <row r="10">
      <c r="A10" t="n">
        <v>375951.0</v>
      </c>
      <c r="B10" t="inlineStr">
        <is>
          <t>2,2,3,3,4,4,5,5,6,6,7,7,8,8,9,9,9-Heptadecafluorononanoic acid</t>
        </is>
      </c>
      <c r="C10"/>
      <c r="D10" t="inlineStr">
        <is>
          <t>Measured</t>
        </is>
      </c>
      <c r="E10" t="n">
        <v>97.0</v>
      </c>
      <c r="F10" t="inlineStr">
        <is>
          <t>Oncorhynchus mykiss</t>
        </is>
      </c>
      <c r="G10" t="inlineStr">
        <is>
          <t>Rainbow Trout</t>
        </is>
      </c>
      <c r="H10" t="inlineStr">
        <is>
          <t>Fish; Standard Test Species; U.S. Threatened and Endangered Species</t>
        </is>
      </c>
      <c r="I10" t="inlineStr">
        <is>
          <t>Adult</t>
        </is>
      </c>
      <c r="J10" t="inlineStr">
        <is>
          <t>&gt;11</t>
        </is>
      </c>
      <c r="K10" t="inlineStr">
        <is>
          <t>Month(s)</t>
        </is>
      </c>
      <c r="L10" t="inlineStr">
        <is>
          <t>Food</t>
        </is>
      </c>
      <c r="M10" t="inlineStr">
        <is>
          <t>Fresh water</t>
        </is>
      </c>
      <c r="N10" t="inlineStr">
        <is>
          <t>Lab</t>
        </is>
      </c>
      <c r="O10" t="n">
        <v>1.0</v>
      </c>
      <c r="P10" t="inlineStr">
        <is>
          <t>Active ingredient</t>
        </is>
      </c>
      <c r="Q10"/>
      <c r="R10" t="n">
        <v>0.347</v>
      </c>
      <c r="S10"/>
      <c r="T10"/>
      <c r="U10"/>
      <c r="V10"/>
      <c r="W10" t="inlineStr">
        <is>
          <t>AI mg/kg food</t>
        </is>
      </c>
      <c r="X10" t="inlineStr">
        <is>
          <t>Accumulation</t>
        </is>
      </c>
      <c r="Y10" t="inlineStr">
        <is>
          <t>Residue</t>
        </is>
      </c>
      <c r="Z10" t="inlineStr">
        <is>
          <t>LOEC</t>
        </is>
      </c>
      <c r="AA10" t="inlineStr">
        <is>
          <t>Blood</t>
        </is>
      </c>
      <c r="AB10" t="inlineStr">
        <is>
          <t>&lt;=28</t>
        </is>
      </c>
      <c r="AC10" t="inlineStr">
        <is>
          <t>Day(s)</t>
        </is>
      </c>
      <c r="AD10"/>
      <c r="AE10"/>
      <c r="AF10"/>
      <c r="AG10"/>
      <c r="AH10"/>
      <c r="AI10"/>
      <c r="AJ10" t="inlineStr">
        <is>
          <t>--</t>
        </is>
      </c>
      <c r="AK10"/>
      <c r="AL10"/>
      <c r="AM10"/>
      <c r="AN10"/>
      <c r="AO10"/>
      <c r="AP10"/>
      <c r="AQ10"/>
      <c r="AR10"/>
      <c r="AS10"/>
      <c r="AT10"/>
      <c r="AU10"/>
      <c r="AV10"/>
      <c r="AW10"/>
      <c r="AX10"/>
      <c r="AY10" t="inlineStr">
        <is>
          <t>Falk,S., K. Failing, S. Georgii, H. Brunn, and T. Stahl</t>
        </is>
      </c>
      <c r="AZ10" t="n">
        <v>175197.0</v>
      </c>
      <c r="BA10" t="inlineStr">
        <is>
          <t>Tissue Specific Uptake and Elimination of Perfluoroalkyl Acids (PFAAS) in Adult Rainbow Trout (Oncorhynchus mykiss) After Dietary Exposure</t>
        </is>
      </c>
      <c r="BB10" t="inlineStr">
        <is>
          <t>Chemosphere129:150-156</t>
        </is>
      </c>
      <c r="BC10" t="n">
        <v>2015.0</v>
      </c>
      <c r="BD10" t="inlineStr">
        <is>
          <t>Falk,S., K. Failing, S. Georgii, H. Brunn, and T. Stahl (2015). Tissue Specific Uptake and Elimination of Perfluoroalkyl Acids (PFAAS) in Adult Rainbow Trout (Oncorhynchus mykiss) After Dietary Exposure. Chemosphere, 129, 150-156. doi:10.1016/j.chemosphere.2014.06.061. ECOREF#:175197</t>
        </is>
      </c>
      <c r="BE10" t="inlineStr">
        <is>
          <t>Purity:  NR - NR | Organism Age:  NR - NR Month(s) | Duration (Days):  NR - NR Day(s) | Conc 2 (Standardized):  NR (NR - NR) NR | Conc 3 (Standardized):  NR (NR - NR) NR</t>
        </is>
      </c>
    </row>
    <row r="11">
      <c r="A11" t="n">
        <v>375951.0</v>
      </c>
      <c r="B11" t="inlineStr">
        <is>
          <t>2,2,3,3,4,4,5,5,6,6,7,7,8,8,9,9,9-Heptadecafluorononanoic acid</t>
        </is>
      </c>
      <c r="C11"/>
      <c r="D11" t="inlineStr">
        <is>
          <t>Measured</t>
        </is>
      </c>
      <c r="E11" t="n">
        <v>97.0</v>
      </c>
      <c r="F11" t="inlineStr">
        <is>
          <t>Oncorhynchus mykiss</t>
        </is>
      </c>
      <c r="G11" t="inlineStr">
        <is>
          <t>Rainbow Trout</t>
        </is>
      </c>
      <c r="H11" t="inlineStr">
        <is>
          <t>Fish; Standard Test Species; U.S. Threatened and Endangered Species</t>
        </is>
      </c>
      <c r="I11" t="inlineStr">
        <is>
          <t>Adult</t>
        </is>
      </c>
      <c r="J11" t="inlineStr">
        <is>
          <t>&gt;11</t>
        </is>
      </c>
      <c r="K11" t="inlineStr">
        <is>
          <t>Month(s)</t>
        </is>
      </c>
      <c r="L11" t="inlineStr">
        <is>
          <t>Food</t>
        </is>
      </c>
      <c r="M11" t="inlineStr">
        <is>
          <t>Fresh water</t>
        </is>
      </c>
      <c r="N11" t="inlineStr">
        <is>
          <t>Lab</t>
        </is>
      </c>
      <c r="O11" t="n">
        <v>1.0</v>
      </c>
      <c r="P11" t="inlineStr">
        <is>
          <t>Active ingredient</t>
        </is>
      </c>
      <c r="Q11"/>
      <c r="R11" t="n">
        <v>0.347</v>
      </c>
      <c r="S11"/>
      <c r="T11"/>
      <c r="U11"/>
      <c r="V11"/>
      <c r="W11" t="inlineStr">
        <is>
          <t>AI mg/kg food</t>
        </is>
      </c>
      <c r="X11" t="inlineStr">
        <is>
          <t>Accumulation</t>
        </is>
      </c>
      <c r="Y11" t="inlineStr">
        <is>
          <t>Residue</t>
        </is>
      </c>
      <c r="Z11" t="inlineStr">
        <is>
          <t>LOEC</t>
        </is>
      </c>
      <c r="AA11" t="inlineStr">
        <is>
          <t>Residual, remnant, carcass</t>
        </is>
      </c>
      <c r="AB11" t="inlineStr">
        <is>
          <t>&lt;=28</t>
        </is>
      </c>
      <c r="AC11" t="inlineStr">
        <is>
          <t>Day(s)</t>
        </is>
      </c>
      <c r="AD11"/>
      <c r="AE11"/>
      <c r="AF11"/>
      <c r="AG11"/>
      <c r="AH11"/>
      <c r="AI11"/>
      <c r="AJ11" t="inlineStr">
        <is>
          <t>--</t>
        </is>
      </c>
      <c r="AK11"/>
      <c r="AL11"/>
      <c r="AM11"/>
      <c r="AN11"/>
      <c r="AO11"/>
      <c r="AP11"/>
      <c r="AQ11"/>
      <c r="AR11"/>
      <c r="AS11"/>
      <c r="AT11"/>
      <c r="AU11"/>
      <c r="AV11"/>
      <c r="AW11"/>
      <c r="AX11"/>
      <c r="AY11" t="inlineStr">
        <is>
          <t>Falk,S., K. Failing, S. Georgii, H. Brunn, and T. Stahl</t>
        </is>
      </c>
      <c r="AZ11" t="n">
        <v>175197.0</v>
      </c>
      <c r="BA11" t="inlineStr">
        <is>
          <t>Tissue Specific Uptake and Elimination of Perfluoroalkyl Acids (PFAAS) in Adult Rainbow Trout (Oncorhynchus mykiss) After Dietary Exposure</t>
        </is>
      </c>
      <c r="BB11" t="inlineStr">
        <is>
          <t>Chemosphere129:150-156</t>
        </is>
      </c>
      <c r="BC11" t="n">
        <v>2015.0</v>
      </c>
      <c r="BD11" t="inlineStr">
        <is>
          <t>Falk,S., K. Failing, S. Georgii, H. Brunn, and T. Stahl (2015). Tissue Specific Uptake and Elimination of Perfluoroalkyl Acids (PFAAS) in Adult Rainbow Trout (Oncorhynchus mykiss) After Dietary Exposure. Chemosphere, 129, 150-156. doi:10.1016/j.chemosphere.2014.06.061. ECOREF#:175197</t>
        </is>
      </c>
      <c r="BE11" t="inlineStr">
        <is>
          <t>Purity:  NR - NR | Organism Age:  NR - NR Month(s) | Duration (Days):  NR - NR Day(s) | Conc 2 (Standardized):  NR (NR - NR) NR | Conc 3 (Standardized):  NR (NR - NR) NR</t>
        </is>
      </c>
    </row>
    <row r="12">
      <c r="A12" t="n">
        <v>375951.0</v>
      </c>
      <c r="B12" t="inlineStr">
        <is>
          <t>2,2,3,3,4,4,5,5,6,6,7,7,8,8,9,9,9-Heptadecafluorononanoic acid</t>
        </is>
      </c>
      <c r="C12"/>
      <c r="D12" t="inlineStr">
        <is>
          <t>Measured</t>
        </is>
      </c>
      <c r="E12" t="n">
        <v>97.0</v>
      </c>
      <c r="F12" t="inlineStr">
        <is>
          <t>Oncorhynchus mykiss</t>
        </is>
      </c>
      <c r="G12" t="inlineStr">
        <is>
          <t>Rainbow Trout</t>
        </is>
      </c>
      <c r="H12" t="inlineStr">
        <is>
          <t>Fish; Standard Test Species; U.S. Threatened and Endangered Species</t>
        </is>
      </c>
      <c r="I12" t="inlineStr">
        <is>
          <t>Adult</t>
        </is>
      </c>
      <c r="J12" t="inlineStr">
        <is>
          <t>&gt;11</t>
        </is>
      </c>
      <c r="K12" t="inlineStr">
        <is>
          <t>Month(s)</t>
        </is>
      </c>
      <c r="L12" t="inlineStr">
        <is>
          <t>Food</t>
        </is>
      </c>
      <c r="M12" t="inlineStr">
        <is>
          <t>Fresh water</t>
        </is>
      </c>
      <c r="N12" t="inlineStr">
        <is>
          <t>Lab</t>
        </is>
      </c>
      <c r="O12" t="n">
        <v>1.0</v>
      </c>
      <c r="P12" t="inlineStr">
        <is>
          <t>Active ingredient</t>
        </is>
      </c>
      <c r="Q12"/>
      <c r="R12" t="n">
        <v>0.347</v>
      </c>
      <c r="S12"/>
      <c r="T12"/>
      <c r="U12"/>
      <c r="V12"/>
      <c r="W12" t="inlineStr">
        <is>
          <t>AI mg/kg food</t>
        </is>
      </c>
      <c r="X12" t="inlineStr">
        <is>
          <t>Accumulation</t>
        </is>
      </c>
      <c r="Y12" t="inlineStr">
        <is>
          <t>Residue</t>
        </is>
      </c>
      <c r="Z12" t="inlineStr">
        <is>
          <t>LOEC</t>
        </is>
      </c>
      <c r="AA12" t="inlineStr">
        <is>
          <t>Gill(s)</t>
        </is>
      </c>
      <c r="AB12" t="inlineStr">
        <is>
          <t>&lt;=28</t>
        </is>
      </c>
      <c r="AC12" t="inlineStr">
        <is>
          <t>Day(s)</t>
        </is>
      </c>
      <c r="AD12"/>
      <c r="AE12"/>
      <c r="AF12"/>
      <c r="AG12"/>
      <c r="AH12"/>
      <c r="AI12"/>
      <c r="AJ12" t="inlineStr">
        <is>
          <t>--</t>
        </is>
      </c>
      <c r="AK12"/>
      <c r="AL12"/>
      <c r="AM12"/>
      <c r="AN12"/>
      <c r="AO12"/>
      <c r="AP12"/>
      <c r="AQ12"/>
      <c r="AR12"/>
      <c r="AS12"/>
      <c r="AT12"/>
      <c r="AU12"/>
      <c r="AV12"/>
      <c r="AW12"/>
      <c r="AX12"/>
      <c r="AY12" t="inlineStr">
        <is>
          <t>Falk,S., K. Failing, S. Georgii, H. Brunn, and T. Stahl</t>
        </is>
      </c>
      <c r="AZ12" t="n">
        <v>175197.0</v>
      </c>
      <c r="BA12" t="inlineStr">
        <is>
          <t>Tissue Specific Uptake and Elimination of Perfluoroalkyl Acids (PFAAS) in Adult Rainbow Trout (Oncorhynchus mykiss) After Dietary Exposure</t>
        </is>
      </c>
      <c r="BB12" t="inlineStr">
        <is>
          <t>Chemosphere129:150-156</t>
        </is>
      </c>
      <c r="BC12" t="n">
        <v>2015.0</v>
      </c>
      <c r="BD12" t="inlineStr">
        <is>
          <t>Falk,S., K. Failing, S. Georgii, H. Brunn, and T. Stahl (2015). Tissue Specific Uptake and Elimination of Perfluoroalkyl Acids (PFAAS) in Adult Rainbow Trout (Oncorhynchus mykiss) After Dietary Exposure. Chemosphere, 129, 150-156. doi:10.1016/j.chemosphere.2014.06.061. ECOREF#:175197</t>
        </is>
      </c>
      <c r="BE12" t="inlineStr">
        <is>
          <t>Purity:  NR - NR | Organism Age:  NR - NR Month(s) | Duration (Days):  NR - NR Day(s) | Conc 2 (Standardized):  NR (NR - NR) NR | Conc 3 (Standardized):  NR (NR - NR) NR</t>
        </is>
      </c>
    </row>
    <row r="13">
      <c r="A13" t="n">
        <v>375951.0</v>
      </c>
      <c r="B13" t="inlineStr">
        <is>
          <t>2,2,3,3,4,4,5,5,6,6,7,7,8,8,9,9,9-Heptadecafluorononanoic acid</t>
        </is>
      </c>
      <c r="C13"/>
      <c r="D13" t="inlineStr">
        <is>
          <t>Measured</t>
        </is>
      </c>
      <c r="E13" t="n">
        <v>97.0</v>
      </c>
      <c r="F13" t="inlineStr">
        <is>
          <t>Oncorhynchus mykiss</t>
        </is>
      </c>
      <c r="G13" t="inlineStr">
        <is>
          <t>Rainbow Trout</t>
        </is>
      </c>
      <c r="H13" t="inlineStr">
        <is>
          <t>Fish; Standard Test Species; U.S. Threatened and Endangered Species</t>
        </is>
      </c>
      <c r="I13" t="inlineStr">
        <is>
          <t>Adult</t>
        </is>
      </c>
      <c r="J13" t="inlineStr">
        <is>
          <t>&gt;11</t>
        </is>
      </c>
      <c r="K13" t="inlineStr">
        <is>
          <t>Month(s)</t>
        </is>
      </c>
      <c r="L13" t="inlineStr">
        <is>
          <t>Food</t>
        </is>
      </c>
      <c r="M13" t="inlineStr">
        <is>
          <t>Fresh water</t>
        </is>
      </c>
      <c r="N13" t="inlineStr">
        <is>
          <t>Lab</t>
        </is>
      </c>
      <c r="O13" t="n">
        <v>1.0</v>
      </c>
      <c r="P13" t="inlineStr">
        <is>
          <t>Active ingredient</t>
        </is>
      </c>
      <c r="Q13"/>
      <c r="R13" t="n">
        <v>0.347</v>
      </c>
      <c r="S13"/>
      <c r="T13"/>
      <c r="U13"/>
      <c r="V13"/>
      <c r="W13" t="inlineStr">
        <is>
          <t>AI mg/kg food</t>
        </is>
      </c>
      <c r="X13" t="inlineStr">
        <is>
          <t>Accumulation</t>
        </is>
      </c>
      <c r="Y13" t="inlineStr">
        <is>
          <t>Residue</t>
        </is>
      </c>
      <c r="Z13" t="inlineStr">
        <is>
          <t>LOEC</t>
        </is>
      </c>
      <c r="AA13" t="inlineStr">
        <is>
          <t>Kidney</t>
        </is>
      </c>
      <c r="AB13" t="inlineStr">
        <is>
          <t>&lt;=28</t>
        </is>
      </c>
      <c r="AC13" t="inlineStr">
        <is>
          <t>Day(s)</t>
        </is>
      </c>
      <c r="AD13"/>
      <c r="AE13"/>
      <c r="AF13"/>
      <c r="AG13"/>
      <c r="AH13"/>
      <c r="AI13"/>
      <c r="AJ13" t="inlineStr">
        <is>
          <t>--</t>
        </is>
      </c>
      <c r="AK13"/>
      <c r="AL13"/>
      <c r="AM13"/>
      <c r="AN13"/>
      <c r="AO13"/>
      <c r="AP13"/>
      <c r="AQ13"/>
      <c r="AR13"/>
      <c r="AS13"/>
      <c r="AT13"/>
      <c r="AU13"/>
      <c r="AV13"/>
      <c r="AW13"/>
      <c r="AX13"/>
      <c r="AY13" t="inlineStr">
        <is>
          <t>Falk,S., K. Failing, S. Georgii, H. Brunn, and T. Stahl</t>
        </is>
      </c>
      <c r="AZ13" t="n">
        <v>175197.0</v>
      </c>
      <c r="BA13" t="inlineStr">
        <is>
          <t>Tissue Specific Uptake and Elimination of Perfluoroalkyl Acids (PFAAS) in Adult Rainbow Trout (Oncorhynchus mykiss) After Dietary Exposure</t>
        </is>
      </c>
      <c r="BB13" t="inlineStr">
        <is>
          <t>Chemosphere129:150-156</t>
        </is>
      </c>
      <c r="BC13" t="n">
        <v>2015.0</v>
      </c>
      <c r="BD13" t="inlineStr">
        <is>
          <t>Falk,S., K. Failing, S. Georgii, H. Brunn, and T. Stahl (2015). Tissue Specific Uptake and Elimination of Perfluoroalkyl Acids (PFAAS) in Adult Rainbow Trout (Oncorhynchus mykiss) After Dietary Exposure. Chemosphere, 129, 150-156. doi:10.1016/j.chemosphere.2014.06.061. ECOREF#:175197</t>
        </is>
      </c>
      <c r="BE13" t="inlineStr">
        <is>
          <t>Purity:  NR - NR | Organism Age:  NR - NR Month(s) | Duration (Days):  NR - NR Day(s) | Conc 2 (Standardized):  NR (NR - NR) NR | Conc 3 (Standardized):  NR (NR - NR) NR</t>
        </is>
      </c>
    </row>
    <row r="14">
      <c r="A14" t="n">
        <v>375951.0</v>
      </c>
      <c r="B14" t="inlineStr">
        <is>
          <t>2,2,3,3,4,4,5,5,6,6,7,7,8,8,9,9,9-Heptadecafluorononanoic acid</t>
        </is>
      </c>
      <c r="C14"/>
      <c r="D14" t="inlineStr">
        <is>
          <t>Measured</t>
        </is>
      </c>
      <c r="E14" t="n">
        <v>97.0</v>
      </c>
      <c r="F14" t="inlineStr">
        <is>
          <t>Oncorhynchus mykiss</t>
        </is>
      </c>
      <c r="G14" t="inlineStr">
        <is>
          <t>Rainbow Trout</t>
        </is>
      </c>
      <c r="H14" t="inlineStr">
        <is>
          <t>Fish; Standard Test Species; U.S. Threatened and Endangered Species</t>
        </is>
      </c>
      <c r="I14" t="inlineStr">
        <is>
          <t>Adult</t>
        </is>
      </c>
      <c r="J14" t="inlineStr">
        <is>
          <t>&gt;11</t>
        </is>
      </c>
      <c r="K14" t="inlineStr">
        <is>
          <t>Month(s)</t>
        </is>
      </c>
      <c r="L14" t="inlineStr">
        <is>
          <t>Food</t>
        </is>
      </c>
      <c r="M14" t="inlineStr">
        <is>
          <t>Fresh water</t>
        </is>
      </c>
      <c r="N14" t="inlineStr">
        <is>
          <t>Lab</t>
        </is>
      </c>
      <c r="O14" t="n">
        <v>1.0</v>
      </c>
      <c r="P14" t="inlineStr">
        <is>
          <t>Active ingredient</t>
        </is>
      </c>
      <c r="Q14"/>
      <c r="R14" t="n">
        <v>0.347</v>
      </c>
      <c r="S14"/>
      <c r="T14"/>
      <c r="U14"/>
      <c r="V14"/>
      <c r="W14" t="inlineStr">
        <is>
          <t>AI mg/kg food</t>
        </is>
      </c>
      <c r="X14" t="inlineStr">
        <is>
          <t>Accumulation</t>
        </is>
      </c>
      <c r="Y14" t="inlineStr">
        <is>
          <t>Residue</t>
        </is>
      </c>
      <c r="Z14" t="inlineStr">
        <is>
          <t>LOEC</t>
        </is>
      </c>
      <c r="AA14" t="inlineStr">
        <is>
          <t>Muscle</t>
        </is>
      </c>
      <c r="AB14" t="inlineStr">
        <is>
          <t>&lt;=28</t>
        </is>
      </c>
      <c r="AC14" t="inlineStr">
        <is>
          <t>Day(s)</t>
        </is>
      </c>
      <c r="AD14"/>
      <c r="AE14"/>
      <c r="AF14"/>
      <c r="AG14"/>
      <c r="AH14"/>
      <c r="AI14"/>
      <c r="AJ14" t="inlineStr">
        <is>
          <t>--</t>
        </is>
      </c>
      <c r="AK14"/>
      <c r="AL14"/>
      <c r="AM14"/>
      <c r="AN14"/>
      <c r="AO14"/>
      <c r="AP14"/>
      <c r="AQ14"/>
      <c r="AR14"/>
      <c r="AS14"/>
      <c r="AT14"/>
      <c r="AU14"/>
      <c r="AV14"/>
      <c r="AW14"/>
      <c r="AX14"/>
      <c r="AY14" t="inlineStr">
        <is>
          <t>Falk,S., K. Failing, S. Georgii, H. Brunn, and T. Stahl</t>
        </is>
      </c>
      <c r="AZ14" t="n">
        <v>175197.0</v>
      </c>
      <c r="BA14" t="inlineStr">
        <is>
          <t>Tissue Specific Uptake and Elimination of Perfluoroalkyl Acids (PFAAS) in Adult Rainbow Trout (Oncorhynchus mykiss) After Dietary Exposure</t>
        </is>
      </c>
      <c r="BB14" t="inlineStr">
        <is>
          <t>Chemosphere129:150-156</t>
        </is>
      </c>
      <c r="BC14" t="n">
        <v>2015.0</v>
      </c>
      <c r="BD14" t="inlineStr">
        <is>
          <t>Falk,S., K. Failing, S. Georgii, H. Brunn, and T. Stahl (2015). Tissue Specific Uptake and Elimination of Perfluoroalkyl Acids (PFAAS) in Adult Rainbow Trout (Oncorhynchus mykiss) After Dietary Exposure. Chemosphere, 129, 150-156. doi:10.1016/j.chemosphere.2014.06.061. ECOREF#:175197</t>
        </is>
      </c>
      <c r="BE14" t="inlineStr">
        <is>
          <t>Purity:  NR - NR | Organism Age:  NR - NR Month(s) | Duration (Days):  NR - NR Day(s) | Conc 2 (Standardized):  NR (NR - NR) NR | Conc 3 (Standardized):  NR (NR - NR) NR</t>
        </is>
      </c>
    </row>
    <row r="15">
      <c r="A15" t="n">
        <v>375951.0</v>
      </c>
      <c r="B15" t="inlineStr">
        <is>
          <t>2,2,3,3,4,4,5,5,6,6,7,7,8,8,9,9,9-Heptadecafluorononanoic acid</t>
        </is>
      </c>
      <c r="C15"/>
      <c r="D15" t="inlineStr">
        <is>
          <t>Measured</t>
        </is>
      </c>
      <c r="E15" t="n">
        <v>97.0</v>
      </c>
      <c r="F15" t="inlineStr">
        <is>
          <t>Oncorhynchus mykiss</t>
        </is>
      </c>
      <c r="G15" t="inlineStr">
        <is>
          <t>Rainbow Trout</t>
        </is>
      </c>
      <c r="H15" t="inlineStr">
        <is>
          <t>Fish; Standard Test Species; U.S. Threatened and Endangered Species</t>
        </is>
      </c>
      <c r="I15" t="inlineStr">
        <is>
          <t>Adult</t>
        </is>
      </c>
      <c r="J15" t="inlineStr">
        <is>
          <t>&gt;11</t>
        </is>
      </c>
      <c r="K15" t="inlineStr">
        <is>
          <t>Month(s)</t>
        </is>
      </c>
      <c r="L15" t="inlineStr">
        <is>
          <t>Food</t>
        </is>
      </c>
      <c r="M15" t="inlineStr">
        <is>
          <t>Fresh water</t>
        </is>
      </c>
      <c r="N15" t="inlineStr">
        <is>
          <t>Lab</t>
        </is>
      </c>
      <c r="O15" t="n">
        <v>1.0</v>
      </c>
      <c r="P15" t="inlineStr">
        <is>
          <t>Active ingredient</t>
        </is>
      </c>
      <c r="Q15"/>
      <c r="R15" t="n">
        <v>0.347</v>
      </c>
      <c r="S15"/>
      <c r="T15"/>
      <c r="U15"/>
      <c r="V15"/>
      <c r="W15" t="inlineStr">
        <is>
          <t>AI mg/kg food</t>
        </is>
      </c>
      <c r="X15" t="inlineStr">
        <is>
          <t>Accumulation</t>
        </is>
      </c>
      <c r="Y15" t="inlineStr">
        <is>
          <t>Residue</t>
        </is>
      </c>
      <c r="Z15" t="inlineStr">
        <is>
          <t>LOEC</t>
        </is>
      </c>
      <c r="AA15" t="inlineStr">
        <is>
          <t>Skin, epidermis</t>
        </is>
      </c>
      <c r="AB15" t="inlineStr">
        <is>
          <t>&lt;=28</t>
        </is>
      </c>
      <c r="AC15" t="inlineStr">
        <is>
          <t>Day(s)</t>
        </is>
      </c>
      <c r="AD15"/>
      <c r="AE15"/>
      <c r="AF15"/>
      <c r="AG15"/>
      <c r="AH15"/>
      <c r="AI15"/>
      <c r="AJ15" t="inlineStr">
        <is>
          <t>--</t>
        </is>
      </c>
      <c r="AK15"/>
      <c r="AL15"/>
      <c r="AM15"/>
      <c r="AN15"/>
      <c r="AO15"/>
      <c r="AP15"/>
      <c r="AQ15"/>
      <c r="AR15"/>
      <c r="AS15"/>
      <c r="AT15"/>
      <c r="AU15"/>
      <c r="AV15"/>
      <c r="AW15"/>
      <c r="AX15"/>
      <c r="AY15" t="inlineStr">
        <is>
          <t>Falk,S., K. Failing, S. Georgii, H. Brunn, and T. Stahl</t>
        </is>
      </c>
      <c r="AZ15" t="n">
        <v>175197.0</v>
      </c>
      <c r="BA15" t="inlineStr">
        <is>
          <t>Tissue Specific Uptake and Elimination of Perfluoroalkyl Acids (PFAAS) in Adult Rainbow Trout (Oncorhynchus mykiss) After Dietary Exposure</t>
        </is>
      </c>
      <c r="BB15" t="inlineStr">
        <is>
          <t>Chemosphere129:150-156</t>
        </is>
      </c>
      <c r="BC15" t="n">
        <v>2015.0</v>
      </c>
      <c r="BD15" t="inlineStr">
        <is>
          <t>Falk,S., K. Failing, S. Georgii, H. Brunn, and T. Stahl (2015). Tissue Specific Uptake and Elimination of Perfluoroalkyl Acids (PFAAS) in Adult Rainbow Trout (Oncorhynchus mykiss) After Dietary Exposure. Chemosphere, 129, 150-156. doi:10.1016/j.chemosphere.2014.06.061. ECOREF#:175197</t>
        </is>
      </c>
      <c r="BE15" t="inlineStr">
        <is>
          <t>Purity:  NR - NR | Organism Age:  NR - NR Month(s) | Duration (Days):  NR - NR Day(s) | Conc 2 (Standardized):  NR (NR - NR) NR | Conc 3 (Standardized):  NR (NR - NR) NR</t>
        </is>
      </c>
    </row>
    <row r="16">
      <c r="A16" t="n">
        <v>375951.0</v>
      </c>
      <c r="B16" t="inlineStr">
        <is>
          <t>2,2,3,3,4,4,5,5,6,6,7,7,8,8,9,9,9-Heptadecafluorononanoic acid</t>
        </is>
      </c>
      <c r="C16"/>
      <c r="D16" t="inlineStr">
        <is>
          <t>Measured</t>
        </is>
      </c>
      <c r="E16" t="n">
        <v>97.0</v>
      </c>
      <c r="F16" t="inlineStr">
        <is>
          <t>Oncorhynchus mykiss</t>
        </is>
      </c>
      <c r="G16" t="inlineStr">
        <is>
          <t>Rainbow Trout</t>
        </is>
      </c>
      <c r="H16" t="inlineStr">
        <is>
          <t>Fish; Standard Test Species; U.S. Threatened and Endangered Species</t>
        </is>
      </c>
      <c r="I16" t="inlineStr">
        <is>
          <t>Adult</t>
        </is>
      </c>
      <c r="J16" t="inlineStr">
        <is>
          <t>&gt;11</t>
        </is>
      </c>
      <c r="K16" t="inlineStr">
        <is>
          <t>Month(s)</t>
        </is>
      </c>
      <c r="L16" t="inlineStr">
        <is>
          <t>Food</t>
        </is>
      </c>
      <c r="M16" t="inlineStr">
        <is>
          <t>Fresh water</t>
        </is>
      </c>
      <c r="N16" t="inlineStr">
        <is>
          <t>Lab</t>
        </is>
      </c>
      <c r="O16" t="n">
        <v>1.0</v>
      </c>
      <c r="P16" t="inlineStr">
        <is>
          <t>Active ingredient</t>
        </is>
      </c>
      <c r="Q16"/>
      <c r="R16" t="n">
        <v>0.347</v>
      </c>
      <c r="S16"/>
      <c r="T16"/>
      <c r="U16"/>
      <c r="V16"/>
      <c r="W16" t="inlineStr">
        <is>
          <t>AI mg/kg food</t>
        </is>
      </c>
      <c r="X16" t="inlineStr">
        <is>
          <t>Accumulation</t>
        </is>
      </c>
      <c r="Y16" t="inlineStr">
        <is>
          <t>Residue</t>
        </is>
      </c>
      <c r="Z16" t="inlineStr">
        <is>
          <t>LOEC</t>
        </is>
      </c>
      <c r="AA16" t="inlineStr">
        <is>
          <t>Liver</t>
        </is>
      </c>
      <c r="AB16" t="inlineStr">
        <is>
          <t>&lt;=28</t>
        </is>
      </c>
      <c r="AC16" t="inlineStr">
        <is>
          <t>Day(s)</t>
        </is>
      </c>
      <c r="AD16"/>
      <c r="AE16"/>
      <c r="AF16"/>
      <c r="AG16"/>
      <c r="AH16"/>
      <c r="AI16"/>
      <c r="AJ16" t="inlineStr">
        <is>
          <t>--</t>
        </is>
      </c>
      <c r="AK16"/>
      <c r="AL16"/>
      <c r="AM16"/>
      <c r="AN16"/>
      <c r="AO16"/>
      <c r="AP16"/>
      <c r="AQ16"/>
      <c r="AR16"/>
      <c r="AS16"/>
      <c r="AT16"/>
      <c r="AU16"/>
      <c r="AV16"/>
      <c r="AW16"/>
      <c r="AX16"/>
      <c r="AY16" t="inlineStr">
        <is>
          <t>Falk,S., K. Failing, S. Georgii, H. Brunn, and T. Stahl</t>
        </is>
      </c>
      <c r="AZ16" t="n">
        <v>175197.0</v>
      </c>
      <c r="BA16" t="inlineStr">
        <is>
          <t>Tissue Specific Uptake and Elimination of Perfluoroalkyl Acids (PFAAS) in Adult Rainbow Trout (Oncorhynchus mykiss) After Dietary Exposure</t>
        </is>
      </c>
      <c r="BB16" t="inlineStr">
        <is>
          <t>Chemosphere129:150-156</t>
        </is>
      </c>
      <c r="BC16" t="n">
        <v>2015.0</v>
      </c>
      <c r="BD16" t="inlineStr">
        <is>
          <t>Falk,S., K. Failing, S. Georgii, H. Brunn, and T. Stahl (2015). Tissue Specific Uptake and Elimination of Perfluoroalkyl Acids (PFAAS) in Adult Rainbow Trout (Oncorhynchus mykiss) After Dietary Exposure. Chemosphere, 129, 150-156. doi:10.1016/j.chemosphere.2014.06.061. ECOREF#:175197</t>
        </is>
      </c>
      <c r="BE16" t="inlineStr">
        <is>
          <t>Purity:  NR - NR | Organism Age:  NR - NR Month(s) | Duration (Days):  NR - NR Day(s) | Conc 2 (Standardized):  NR (NR - NR) NR | Conc 3 (Standardized):  NR (NR - NR) NR</t>
        </is>
      </c>
    </row>
    <row r="17">
      <c r="A17" t="n">
        <v>375951.0</v>
      </c>
      <c r="B17" t="inlineStr">
        <is>
          <t>2,2,3,3,4,4,5,5,6,6,7,7,8,8,9,9,9-Heptadecafluorononanoic acid</t>
        </is>
      </c>
      <c r="C17"/>
      <c r="D17" t="inlineStr">
        <is>
          <t>Measured</t>
        </is>
      </c>
      <c r="E17" t="n">
        <v>95.0</v>
      </c>
      <c r="F17" t="inlineStr">
        <is>
          <t>Chironomus plumosus</t>
        </is>
      </c>
      <c r="G17" t="inlineStr">
        <is>
          <t>Midge</t>
        </is>
      </c>
      <c r="H17" t="inlineStr">
        <is>
          <t>Insects/Spiders</t>
        </is>
      </c>
      <c r="I17" t="inlineStr">
        <is>
          <t>Larva</t>
        </is>
      </c>
      <c r="J17" t="inlineStr">
        <is>
          <t>NR</t>
        </is>
      </c>
      <c r="K17" t="inlineStr">
        <is>
          <t>Instantaneous</t>
        </is>
      </c>
      <c r="L17" t="inlineStr">
        <is>
          <t>Static</t>
        </is>
      </c>
      <c r="M17" t="inlineStr">
        <is>
          <t>Fresh water</t>
        </is>
      </c>
      <c r="N17" t="inlineStr">
        <is>
          <t>Lab</t>
        </is>
      </c>
      <c r="O17" t="n">
        <v>2.0</v>
      </c>
      <c r="P17" t="inlineStr">
        <is>
          <t>Active ingredient</t>
        </is>
      </c>
      <c r="Q17"/>
      <c r="R17" t="n">
        <v>0.0096</v>
      </c>
      <c r="S17"/>
      <c r="T17"/>
      <c r="U17"/>
      <c r="V17"/>
      <c r="W17" t="inlineStr">
        <is>
          <t>AI mg/L</t>
        </is>
      </c>
      <c r="X17" t="inlineStr">
        <is>
          <t>Accumulation</t>
        </is>
      </c>
      <c r="Y17" t="inlineStr">
        <is>
          <t>Residue</t>
        </is>
      </c>
      <c r="Z17"/>
      <c r="AA17" t="inlineStr">
        <is>
          <t>Whole organism</t>
        </is>
      </c>
      <c r="AB17" t="n">
        <v>10.33</v>
      </c>
      <c r="AC17" t="inlineStr">
        <is>
          <t>Day(s)</t>
        </is>
      </c>
      <c r="AD17"/>
      <c r="AE17"/>
      <c r="AF17"/>
      <c r="AG17"/>
      <c r="AH17"/>
      <c r="AI17"/>
      <c r="AJ17" t="inlineStr">
        <is>
          <t>--</t>
        </is>
      </c>
      <c r="AK17"/>
      <c r="AL17"/>
      <c r="AM17"/>
      <c r="AN17"/>
      <c r="AO17"/>
      <c r="AP17"/>
      <c r="AQ17"/>
      <c r="AR17"/>
      <c r="AS17"/>
      <c r="AT17"/>
      <c r="AU17"/>
      <c r="AV17"/>
      <c r="AW17"/>
      <c r="AX17"/>
      <c r="AY17" t="inlineStr">
        <is>
          <t>Zhai,Y., X. Xia, X. Zhao, H. Dong, B. Zhu, N. Xia, and J. Dong</t>
        </is>
      </c>
      <c r="AZ17" t="n">
        <v>177074.0</v>
      </c>
      <c r="BA17" t="inlineStr">
        <is>
          <t>Role of Ingestion Route in the Perfluoroalkyl Substance Bioaccumulation by Chironomus plumosus Larvae in Sediments Amended with Carbonaceous Materials</t>
        </is>
      </c>
      <c r="BB17" t="inlineStr">
        <is>
          <t>J. Hazard. Mater.302:404-414</t>
        </is>
      </c>
      <c r="BC17" t="n">
        <v>2016.0</v>
      </c>
      <c r="BD17"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c r="BE17" t="inlineStr">
        <is>
          <t>Purity:  NR - NR | Organism Age:  3 - 4 Instantaneous | Duration (Days):  NR - NR Day(s) | Conc 2 (Standardized):  NR (NR - NR) NR | Conc 3 (Standardized):  NR (NR - NR) NR</t>
        </is>
      </c>
    </row>
    <row r="18">
      <c r="A18" t="n">
        <v>375951.0</v>
      </c>
      <c r="B18" t="inlineStr">
        <is>
          <t>2,2,3,3,4,4,5,5,6,6,7,7,8,8,9,9,9-Heptadecafluorononanoic acid</t>
        </is>
      </c>
      <c r="C18"/>
      <c r="D18" t="inlineStr">
        <is>
          <t>Measured</t>
        </is>
      </c>
      <c r="E18" t="n">
        <v>97.0</v>
      </c>
      <c r="F18" t="inlineStr">
        <is>
          <t>Chironomus plumosus</t>
        </is>
      </c>
      <c r="G18" t="inlineStr">
        <is>
          <t>Midge</t>
        </is>
      </c>
      <c r="H18" t="inlineStr">
        <is>
          <t>Insects/Spiders</t>
        </is>
      </c>
      <c r="I18" t="inlineStr">
        <is>
          <t>Larva</t>
        </is>
      </c>
      <c r="J18" t="inlineStr">
        <is>
          <t>NR</t>
        </is>
      </c>
      <c r="K18" t="inlineStr">
        <is>
          <t>Instantaneous</t>
        </is>
      </c>
      <c r="L18" t="inlineStr">
        <is>
          <t>Static</t>
        </is>
      </c>
      <c r="M18" t="inlineStr">
        <is>
          <t>Fresh water</t>
        </is>
      </c>
      <c r="N18" t="inlineStr">
        <is>
          <t>Lab</t>
        </is>
      </c>
      <c r="O18" t="n">
        <v>2.0</v>
      </c>
      <c r="P18" t="inlineStr">
        <is>
          <t>Active ingredient</t>
        </is>
      </c>
      <c r="Q18"/>
      <c r="R18" t="n">
        <v>0.00962</v>
      </c>
      <c r="S18"/>
      <c r="T18"/>
      <c r="U18"/>
      <c r="V18"/>
      <c r="W18" t="inlineStr">
        <is>
          <t>AI mg/L</t>
        </is>
      </c>
      <c r="X18" t="inlineStr">
        <is>
          <t>Accumulation</t>
        </is>
      </c>
      <c r="Y18" t="inlineStr">
        <is>
          <t>Residue</t>
        </is>
      </c>
      <c r="Z18"/>
      <c r="AA18" t="inlineStr">
        <is>
          <t>Whole organism</t>
        </is>
      </c>
      <c r="AB18" t="n">
        <v>10.33</v>
      </c>
      <c r="AC18" t="inlineStr">
        <is>
          <t>Day(s)</t>
        </is>
      </c>
      <c r="AD18"/>
      <c r="AE18"/>
      <c r="AF18"/>
      <c r="AG18"/>
      <c r="AH18"/>
      <c r="AI18"/>
      <c r="AJ18" t="inlineStr">
        <is>
          <t>--</t>
        </is>
      </c>
      <c r="AK18"/>
      <c r="AL18"/>
      <c r="AM18"/>
      <c r="AN18"/>
      <c r="AO18"/>
      <c r="AP18"/>
      <c r="AQ18"/>
      <c r="AR18"/>
      <c r="AS18"/>
      <c r="AT18"/>
      <c r="AU18"/>
      <c r="AV18"/>
      <c r="AW18"/>
      <c r="AX18"/>
      <c r="AY18" t="inlineStr">
        <is>
          <t>Zhai,Y., X. Xia, X. Zhao, H. Dong, B. Zhu, N. Xia, and J. Dong</t>
        </is>
      </c>
      <c r="AZ18" t="n">
        <v>177074.0</v>
      </c>
      <c r="BA18" t="inlineStr">
        <is>
          <t>Role of Ingestion Route in the Perfluoroalkyl Substance Bioaccumulation by Chironomus plumosus Larvae in Sediments Amended with Carbonaceous Materials</t>
        </is>
      </c>
      <c r="BB18" t="inlineStr">
        <is>
          <t>J. Hazard. Mater.302:404-414</t>
        </is>
      </c>
      <c r="BC18" t="n">
        <v>2016.0</v>
      </c>
      <c r="BD18"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c r="BE18" t="inlineStr">
        <is>
          <t>Purity:  NR - NR | Organism Age:  3 - 4 Instantaneous | Duration (Days):  NR - NR Day(s) | Conc 2 (Standardized):  NR (NR - NR) NR | Conc 3 (Standardized):  NR (NR - NR) NR</t>
        </is>
      </c>
    </row>
    <row r="19">
      <c r="A19" t="n">
        <v>375951.0</v>
      </c>
      <c r="B19" t="inlineStr">
        <is>
          <t>2,2,3,3,4,4,5,5,6,6,7,7,8,8,9,9,9-Heptadecafluorononanoic acid</t>
        </is>
      </c>
      <c r="C19"/>
      <c r="D19" t="inlineStr">
        <is>
          <t>Measured</t>
        </is>
      </c>
      <c r="E19" t="n">
        <v>97.0</v>
      </c>
      <c r="F19" t="inlineStr">
        <is>
          <t>Chironomus plumosus</t>
        </is>
      </c>
      <c r="G19" t="inlineStr">
        <is>
          <t>Midge</t>
        </is>
      </c>
      <c r="H19" t="inlineStr">
        <is>
          <t>Insects/Spiders</t>
        </is>
      </c>
      <c r="I19" t="inlineStr">
        <is>
          <t>Larva</t>
        </is>
      </c>
      <c r="J19" t="inlineStr">
        <is>
          <t>NR</t>
        </is>
      </c>
      <c r="K19" t="inlineStr">
        <is>
          <t>Instantaneous</t>
        </is>
      </c>
      <c r="L19" t="inlineStr">
        <is>
          <t>Static</t>
        </is>
      </c>
      <c r="M19" t="inlineStr">
        <is>
          <t>Fresh water</t>
        </is>
      </c>
      <c r="N19" t="inlineStr">
        <is>
          <t>Lab</t>
        </is>
      </c>
      <c r="O19" t="n">
        <v>2.0</v>
      </c>
      <c r="P19" t="inlineStr">
        <is>
          <t>Active ingredient</t>
        </is>
      </c>
      <c r="Q19"/>
      <c r="R19" t="n">
        <v>0.00962</v>
      </c>
      <c r="S19"/>
      <c r="T19"/>
      <c r="U19"/>
      <c r="V19"/>
      <c r="W19" t="inlineStr">
        <is>
          <t>AI mg/L</t>
        </is>
      </c>
      <c r="X19" t="inlineStr">
        <is>
          <t>Accumulation</t>
        </is>
      </c>
      <c r="Y19" t="inlineStr">
        <is>
          <t>Residue</t>
        </is>
      </c>
      <c r="Z19"/>
      <c r="AA19" t="inlineStr">
        <is>
          <t>Whole organism</t>
        </is>
      </c>
      <c r="AB19" t="n">
        <v>10.33</v>
      </c>
      <c r="AC19" t="inlineStr">
        <is>
          <t>Day(s)</t>
        </is>
      </c>
      <c r="AD19"/>
      <c r="AE19"/>
      <c r="AF19"/>
      <c r="AG19"/>
      <c r="AH19"/>
      <c r="AI19"/>
      <c r="AJ19" t="inlineStr">
        <is>
          <t>--</t>
        </is>
      </c>
      <c r="AK19"/>
      <c r="AL19"/>
      <c r="AM19"/>
      <c r="AN19"/>
      <c r="AO19"/>
      <c r="AP19"/>
      <c r="AQ19"/>
      <c r="AR19"/>
      <c r="AS19"/>
      <c r="AT19"/>
      <c r="AU19"/>
      <c r="AV19"/>
      <c r="AW19"/>
      <c r="AX19"/>
      <c r="AY19" t="inlineStr">
        <is>
          <t>Zhai,Y., X. Xia, X. Zhao, H. Dong, B. Zhu, N. Xia, and J. Dong</t>
        </is>
      </c>
      <c r="AZ19" t="n">
        <v>177074.0</v>
      </c>
      <c r="BA19" t="inlineStr">
        <is>
          <t>Role of Ingestion Route in the Perfluoroalkyl Substance Bioaccumulation by Chironomus plumosus Larvae in Sediments Amended with Carbonaceous Materials</t>
        </is>
      </c>
      <c r="BB19" t="inlineStr">
        <is>
          <t>J. Hazard. Mater.302:404-414</t>
        </is>
      </c>
      <c r="BC19" t="n">
        <v>2016.0</v>
      </c>
      <c r="BD19"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c r="BE19" t="inlineStr">
        <is>
          <t>Purity:  NR - NR | Organism Age:  3 - 4 Instantaneous | Duration (Days):  NR - NR Day(s) | Conc 2 (Standardized):  NR (NR - NR) NR | Conc 3 (Standardized):  NR (NR - NR) NR</t>
        </is>
      </c>
    </row>
    <row r="20">
      <c r="A20" t="n">
        <v>375951.0</v>
      </c>
      <c r="B20" t="inlineStr">
        <is>
          <t>2,2,3,3,4,4,5,5,6,6,7,7,8,8,9,9,9-Heptadecafluorononanoic acid</t>
        </is>
      </c>
      <c r="C20"/>
      <c r="D20" t="inlineStr">
        <is>
          <t>Measured</t>
        </is>
      </c>
      <c r="E20" t="n">
        <v>97.0</v>
      </c>
      <c r="F20" t="inlineStr">
        <is>
          <t>Chironomus plumosus</t>
        </is>
      </c>
      <c r="G20" t="inlineStr">
        <is>
          <t>Midge</t>
        </is>
      </c>
      <c r="H20" t="inlineStr">
        <is>
          <t>Insects/Spiders</t>
        </is>
      </c>
      <c r="I20" t="inlineStr">
        <is>
          <t>Larva</t>
        </is>
      </c>
      <c r="J20" t="inlineStr">
        <is>
          <t>NR</t>
        </is>
      </c>
      <c r="K20" t="inlineStr">
        <is>
          <t>Instantaneous</t>
        </is>
      </c>
      <c r="L20" t="inlineStr">
        <is>
          <t>Static</t>
        </is>
      </c>
      <c r="M20" t="inlineStr">
        <is>
          <t>Fresh water</t>
        </is>
      </c>
      <c r="N20" t="inlineStr">
        <is>
          <t>Lab</t>
        </is>
      </c>
      <c r="O20" t="n">
        <v>2.0</v>
      </c>
      <c r="P20" t="inlineStr">
        <is>
          <t>Active ingredient</t>
        </is>
      </c>
      <c r="Q20"/>
      <c r="R20" t="n">
        <v>0.00962</v>
      </c>
      <c r="S20"/>
      <c r="T20"/>
      <c r="U20"/>
      <c r="V20"/>
      <c r="W20" t="inlineStr">
        <is>
          <t>AI mg/L</t>
        </is>
      </c>
      <c r="X20" t="inlineStr">
        <is>
          <t>Accumulation</t>
        </is>
      </c>
      <c r="Y20" t="inlineStr">
        <is>
          <t>Residue</t>
        </is>
      </c>
      <c r="Z20"/>
      <c r="AA20" t="inlineStr">
        <is>
          <t>Whole organism</t>
        </is>
      </c>
      <c r="AB20" t="n">
        <v>10.33</v>
      </c>
      <c r="AC20" t="inlineStr">
        <is>
          <t>Day(s)</t>
        </is>
      </c>
      <c r="AD20"/>
      <c r="AE20"/>
      <c r="AF20"/>
      <c r="AG20"/>
      <c r="AH20"/>
      <c r="AI20"/>
      <c r="AJ20" t="inlineStr">
        <is>
          <t>--</t>
        </is>
      </c>
      <c r="AK20"/>
      <c r="AL20"/>
      <c r="AM20"/>
      <c r="AN20"/>
      <c r="AO20"/>
      <c r="AP20"/>
      <c r="AQ20"/>
      <c r="AR20"/>
      <c r="AS20"/>
      <c r="AT20"/>
      <c r="AU20"/>
      <c r="AV20"/>
      <c r="AW20"/>
      <c r="AX20"/>
      <c r="AY20" t="inlineStr">
        <is>
          <t>Zhai,Y., X. Xia, X. Zhao, H. Dong, B. Zhu, N. Xia, and J. Dong</t>
        </is>
      </c>
      <c r="AZ20" t="n">
        <v>177074.0</v>
      </c>
      <c r="BA20" t="inlineStr">
        <is>
          <t>Role of Ingestion Route in the Perfluoroalkyl Substance Bioaccumulation by Chironomus plumosus Larvae in Sediments Amended with Carbonaceous Materials</t>
        </is>
      </c>
      <c r="BB20" t="inlineStr">
        <is>
          <t>J. Hazard. Mater.302:404-414</t>
        </is>
      </c>
      <c r="BC20" t="n">
        <v>2016.0</v>
      </c>
      <c r="BD20"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c r="BE20" t="inlineStr">
        <is>
          <t>Purity:  NR - NR | Organism Age:  3 - 4 Instantaneous | Duration (Days):  NR - NR Day(s) | Conc 2 (Standardized):  NR (NR - NR) NR | Conc 3 (Standardized):  NR (NR - NR) NR</t>
        </is>
      </c>
    </row>
    <row r="21">
      <c r="A21" t="n">
        <v>375951.0</v>
      </c>
      <c r="B21" t="inlineStr">
        <is>
          <t>2,2,3,3,4,4,5,5,6,6,7,7,8,8,9,9,9-Heptadecafluorononanoic acid</t>
        </is>
      </c>
      <c r="C21"/>
      <c r="D21" t="inlineStr">
        <is>
          <t>Measured</t>
        </is>
      </c>
      <c r="E21" t="n">
        <v>97.0</v>
      </c>
      <c r="F21" t="inlineStr">
        <is>
          <t>Chironomus plumosus</t>
        </is>
      </c>
      <c r="G21" t="inlineStr">
        <is>
          <t>Midge</t>
        </is>
      </c>
      <c r="H21" t="inlineStr">
        <is>
          <t>Insects/Spiders</t>
        </is>
      </c>
      <c r="I21" t="inlineStr">
        <is>
          <t>Larva</t>
        </is>
      </c>
      <c r="J21" t="inlineStr">
        <is>
          <t>NR</t>
        </is>
      </c>
      <c r="K21" t="inlineStr">
        <is>
          <t>Instantaneous</t>
        </is>
      </c>
      <c r="L21" t="inlineStr">
        <is>
          <t>Static</t>
        </is>
      </c>
      <c r="M21" t="inlineStr">
        <is>
          <t>Fresh water</t>
        </is>
      </c>
      <c r="N21" t="inlineStr">
        <is>
          <t>Lab</t>
        </is>
      </c>
      <c r="O21" t="n">
        <v>2.0</v>
      </c>
      <c r="P21" t="inlineStr">
        <is>
          <t>Active ingredient</t>
        </is>
      </c>
      <c r="Q21"/>
      <c r="R21" t="n">
        <v>0.00962</v>
      </c>
      <c r="S21"/>
      <c r="T21"/>
      <c r="U21"/>
      <c r="V21"/>
      <c r="W21" t="inlineStr">
        <is>
          <t>AI mg/L</t>
        </is>
      </c>
      <c r="X21" t="inlineStr">
        <is>
          <t>Accumulation</t>
        </is>
      </c>
      <c r="Y21" t="inlineStr">
        <is>
          <t>Residue</t>
        </is>
      </c>
      <c r="Z21"/>
      <c r="AA21" t="inlineStr">
        <is>
          <t>Whole organism</t>
        </is>
      </c>
      <c r="AB21" t="n">
        <v>10.33</v>
      </c>
      <c r="AC21" t="inlineStr">
        <is>
          <t>Day(s)</t>
        </is>
      </c>
      <c r="AD21"/>
      <c r="AE21"/>
      <c r="AF21"/>
      <c r="AG21"/>
      <c r="AH21"/>
      <c r="AI21"/>
      <c r="AJ21" t="inlineStr">
        <is>
          <t>--</t>
        </is>
      </c>
      <c r="AK21"/>
      <c r="AL21"/>
      <c r="AM21"/>
      <c r="AN21"/>
      <c r="AO21"/>
      <c r="AP21"/>
      <c r="AQ21"/>
      <c r="AR21"/>
      <c r="AS21"/>
      <c r="AT21"/>
      <c r="AU21"/>
      <c r="AV21"/>
      <c r="AW21"/>
      <c r="AX21"/>
      <c r="AY21" t="inlineStr">
        <is>
          <t>Zhai,Y., X. Xia, X. Zhao, H. Dong, B. Zhu, N. Xia, and J. Dong</t>
        </is>
      </c>
      <c r="AZ21" t="n">
        <v>177074.0</v>
      </c>
      <c r="BA21" t="inlineStr">
        <is>
          <t>Role of Ingestion Route in the Perfluoroalkyl Substance Bioaccumulation by Chironomus plumosus Larvae in Sediments Amended with Carbonaceous Materials</t>
        </is>
      </c>
      <c r="BB21" t="inlineStr">
        <is>
          <t>J. Hazard. Mater.302:404-414</t>
        </is>
      </c>
      <c r="BC21" t="n">
        <v>2016.0</v>
      </c>
      <c r="BD21"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c r="BE21" t="inlineStr">
        <is>
          <t>Purity:  NR - NR | Organism Age:  3 - 4 Instantaneous | Duration (Days):  NR - NR Day(s) | Conc 2 (Standardized):  NR (NR - NR) NR | Conc 3 (Standardized):  NR (NR - NR) NR</t>
        </is>
      </c>
    </row>
    <row r="22">
      <c r="A22" t="n">
        <v>375951.0</v>
      </c>
      <c r="B22" t="inlineStr">
        <is>
          <t>2,2,3,3,4,4,5,5,6,6,7,7,8,8,9,9,9-Heptadecafluorononanoic acid</t>
        </is>
      </c>
      <c r="C22"/>
      <c r="D22" t="inlineStr">
        <is>
          <t>Measured</t>
        </is>
      </c>
      <c r="E22" t="n">
        <v>97.0</v>
      </c>
      <c r="F22" t="inlineStr">
        <is>
          <t>Chironomus plumosus</t>
        </is>
      </c>
      <c r="G22" t="inlineStr">
        <is>
          <t>Midge</t>
        </is>
      </c>
      <c r="H22" t="inlineStr">
        <is>
          <t>Insects/Spiders</t>
        </is>
      </c>
      <c r="I22" t="inlineStr">
        <is>
          <t>Larva</t>
        </is>
      </c>
      <c r="J22" t="inlineStr">
        <is>
          <t>NR</t>
        </is>
      </c>
      <c r="K22" t="inlineStr">
        <is>
          <t>Instantaneous</t>
        </is>
      </c>
      <c r="L22" t="inlineStr">
        <is>
          <t>Static</t>
        </is>
      </c>
      <c r="M22" t="inlineStr">
        <is>
          <t>Fresh water</t>
        </is>
      </c>
      <c r="N22" t="inlineStr">
        <is>
          <t>Lab</t>
        </is>
      </c>
      <c r="O22" t="n">
        <v>2.0</v>
      </c>
      <c r="P22" t="inlineStr">
        <is>
          <t>Active ingredient</t>
        </is>
      </c>
      <c r="Q22"/>
      <c r="R22" t="n">
        <v>0.0096</v>
      </c>
      <c r="S22"/>
      <c r="T22"/>
      <c r="U22"/>
      <c r="V22"/>
      <c r="W22" t="inlineStr">
        <is>
          <t>AI mg/L</t>
        </is>
      </c>
      <c r="X22" t="inlineStr">
        <is>
          <t>Accumulation</t>
        </is>
      </c>
      <c r="Y22" t="inlineStr">
        <is>
          <t>Residue</t>
        </is>
      </c>
      <c r="Z22"/>
      <c r="AA22" t="inlineStr">
        <is>
          <t>Whole organism</t>
        </is>
      </c>
      <c r="AB22" t="n">
        <v>10.33</v>
      </c>
      <c r="AC22" t="inlineStr">
        <is>
          <t>Day(s)</t>
        </is>
      </c>
      <c r="AD22"/>
      <c r="AE22"/>
      <c r="AF22"/>
      <c r="AG22"/>
      <c r="AH22"/>
      <c r="AI22"/>
      <c r="AJ22" t="inlineStr">
        <is>
          <t>--</t>
        </is>
      </c>
      <c r="AK22"/>
      <c r="AL22"/>
      <c r="AM22"/>
      <c r="AN22"/>
      <c r="AO22"/>
      <c r="AP22"/>
      <c r="AQ22"/>
      <c r="AR22"/>
      <c r="AS22"/>
      <c r="AT22"/>
      <c r="AU22"/>
      <c r="AV22"/>
      <c r="AW22"/>
      <c r="AX22"/>
      <c r="AY22" t="inlineStr">
        <is>
          <t>Zhai,Y., X. Xia, X. Zhao, H. Dong, B. Zhu, N. Xia, and J. Dong</t>
        </is>
      </c>
      <c r="AZ22" t="n">
        <v>177074.0</v>
      </c>
      <c r="BA22" t="inlineStr">
        <is>
          <t>Role of Ingestion Route in the Perfluoroalkyl Substance Bioaccumulation by Chironomus plumosus Larvae in Sediments Amended with Carbonaceous Materials</t>
        </is>
      </c>
      <c r="BB22" t="inlineStr">
        <is>
          <t>J. Hazard. Mater.302:404-414</t>
        </is>
      </c>
      <c r="BC22" t="n">
        <v>2016.0</v>
      </c>
      <c r="BD22"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c r="BE22" t="inlineStr">
        <is>
          <t>Purity:  NR - NR | Organism Age:  3 - 4 Instantaneous | Duration (Days):  NR - NR Day(s) | Conc 2 (Standardized):  NR (NR - NR) NR | Conc 3 (Standardized):  NR (NR - NR) NR</t>
        </is>
      </c>
    </row>
    <row r="23">
      <c r="A23" t="n">
        <v>375951.0</v>
      </c>
      <c r="B23" t="inlineStr">
        <is>
          <t>2,2,3,3,4,4,5,5,6,6,7,7,8,8,9,9,9-Heptadecafluorononanoic acid</t>
        </is>
      </c>
      <c r="C23"/>
      <c r="D23" t="inlineStr">
        <is>
          <t>Measured</t>
        </is>
      </c>
      <c r="E23" t="n">
        <v>97.0</v>
      </c>
      <c r="F23" t="inlineStr">
        <is>
          <t>Chironomus plumosus</t>
        </is>
      </c>
      <c r="G23" t="inlineStr">
        <is>
          <t>Midge</t>
        </is>
      </c>
      <c r="H23" t="inlineStr">
        <is>
          <t>Insects/Spiders</t>
        </is>
      </c>
      <c r="I23" t="inlineStr">
        <is>
          <t>Larva</t>
        </is>
      </c>
      <c r="J23" t="inlineStr">
        <is>
          <t>NR</t>
        </is>
      </c>
      <c r="K23" t="inlineStr">
        <is>
          <t>Instantaneous</t>
        </is>
      </c>
      <c r="L23" t="inlineStr">
        <is>
          <t>Static</t>
        </is>
      </c>
      <c r="M23" t="inlineStr">
        <is>
          <t>Fresh water</t>
        </is>
      </c>
      <c r="N23" t="inlineStr">
        <is>
          <t>Lab</t>
        </is>
      </c>
      <c r="O23" t="n">
        <v>2.0</v>
      </c>
      <c r="P23" t="inlineStr">
        <is>
          <t>Active ingredient</t>
        </is>
      </c>
      <c r="Q23"/>
      <c r="R23" t="n">
        <v>0.0096</v>
      </c>
      <c r="S23"/>
      <c r="T23"/>
      <c r="U23"/>
      <c r="V23"/>
      <c r="W23" t="inlineStr">
        <is>
          <t>AI mg/L</t>
        </is>
      </c>
      <c r="X23" t="inlineStr">
        <is>
          <t>Accumulation</t>
        </is>
      </c>
      <c r="Y23" t="inlineStr">
        <is>
          <t>Residue</t>
        </is>
      </c>
      <c r="Z23"/>
      <c r="AA23" t="inlineStr">
        <is>
          <t>Whole organism</t>
        </is>
      </c>
      <c r="AB23" t="n">
        <v>10.33</v>
      </c>
      <c r="AC23" t="inlineStr">
        <is>
          <t>Day(s)</t>
        </is>
      </c>
      <c r="AD23"/>
      <c r="AE23"/>
      <c r="AF23"/>
      <c r="AG23"/>
      <c r="AH23"/>
      <c r="AI23"/>
      <c r="AJ23" t="inlineStr">
        <is>
          <t>--</t>
        </is>
      </c>
      <c r="AK23"/>
      <c r="AL23"/>
      <c r="AM23"/>
      <c r="AN23"/>
      <c r="AO23"/>
      <c r="AP23"/>
      <c r="AQ23"/>
      <c r="AR23"/>
      <c r="AS23"/>
      <c r="AT23"/>
      <c r="AU23"/>
      <c r="AV23"/>
      <c r="AW23"/>
      <c r="AX23"/>
      <c r="AY23" t="inlineStr">
        <is>
          <t>Zhai,Y., X. Xia, X. Zhao, H. Dong, B. Zhu, N. Xia, and J. Dong</t>
        </is>
      </c>
      <c r="AZ23" t="n">
        <v>177074.0</v>
      </c>
      <c r="BA23" t="inlineStr">
        <is>
          <t>Role of Ingestion Route in the Perfluoroalkyl Substance Bioaccumulation by Chironomus plumosus Larvae in Sediments Amended with Carbonaceous Materials</t>
        </is>
      </c>
      <c r="BB23" t="inlineStr">
        <is>
          <t>J. Hazard. Mater.302:404-414</t>
        </is>
      </c>
      <c r="BC23" t="n">
        <v>2016.0</v>
      </c>
      <c r="BD23"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c r="BE23" t="inlineStr">
        <is>
          <t>Purity:  NR - NR | Organism Age:  3 - 4 Instantaneous | Duration (Days):  NR - NR Day(s) | Conc 2 (Standardized):  NR (NR - NR) NR | Conc 3 (Standardized):  NR (NR - NR) NR</t>
        </is>
      </c>
    </row>
    <row r="24">
      <c r="A24" t="n">
        <v>375951.0</v>
      </c>
      <c r="B24" t="inlineStr">
        <is>
          <t>2,2,3,3,4,4,5,5,6,6,7,7,8,8,9,9,9-Heptadecafluorononanoic acid</t>
        </is>
      </c>
      <c r="C24"/>
      <c r="D24" t="inlineStr">
        <is>
          <t>Measured</t>
        </is>
      </c>
      <c r="E24" t="n">
        <v>97.0</v>
      </c>
      <c r="F24" t="inlineStr">
        <is>
          <t>Chironomus plumosus</t>
        </is>
      </c>
      <c r="G24" t="inlineStr">
        <is>
          <t>Midge</t>
        </is>
      </c>
      <c r="H24" t="inlineStr">
        <is>
          <t>Insects/Spiders</t>
        </is>
      </c>
      <c r="I24" t="inlineStr">
        <is>
          <t>Larva</t>
        </is>
      </c>
      <c r="J24" t="inlineStr">
        <is>
          <t>NR</t>
        </is>
      </c>
      <c r="K24" t="inlineStr">
        <is>
          <t>Instantaneous</t>
        </is>
      </c>
      <c r="L24" t="inlineStr">
        <is>
          <t>Static</t>
        </is>
      </c>
      <c r="M24" t="inlineStr">
        <is>
          <t>Fresh water</t>
        </is>
      </c>
      <c r="N24" t="inlineStr">
        <is>
          <t>Lab</t>
        </is>
      </c>
      <c r="O24" t="n">
        <v>2.0</v>
      </c>
      <c r="P24" t="inlineStr">
        <is>
          <t>Active ingredient</t>
        </is>
      </c>
      <c r="Q24"/>
      <c r="R24" t="n">
        <v>0.0096</v>
      </c>
      <c r="S24"/>
      <c r="T24"/>
      <c r="U24"/>
      <c r="V24"/>
      <c r="W24" t="inlineStr">
        <is>
          <t>AI mg/L</t>
        </is>
      </c>
      <c r="X24" t="inlineStr">
        <is>
          <t>Accumulation</t>
        </is>
      </c>
      <c r="Y24" t="inlineStr">
        <is>
          <t>Residue</t>
        </is>
      </c>
      <c r="Z24"/>
      <c r="AA24" t="inlineStr">
        <is>
          <t>Whole organism</t>
        </is>
      </c>
      <c r="AB24" t="n">
        <v>10.33</v>
      </c>
      <c r="AC24" t="inlineStr">
        <is>
          <t>Day(s)</t>
        </is>
      </c>
      <c r="AD24"/>
      <c r="AE24"/>
      <c r="AF24"/>
      <c r="AG24"/>
      <c r="AH24"/>
      <c r="AI24"/>
      <c r="AJ24" t="inlineStr">
        <is>
          <t>--</t>
        </is>
      </c>
      <c r="AK24"/>
      <c r="AL24"/>
      <c r="AM24"/>
      <c r="AN24"/>
      <c r="AO24"/>
      <c r="AP24"/>
      <c r="AQ24"/>
      <c r="AR24"/>
      <c r="AS24"/>
      <c r="AT24"/>
      <c r="AU24"/>
      <c r="AV24"/>
      <c r="AW24"/>
      <c r="AX24"/>
      <c r="AY24" t="inlineStr">
        <is>
          <t>Zhai,Y., X. Xia, X. Zhao, H. Dong, B. Zhu, N. Xia, and J. Dong</t>
        </is>
      </c>
      <c r="AZ24" t="n">
        <v>177074.0</v>
      </c>
      <c r="BA24" t="inlineStr">
        <is>
          <t>Role of Ingestion Route in the Perfluoroalkyl Substance Bioaccumulation by Chironomus plumosus Larvae in Sediments Amended with Carbonaceous Materials</t>
        </is>
      </c>
      <c r="BB24" t="inlineStr">
        <is>
          <t>J. Hazard. Mater.302:404-414</t>
        </is>
      </c>
      <c r="BC24" t="n">
        <v>2016.0</v>
      </c>
      <c r="BD24"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c r="BE24" t="inlineStr">
        <is>
          <t>Purity:  NR - NR | Organism Age:  3 - 4 Instantaneous | Duration (Days):  NR - NR Day(s) | Conc 2 (Standardized):  NR (NR - NR) NR | Conc 3 (Standardized):  NR (NR - NR) NR</t>
        </is>
      </c>
    </row>
    <row r="25">
      <c r="A25" t="n">
        <v>375951.0</v>
      </c>
      <c r="B25" t="inlineStr">
        <is>
          <t>2,2,3,3,4,4,5,5,6,6,7,7,8,8,9,9,9-Heptadecafluorononanoic acid</t>
        </is>
      </c>
      <c r="C25"/>
      <c r="D25" t="inlineStr">
        <is>
          <t>Measured</t>
        </is>
      </c>
      <c r="E25" t="n">
        <v>97.0</v>
      </c>
      <c r="F25" t="inlineStr">
        <is>
          <t>Perna viridis</t>
        </is>
      </c>
      <c r="G25" t="inlineStr">
        <is>
          <t>Green Mussel</t>
        </is>
      </c>
      <c r="H25" t="inlineStr">
        <is>
          <t>Molluscs</t>
        </is>
      </c>
      <c r="I25"/>
      <c r="J25" t="inlineStr">
        <is>
          <t>NR</t>
        </is>
      </c>
      <c r="K25"/>
      <c r="L25" t="inlineStr">
        <is>
          <t>Renewal</t>
        </is>
      </c>
      <c r="M25" t="inlineStr">
        <is>
          <t>Salt water</t>
        </is>
      </c>
      <c r="N25" t="inlineStr">
        <is>
          <t>Lab</t>
        </is>
      </c>
      <c r="O25" t="n">
        <v>6.0</v>
      </c>
      <c r="P25" t="inlineStr">
        <is>
          <t>Active ingredient</t>
        </is>
      </c>
      <c r="Q25"/>
      <c r="R25" t="n">
        <v>0.097</v>
      </c>
      <c r="S25"/>
      <c r="T25"/>
      <c r="U25"/>
      <c r="V25"/>
      <c r="W25" t="inlineStr">
        <is>
          <t>AI mg/L</t>
        </is>
      </c>
      <c r="X25" t="inlineStr">
        <is>
          <t>Accumulation</t>
        </is>
      </c>
      <c r="Y25" t="inlineStr">
        <is>
          <t>Residue</t>
        </is>
      </c>
      <c r="Z25" t="inlineStr">
        <is>
          <t>BCFD</t>
        </is>
      </c>
      <c r="AA25" t="inlineStr">
        <is>
          <t>Tissue</t>
        </is>
      </c>
      <c r="AB25" t="n">
        <v>1.0</v>
      </c>
      <c r="AC25" t="inlineStr">
        <is>
          <t>Day(s)</t>
        </is>
      </c>
      <c r="AD25"/>
      <c r="AE25"/>
      <c r="AF25" t="inlineStr">
        <is>
          <t>&gt;</t>
        </is>
      </c>
      <c r="AG25" t="n">
        <v>0.0</v>
      </c>
      <c r="AH25" t="inlineStr">
        <is>
          <t>&lt;</t>
        </is>
      </c>
      <c r="AI25" t="n">
        <v>22.0</v>
      </c>
      <c r="AJ25" t="inlineStr">
        <is>
          <t>L/kg</t>
        </is>
      </c>
      <c r="AK25"/>
      <c r="AL25"/>
      <c r="AM25"/>
      <c r="AN25"/>
      <c r="AO25"/>
      <c r="AP25"/>
      <c r="AQ25"/>
      <c r="AR25"/>
      <c r="AS25"/>
      <c r="AT25"/>
      <c r="AU25"/>
      <c r="AV25"/>
      <c r="AW25"/>
      <c r="AX25"/>
      <c r="AY25" t="inlineStr">
        <is>
          <t>Liu,C., V.W.C. Chang, K.Y.H. Gin, and V.T. Nguyen</t>
        </is>
      </c>
      <c r="AZ25" t="n">
        <v>175715.0</v>
      </c>
      <c r="BA25" t="inlineStr">
        <is>
          <t>Genotoxicity of Perfluorinated Chemicals (PFCs) to the Green Mussel (Perna viridis)</t>
        </is>
      </c>
      <c r="BB25" t="inlineStr">
        <is>
          <t>Sci. Total Environ.487:117-122</t>
        </is>
      </c>
      <c r="BC25" t="n">
        <v>2014.0</v>
      </c>
      <c r="BD25" t="inlineStr">
        <is>
          <t>Liu,C., V.W.C. Chang, K.Y.H. Gin, and V.T. Nguyen (2014). Genotoxicity of Perfluorinated Chemicals (PFCs) to the Green Mussel (Perna viridis). Sci. Total Environ., 487, 117-122. doi:10.1016/j.scitotenv.2014.04.017. ECOREF#:175715</t>
        </is>
      </c>
      <c r="BE25" t="inlineStr">
        <is>
          <t>Purity:  NR - NR | Organism Age:  NR - NR NR | Duration (Days):  NR - NR Day(s) | Conc 2 (Standardized):  NR (NR - NR) NR | Conc 3 (Standardized):  NR (NR - NR) NR</t>
        </is>
      </c>
    </row>
    <row r="26">
      <c r="A26" t="n">
        <v>375951.0</v>
      </c>
      <c r="B26" t="inlineStr">
        <is>
          <t>2,2,3,3,4,4,5,5,6,6,7,7,8,8,9,9,9-Heptadecafluorononanoic acid</t>
        </is>
      </c>
      <c r="C26"/>
      <c r="D26" t="inlineStr">
        <is>
          <t>Measured</t>
        </is>
      </c>
      <c r="E26" t="n">
        <v>97.0</v>
      </c>
      <c r="F26" t="inlineStr">
        <is>
          <t>Perna viridis</t>
        </is>
      </c>
      <c r="G26" t="inlineStr">
        <is>
          <t>Green Mussel</t>
        </is>
      </c>
      <c r="H26" t="inlineStr">
        <is>
          <t>Molluscs</t>
        </is>
      </c>
      <c r="I26"/>
      <c r="J26" t="inlineStr">
        <is>
          <t>NR</t>
        </is>
      </c>
      <c r="K26"/>
      <c r="L26" t="inlineStr">
        <is>
          <t>Renewal</t>
        </is>
      </c>
      <c r="M26" t="inlineStr">
        <is>
          <t>Salt water</t>
        </is>
      </c>
      <c r="N26" t="inlineStr">
        <is>
          <t>Lab</t>
        </is>
      </c>
      <c r="O26" t="n">
        <v>6.0</v>
      </c>
      <c r="P26" t="inlineStr">
        <is>
          <t>Active ingredient</t>
        </is>
      </c>
      <c r="Q26"/>
      <c r="R26" t="n">
        <v>0.097</v>
      </c>
      <c r="S26"/>
      <c r="T26"/>
      <c r="U26"/>
      <c r="V26"/>
      <c r="W26" t="inlineStr">
        <is>
          <t>AI mg/L</t>
        </is>
      </c>
      <c r="X26" t="inlineStr">
        <is>
          <t>Accumulation</t>
        </is>
      </c>
      <c r="Y26" t="inlineStr">
        <is>
          <t>Residue</t>
        </is>
      </c>
      <c r="Z26" t="inlineStr">
        <is>
          <t>BCFD</t>
        </is>
      </c>
      <c r="AA26" t="inlineStr">
        <is>
          <t>Tissue</t>
        </is>
      </c>
      <c r="AB26" t="n">
        <v>3.0</v>
      </c>
      <c r="AC26" t="inlineStr">
        <is>
          <t>Day(s)</t>
        </is>
      </c>
      <c r="AD26"/>
      <c r="AE26"/>
      <c r="AF26" t="inlineStr">
        <is>
          <t>&gt;</t>
        </is>
      </c>
      <c r="AG26" t="n">
        <v>20.0</v>
      </c>
      <c r="AH26" t="inlineStr">
        <is>
          <t>&lt;</t>
        </is>
      </c>
      <c r="AI26" t="n">
        <v>40.0</v>
      </c>
      <c r="AJ26" t="inlineStr">
        <is>
          <t>L/kg</t>
        </is>
      </c>
      <c r="AK26"/>
      <c r="AL26"/>
      <c r="AM26"/>
      <c r="AN26"/>
      <c r="AO26"/>
      <c r="AP26"/>
      <c r="AQ26"/>
      <c r="AR26"/>
      <c r="AS26"/>
      <c r="AT26"/>
      <c r="AU26"/>
      <c r="AV26"/>
      <c r="AW26"/>
      <c r="AX26"/>
      <c r="AY26" t="inlineStr">
        <is>
          <t>Liu,C., V.W.C. Chang, K.Y.H. Gin, and V.T. Nguyen</t>
        </is>
      </c>
      <c r="AZ26" t="n">
        <v>175715.0</v>
      </c>
      <c r="BA26" t="inlineStr">
        <is>
          <t>Genotoxicity of Perfluorinated Chemicals (PFCs) to the Green Mussel (Perna viridis)</t>
        </is>
      </c>
      <c r="BB26" t="inlineStr">
        <is>
          <t>Sci. Total Environ.487:117-122</t>
        </is>
      </c>
      <c r="BC26" t="n">
        <v>2014.0</v>
      </c>
      <c r="BD26" t="inlineStr">
        <is>
          <t>Liu,C., V.W.C. Chang, K.Y.H. Gin, and V.T. Nguyen (2014). Genotoxicity of Perfluorinated Chemicals (PFCs) to the Green Mussel (Perna viridis). Sci. Total Environ., 487, 117-122. doi:10.1016/j.scitotenv.2014.04.017. ECOREF#:175715</t>
        </is>
      </c>
      <c r="BE26" t="inlineStr">
        <is>
          <t>Purity:  NR - NR | Organism Age:  NR - NR NR | Duration (Days):  NR - NR Day(s) | Conc 2 (Standardized):  NR (NR - NR) NR | Conc 3 (Standardized):  NR (NR - NR) NR</t>
        </is>
      </c>
    </row>
    <row r="27">
      <c r="A27" t="n">
        <v>375951.0</v>
      </c>
      <c r="B27" t="inlineStr">
        <is>
          <t>2,2,3,3,4,4,5,5,6,6,7,7,8,8,9,9,9-Heptadecafluorononanoic acid</t>
        </is>
      </c>
      <c r="C27"/>
      <c r="D27" t="inlineStr">
        <is>
          <t>Measured</t>
        </is>
      </c>
      <c r="E27" t="n">
        <v>97.0</v>
      </c>
      <c r="F27" t="inlineStr">
        <is>
          <t>Perna viridis</t>
        </is>
      </c>
      <c r="G27" t="inlineStr">
        <is>
          <t>Green Mussel</t>
        </is>
      </c>
      <c r="H27" t="inlineStr">
        <is>
          <t>Molluscs</t>
        </is>
      </c>
      <c r="I27"/>
      <c r="J27" t="inlineStr">
        <is>
          <t>NR</t>
        </is>
      </c>
      <c r="K27"/>
      <c r="L27" t="inlineStr">
        <is>
          <t>Renewal</t>
        </is>
      </c>
      <c r="M27" t="inlineStr">
        <is>
          <t>Salt water</t>
        </is>
      </c>
      <c r="N27" t="inlineStr">
        <is>
          <t>Lab</t>
        </is>
      </c>
      <c r="O27" t="n">
        <v>6.0</v>
      </c>
      <c r="P27" t="inlineStr">
        <is>
          <t>Active ingredient</t>
        </is>
      </c>
      <c r="Q27"/>
      <c r="R27" t="n">
        <v>0.097</v>
      </c>
      <c r="S27"/>
      <c r="T27"/>
      <c r="U27"/>
      <c r="V27"/>
      <c r="W27" t="inlineStr">
        <is>
          <t>AI mg/L</t>
        </is>
      </c>
      <c r="X27" t="inlineStr">
        <is>
          <t>Accumulation</t>
        </is>
      </c>
      <c r="Y27" t="inlineStr">
        <is>
          <t>Residue</t>
        </is>
      </c>
      <c r="Z27" t="inlineStr">
        <is>
          <t>BCFD</t>
        </is>
      </c>
      <c r="AA27" t="inlineStr">
        <is>
          <t>Tissue</t>
        </is>
      </c>
      <c r="AB27" t="n">
        <v>2.0</v>
      </c>
      <c r="AC27" t="inlineStr">
        <is>
          <t>Day(s)</t>
        </is>
      </c>
      <c r="AD27" t="inlineStr">
        <is>
          <t>~</t>
        </is>
      </c>
      <c r="AE27" t="n">
        <v>20.0</v>
      </c>
      <c r="AF27"/>
      <c r="AG27"/>
      <c r="AH27"/>
      <c r="AI27"/>
      <c r="AJ27" t="inlineStr">
        <is>
          <t>L/kg</t>
        </is>
      </c>
      <c r="AK27"/>
      <c r="AL27"/>
      <c r="AM27"/>
      <c r="AN27"/>
      <c r="AO27"/>
      <c r="AP27"/>
      <c r="AQ27"/>
      <c r="AR27"/>
      <c r="AS27"/>
      <c r="AT27"/>
      <c r="AU27"/>
      <c r="AV27"/>
      <c r="AW27"/>
      <c r="AX27"/>
      <c r="AY27" t="inlineStr">
        <is>
          <t>Liu,C., V.W.C. Chang, K.Y.H. Gin, and V.T. Nguyen</t>
        </is>
      </c>
      <c r="AZ27" t="n">
        <v>175715.0</v>
      </c>
      <c r="BA27" t="inlineStr">
        <is>
          <t>Genotoxicity of Perfluorinated Chemicals (PFCs) to the Green Mussel (Perna viridis)</t>
        </is>
      </c>
      <c r="BB27" t="inlineStr">
        <is>
          <t>Sci. Total Environ.487:117-122</t>
        </is>
      </c>
      <c r="BC27" t="n">
        <v>2014.0</v>
      </c>
      <c r="BD27" t="inlineStr">
        <is>
          <t>Liu,C., V.W.C. Chang, K.Y.H. Gin, and V.T. Nguyen (2014). Genotoxicity of Perfluorinated Chemicals (PFCs) to the Green Mussel (Perna viridis). Sci. Total Environ., 487, 117-122. doi:10.1016/j.scitotenv.2014.04.017. ECOREF#:175715</t>
        </is>
      </c>
      <c r="BE27" t="inlineStr">
        <is>
          <t>Purity:  NR - NR | Organism Age:  NR - NR NR | Duration (Days):  NR - NR Day(s) | Conc 2 (Standardized):  NR (NR - NR) NR | Conc 3 (Standardized):  NR (NR - NR) NR</t>
        </is>
      </c>
    </row>
    <row r="28">
      <c r="A28" t="n">
        <v>375951.0</v>
      </c>
      <c r="B28" t="inlineStr">
        <is>
          <t>2,2,3,3,4,4,5,5,6,6,7,7,8,8,9,9,9-Heptadecafluorononanoic acid</t>
        </is>
      </c>
      <c r="C28"/>
      <c r="D28" t="inlineStr">
        <is>
          <t>Measured</t>
        </is>
      </c>
      <c r="E28" t="n">
        <v>97.0</v>
      </c>
      <c r="F28" t="inlineStr">
        <is>
          <t>Perna viridis</t>
        </is>
      </c>
      <c r="G28" t="inlineStr">
        <is>
          <t>Green Mussel</t>
        </is>
      </c>
      <c r="H28" t="inlineStr">
        <is>
          <t>Molluscs</t>
        </is>
      </c>
      <c r="I28"/>
      <c r="J28" t="inlineStr">
        <is>
          <t>NR</t>
        </is>
      </c>
      <c r="K28"/>
      <c r="L28" t="inlineStr">
        <is>
          <t>Renewal</t>
        </is>
      </c>
      <c r="M28" t="inlineStr">
        <is>
          <t>Salt water</t>
        </is>
      </c>
      <c r="N28" t="inlineStr">
        <is>
          <t>Lab</t>
        </is>
      </c>
      <c r="O28" t="n">
        <v>6.0</v>
      </c>
      <c r="P28" t="inlineStr">
        <is>
          <t>Active ingredient</t>
        </is>
      </c>
      <c r="Q28"/>
      <c r="R28" t="n">
        <v>0.097</v>
      </c>
      <c r="S28"/>
      <c r="T28"/>
      <c r="U28"/>
      <c r="V28"/>
      <c r="W28" t="inlineStr">
        <is>
          <t>AI mg/L</t>
        </is>
      </c>
      <c r="X28" t="inlineStr">
        <is>
          <t>Accumulation</t>
        </is>
      </c>
      <c r="Y28" t="inlineStr">
        <is>
          <t>Residue</t>
        </is>
      </c>
      <c r="Z28" t="inlineStr">
        <is>
          <t>BCFD</t>
        </is>
      </c>
      <c r="AA28" t="inlineStr">
        <is>
          <t>Tissue</t>
        </is>
      </c>
      <c r="AB28" t="n">
        <v>7.0</v>
      </c>
      <c r="AC28" t="inlineStr">
        <is>
          <t>Day(s)</t>
        </is>
      </c>
      <c r="AD28"/>
      <c r="AE28"/>
      <c r="AF28" t="inlineStr">
        <is>
          <t>&gt;</t>
        </is>
      </c>
      <c r="AG28" t="n">
        <v>20.0</v>
      </c>
      <c r="AH28" t="inlineStr">
        <is>
          <t>&lt;</t>
        </is>
      </c>
      <c r="AI28" t="n">
        <v>40.0</v>
      </c>
      <c r="AJ28" t="inlineStr">
        <is>
          <t>L/kg</t>
        </is>
      </c>
      <c r="AK28"/>
      <c r="AL28"/>
      <c r="AM28"/>
      <c r="AN28"/>
      <c r="AO28"/>
      <c r="AP28"/>
      <c r="AQ28"/>
      <c r="AR28"/>
      <c r="AS28"/>
      <c r="AT28"/>
      <c r="AU28"/>
      <c r="AV28"/>
      <c r="AW28"/>
      <c r="AX28"/>
      <c r="AY28" t="inlineStr">
        <is>
          <t>Liu,C., V.W.C. Chang, K.Y.H. Gin, and V.T. Nguyen</t>
        </is>
      </c>
      <c r="AZ28" t="n">
        <v>175715.0</v>
      </c>
      <c r="BA28" t="inlineStr">
        <is>
          <t>Genotoxicity of Perfluorinated Chemicals (PFCs) to the Green Mussel (Perna viridis)</t>
        </is>
      </c>
      <c r="BB28" t="inlineStr">
        <is>
          <t>Sci. Total Environ.487:117-122</t>
        </is>
      </c>
      <c r="BC28" t="n">
        <v>2014.0</v>
      </c>
      <c r="BD28" t="inlineStr">
        <is>
          <t>Liu,C., V.W.C. Chang, K.Y.H. Gin, and V.T. Nguyen (2014). Genotoxicity of Perfluorinated Chemicals (PFCs) to the Green Mussel (Perna viridis). Sci. Total Environ., 487, 117-122. doi:10.1016/j.scitotenv.2014.04.017. ECOREF#:175715</t>
        </is>
      </c>
      <c r="BE28" t="inlineStr">
        <is>
          <t>Purity:  NR - NR | Organism Age:  NR - NR NR | Duration (Days):  NR - NR Day(s) | Conc 2 (Standardized):  NR (NR - NR) NR | Conc 3 (Standardized):  NR (NR - NR) NR</t>
        </is>
      </c>
    </row>
    <row r="29">
      <c r="A29" t="n">
        <v>375951.0</v>
      </c>
      <c r="B29" t="inlineStr">
        <is>
          <t>2,2,3,3,4,4,5,5,6,6,7,7,8,8,9,9,9-Heptadecafluorononanoic acid</t>
        </is>
      </c>
      <c r="C29"/>
      <c r="D29" t="inlineStr">
        <is>
          <t>Measured</t>
        </is>
      </c>
      <c r="E29" t="n">
        <v>97.0</v>
      </c>
      <c r="F29" t="inlineStr">
        <is>
          <t>Perna viridis</t>
        </is>
      </c>
      <c r="G29" t="inlineStr">
        <is>
          <t>Green Mussel</t>
        </is>
      </c>
      <c r="H29" t="inlineStr">
        <is>
          <t>Molluscs</t>
        </is>
      </c>
      <c r="I29"/>
      <c r="J29" t="inlineStr">
        <is>
          <t>NR</t>
        </is>
      </c>
      <c r="K29"/>
      <c r="L29" t="inlineStr">
        <is>
          <t>Renewal</t>
        </is>
      </c>
      <c r="M29" t="inlineStr">
        <is>
          <t>Salt water</t>
        </is>
      </c>
      <c r="N29" t="inlineStr">
        <is>
          <t>Lab</t>
        </is>
      </c>
      <c r="O29" t="n">
        <v>6.0</v>
      </c>
      <c r="P29" t="inlineStr">
        <is>
          <t>Active ingredient</t>
        </is>
      </c>
      <c r="Q29"/>
      <c r="R29" t="n">
        <v>0.097</v>
      </c>
      <c r="S29"/>
      <c r="T29"/>
      <c r="U29"/>
      <c r="V29"/>
      <c r="W29" t="inlineStr">
        <is>
          <t>AI mg/L</t>
        </is>
      </c>
      <c r="X29" t="inlineStr">
        <is>
          <t>Accumulation</t>
        </is>
      </c>
      <c r="Y29" t="inlineStr">
        <is>
          <t>Residue</t>
        </is>
      </c>
      <c r="Z29" t="inlineStr">
        <is>
          <t>BCFD</t>
        </is>
      </c>
      <c r="AA29" t="inlineStr">
        <is>
          <t>Tissue</t>
        </is>
      </c>
      <c r="AB29" t="n">
        <v>5.0</v>
      </c>
      <c r="AC29" t="inlineStr">
        <is>
          <t>Day(s)</t>
        </is>
      </c>
      <c r="AD29"/>
      <c r="AE29"/>
      <c r="AF29" t="inlineStr">
        <is>
          <t>&gt;</t>
        </is>
      </c>
      <c r="AG29" t="n">
        <v>20.0</v>
      </c>
      <c r="AH29" t="inlineStr">
        <is>
          <t>&lt;</t>
        </is>
      </c>
      <c r="AI29" t="n">
        <v>40.0</v>
      </c>
      <c r="AJ29" t="inlineStr">
        <is>
          <t>L/kg</t>
        </is>
      </c>
      <c r="AK29"/>
      <c r="AL29"/>
      <c r="AM29"/>
      <c r="AN29"/>
      <c r="AO29"/>
      <c r="AP29"/>
      <c r="AQ29"/>
      <c r="AR29"/>
      <c r="AS29"/>
      <c r="AT29"/>
      <c r="AU29"/>
      <c r="AV29"/>
      <c r="AW29"/>
      <c r="AX29"/>
      <c r="AY29" t="inlineStr">
        <is>
          <t>Liu,C., V.W.C. Chang, K.Y.H. Gin, and V.T. Nguyen</t>
        </is>
      </c>
      <c r="AZ29" t="n">
        <v>175715.0</v>
      </c>
      <c r="BA29" t="inlineStr">
        <is>
          <t>Genotoxicity of Perfluorinated Chemicals (PFCs) to the Green Mussel (Perna viridis)</t>
        </is>
      </c>
      <c r="BB29" t="inlineStr">
        <is>
          <t>Sci. Total Environ.487:117-122</t>
        </is>
      </c>
      <c r="BC29" t="n">
        <v>2014.0</v>
      </c>
      <c r="BD29" t="inlineStr">
        <is>
          <t>Liu,C., V.W.C. Chang, K.Y.H. Gin, and V.T. Nguyen (2014). Genotoxicity of Perfluorinated Chemicals (PFCs) to the Green Mussel (Perna viridis). Sci. Total Environ., 487, 117-122. doi:10.1016/j.scitotenv.2014.04.017. ECOREF#:175715</t>
        </is>
      </c>
      <c r="BE29" t="inlineStr">
        <is>
          <t>Purity:  NR - NR | Organism Age:  NR - NR NR | Duration (Days):  NR - NR Day(s) | Conc 2 (Standardized):  NR (NR - NR) NR | Conc 3 (Standardized):  NR (NR - NR) NR</t>
        </is>
      </c>
    </row>
    <row r="30">
      <c r="A30" t="n">
        <v>375951.0</v>
      </c>
      <c r="B30" t="inlineStr">
        <is>
          <t>2,2,3,3,4,4,5,5,6,6,7,7,8,8,9,9,9-Heptadecafluorononanoic acid</t>
        </is>
      </c>
      <c r="C30"/>
      <c r="D30" t="inlineStr">
        <is>
          <t>Measured</t>
        </is>
      </c>
      <c r="E30" t="n">
        <v>97.0</v>
      </c>
      <c r="F30" t="inlineStr">
        <is>
          <t>Perna viridis</t>
        </is>
      </c>
      <c r="G30" t="inlineStr">
        <is>
          <t>Green Mussel</t>
        </is>
      </c>
      <c r="H30" t="inlineStr">
        <is>
          <t>Molluscs</t>
        </is>
      </c>
      <c r="I30"/>
      <c r="J30" t="inlineStr">
        <is>
          <t>NR</t>
        </is>
      </c>
      <c r="K30"/>
      <c r="L30" t="inlineStr">
        <is>
          <t>Renewal</t>
        </is>
      </c>
      <c r="M30" t="inlineStr">
        <is>
          <t>Salt water</t>
        </is>
      </c>
      <c r="N30" t="inlineStr">
        <is>
          <t>Lab</t>
        </is>
      </c>
      <c r="O30" t="n">
        <v>6.0</v>
      </c>
      <c r="P30" t="inlineStr">
        <is>
          <t>Active ingredient</t>
        </is>
      </c>
      <c r="Q30"/>
      <c r="R30" t="n">
        <v>0.097</v>
      </c>
      <c r="S30"/>
      <c r="T30"/>
      <c r="U30"/>
      <c r="V30"/>
      <c r="W30" t="inlineStr">
        <is>
          <t>AI mg/L</t>
        </is>
      </c>
      <c r="X30" t="inlineStr">
        <is>
          <t>Accumulation</t>
        </is>
      </c>
      <c r="Y30" t="inlineStr">
        <is>
          <t>Residue</t>
        </is>
      </c>
      <c r="Z30" t="inlineStr">
        <is>
          <t>BCFD</t>
        </is>
      </c>
      <c r="AA30" t="inlineStr">
        <is>
          <t>Tissue</t>
        </is>
      </c>
      <c r="AB30" t="n">
        <v>6.0</v>
      </c>
      <c r="AC30" t="inlineStr">
        <is>
          <t>Day(s)</t>
        </is>
      </c>
      <c r="AD30"/>
      <c r="AE30"/>
      <c r="AF30" t="inlineStr">
        <is>
          <t>&gt;</t>
        </is>
      </c>
      <c r="AG30" t="n">
        <v>20.0</v>
      </c>
      <c r="AH30" t="inlineStr">
        <is>
          <t>&lt;</t>
        </is>
      </c>
      <c r="AI30" t="n">
        <v>40.0</v>
      </c>
      <c r="AJ30" t="inlineStr">
        <is>
          <t>L/kg</t>
        </is>
      </c>
      <c r="AK30"/>
      <c r="AL30"/>
      <c r="AM30"/>
      <c r="AN30"/>
      <c r="AO30"/>
      <c r="AP30"/>
      <c r="AQ30"/>
      <c r="AR30"/>
      <c r="AS30"/>
      <c r="AT30"/>
      <c r="AU30"/>
      <c r="AV30"/>
      <c r="AW30"/>
      <c r="AX30"/>
      <c r="AY30" t="inlineStr">
        <is>
          <t>Liu,C., V.W.C. Chang, K.Y.H. Gin, and V.T. Nguyen</t>
        </is>
      </c>
      <c r="AZ30" t="n">
        <v>175715.0</v>
      </c>
      <c r="BA30" t="inlineStr">
        <is>
          <t>Genotoxicity of Perfluorinated Chemicals (PFCs) to the Green Mussel (Perna viridis)</t>
        </is>
      </c>
      <c r="BB30" t="inlineStr">
        <is>
          <t>Sci. Total Environ.487:117-122</t>
        </is>
      </c>
      <c r="BC30" t="n">
        <v>2014.0</v>
      </c>
      <c r="BD30" t="inlineStr">
        <is>
          <t>Liu,C., V.W.C. Chang, K.Y.H. Gin, and V.T. Nguyen (2014). Genotoxicity of Perfluorinated Chemicals (PFCs) to the Green Mussel (Perna viridis). Sci. Total Environ., 487, 117-122. doi:10.1016/j.scitotenv.2014.04.017. ECOREF#:175715</t>
        </is>
      </c>
      <c r="BE30" t="inlineStr">
        <is>
          <t>Purity:  NR - NR | Organism Age:  NR - NR NR | Duration (Days):  NR - NR Day(s) | Conc 2 (Standardized):  NR (NR - NR) NR | Conc 3 (Standardized):  NR (NR - NR) NR</t>
        </is>
      </c>
    </row>
    <row r="31">
      <c r="A31" t="n">
        <v>375951.0</v>
      </c>
      <c r="B31" t="inlineStr">
        <is>
          <t>2,2,3,3,4,4,5,5,6,6,7,7,8,8,9,9,9-Heptadecafluorononanoic acid</t>
        </is>
      </c>
      <c r="C31"/>
      <c r="D31" t="inlineStr">
        <is>
          <t>Measured</t>
        </is>
      </c>
      <c r="E31" t="n">
        <v>97.0</v>
      </c>
      <c r="F31" t="inlineStr">
        <is>
          <t>Perna viridis</t>
        </is>
      </c>
      <c r="G31" t="inlineStr">
        <is>
          <t>Green Mussel</t>
        </is>
      </c>
      <c r="H31" t="inlineStr">
        <is>
          <t>Molluscs</t>
        </is>
      </c>
      <c r="I31"/>
      <c r="J31" t="inlineStr">
        <is>
          <t>NR</t>
        </is>
      </c>
      <c r="K31"/>
      <c r="L31" t="inlineStr">
        <is>
          <t>Renewal</t>
        </is>
      </c>
      <c r="M31" t="inlineStr">
        <is>
          <t>Salt water</t>
        </is>
      </c>
      <c r="N31" t="inlineStr">
        <is>
          <t>Lab</t>
        </is>
      </c>
      <c r="O31" t="n">
        <v>6.0</v>
      </c>
      <c r="P31" t="inlineStr">
        <is>
          <t>Active ingredient</t>
        </is>
      </c>
      <c r="Q31"/>
      <c r="R31" t="n">
        <v>0.097</v>
      </c>
      <c r="S31"/>
      <c r="T31"/>
      <c r="U31"/>
      <c r="V31"/>
      <c r="W31" t="inlineStr">
        <is>
          <t>AI mg/L</t>
        </is>
      </c>
      <c r="X31" t="inlineStr">
        <is>
          <t>Accumulation</t>
        </is>
      </c>
      <c r="Y31" t="inlineStr">
        <is>
          <t>Residue</t>
        </is>
      </c>
      <c r="Z31" t="inlineStr">
        <is>
          <t>BCFD</t>
        </is>
      </c>
      <c r="AA31" t="inlineStr">
        <is>
          <t>Tissue</t>
        </is>
      </c>
      <c r="AB31" t="n">
        <v>4.0</v>
      </c>
      <c r="AC31" t="inlineStr">
        <is>
          <t>Day(s)</t>
        </is>
      </c>
      <c r="AD31"/>
      <c r="AE31"/>
      <c r="AF31" t="inlineStr">
        <is>
          <t>&gt;</t>
        </is>
      </c>
      <c r="AG31" t="n">
        <v>20.0</v>
      </c>
      <c r="AH31" t="inlineStr">
        <is>
          <t>&lt;</t>
        </is>
      </c>
      <c r="AI31" t="n">
        <v>40.0</v>
      </c>
      <c r="AJ31" t="inlineStr">
        <is>
          <t>L/kg</t>
        </is>
      </c>
      <c r="AK31"/>
      <c r="AL31"/>
      <c r="AM31"/>
      <c r="AN31"/>
      <c r="AO31"/>
      <c r="AP31"/>
      <c r="AQ31"/>
      <c r="AR31"/>
      <c r="AS31"/>
      <c r="AT31"/>
      <c r="AU31"/>
      <c r="AV31"/>
      <c r="AW31"/>
      <c r="AX31"/>
      <c r="AY31" t="inlineStr">
        <is>
          <t>Liu,C., V.W.C. Chang, K.Y.H. Gin, and V.T. Nguyen</t>
        </is>
      </c>
      <c r="AZ31" t="n">
        <v>175715.0</v>
      </c>
      <c r="BA31" t="inlineStr">
        <is>
          <t>Genotoxicity of Perfluorinated Chemicals (PFCs) to the Green Mussel (Perna viridis)</t>
        </is>
      </c>
      <c r="BB31" t="inlineStr">
        <is>
          <t>Sci. Total Environ.487:117-122</t>
        </is>
      </c>
      <c r="BC31" t="n">
        <v>2014.0</v>
      </c>
      <c r="BD31" t="inlineStr">
        <is>
          <t>Liu,C., V.W.C. Chang, K.Y.H. Gin, and V.T. Nguyen (2014). Genotoxicity of Perfluorinated Chemicals (PFCs) to the Green Mussel (Perna viridis). Sci. Total Environ., 487, 117-122. doi:10.1016/j.scitotenv.2014.04.017. ECOREF#:175715</t>
        </is>
      </c>
      <c r="BE31" t="inlineStr">
        <is>
          <t>Purity:  NR - NR | Organism Age:  NR - NR NR | Duration (Days):  NR - NR Day(s) | Conc 2 (Standardized):  NR (NR - NR) NR | Conc 3 (Standardized):  NR (NR - NR) NR</t>
        </is>
      </c>
    </row>
    <row r="32">
      <c r="A32" t="n">
        <v>375951.0</v>
      </c>
      <c r="B32" t="inlineStr">
        <is>
          <t>2,2,3,3,4,4,5,5,6,6,7,7,8,8,9,9,9-Heptadecafluorononanoic acid</t>
        </is>
      </c>
      <c r="C32"/>
      <c r="D32" t="inlineStr">
        <is>
          <t>Unmeasured</t>
        </is>
      </c>
      <c r="E32" t="n">
        <v>99.2</v>
      </c>
      <c r="F32" t="inlineStr">
        <is>
          <t>Mytilus californianus</t>
        </is>
      </c>
      <c r="G32" t="inlineStr">
        <is>
          <t>Mussel</t>
        </is>
      </c>
      <c r="H32" t="inlineStr">
        <is>
          <t>Molluscs</t>
        </is>
      </c>
      <c r="I32"/>
      <c r="J32" t="inlineStr">
        <is>
          <t>NR</t>
        </is>
      </c>
      <c r="K32"/>
      <c r="L32" t="inlineStr">
        <is>
          <t>Static</t>
        </is>
      </c>
      <c r="M32" t="inlineStr">
        <is>
          <t>Salt water</t>
        </is>
      </c>
      <c r="N32" t="inlineStr">
        <is>
          <t>Lab</t>
        </is>
      </c>
      <c r="O32" t="n">
        <v>2.0</v>
      </c>
      <c r="P32" t="inlineStr">
        <is>
          <t>Active ingredient</t>
        </is>
      </c>
      <c r="Q32"/>
      <c r="R32" t="n">
        <v>0.04640786</v>
      </c>
      <c r="S32"/>
      <c r="T32"/>
      <c r="U32"/>
      <c r="V32"/>
      <c r="W32" t="inlineStr">
        <is>
          <t>AI mg/L</t>
        </is>
      </c>
      <c r="X32" t="inlineStr">
        <is>
          <t>Accumulation</t>
        </is>
      </c>
      <c r="Y32" t="inlineStr">
        <is>
          <t>Residue</t>
        </is>
      </c>
      <c r="Z32"/>
      <c r="AA32" t="inlineStr">
        <is>
          <t>Gill(s)</t>
        </is>
      </c>
      <c r="AB32" t="n">
        <v>0.0417</v>
      </c>
      <c r="AC32" t="inlineStr">
        <is>
          <t>Day(s)</t>
        </is>
      </c>
      <c r="AD32"/>
      <c r="AE32"/>
      <c r="AF32"/>
      <c r="AG32"/>
      <c r="AH32"/>
      <c r="AI32"/>
      <c r="AJ32" t="inlineStr">
        <is>
          <t>--</t>
        </is>
      </c>
      <c r="AK32"/>
      <c r="AL32"/>
      <c r="AM32"/>
      <c r="AN32"/>
      <c r="AO32"/>
      <c r="AP32"/>
      <c r="AQ32"/>
      <c r="AR32"/>
      <c r="AS32"/>
      <c r="AT32"/>
      <c r="AU32"/>
      <c r="AV32"/>
      <c r="AW32"/>
      <c r="AX32"/>
      <c r="AY32" t="inlineStr">
        <is>
          <t>Stevenson,C.N., L.A. MacManus-Spencer, T. Luckenbach, R.G. Luthy, and D. Epel</t>
        </is>
      </c>
      <c r="AZ32" t="n">
        <v>175712.0</v>
      </c>
      <c r="BA32" t="inlineStr">
        <is>
          <t>New Perspectives on Perfluorochemical Ecotoxicology: Inhibition and Induction of an Efflux Transporter in the Marine Mussel, Mytilus californianus</t>
        </is>
      </c>
      <c r="BB32" t="inlineStr">
        <is>
          <t>Environ. Sci. Technol.40(17): 5580-5585</t>
        </is>
      </c>
      <c r="BC32" t="n">
        <v>2006.0</v>
      </c>
      <c r="BD32"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c r="BE32" t="inlineStr">
        <is>
          <t>Purity:  NR - NR | Organism Age:  NR - NR NR | Duration (Days):  NR - NR Day(s) | Conc 2 (Standardized):  NR (NR - NR) NR | Conc 3 (Standardized):  NR (NR - NR) NR</t>
        </is>
      </c>
    </row>
    <row r="33">
      <c r="A33" t="n">
        <v>375951.0</v>
      </c>
      <c r="B33" t="inlineStr">
        <is>
          <t>2,2,3,3,4,4,5,5,6,6,7,7,8,8,9,9,9-Heptadecafluorononanoic acid</t>
        </is>
      </c>
      <c r="C33"/>
      <c r="D33" t="inlineStr">
        <is>
          <t>Measured</t>
        </is>
      </c>
      <c r="E33" t="n">
        <v>97.0</v>
      </c>
      <c r="F33" t="inlineStr">
        <is>
          <t>Perna viridis</t>
        </is>
      </c>
      <c r="G33" t="inlineStr">
        <is>
          <t>Green Mussel</t>
        </is>
      </c>
      <c r="H33" t="inlineStr">
        <is>
          <t>Molluscs</t>
        </is>
      </c>
      <c r="I33"/>
      <c r="J33" t="inlineStr">
        <is>
          <t>NR</t>
        </is>
      </c>
      <c r="K33"/>
      <c r="L33" t="inlineStr">
        <is>
          <t>Renewal</t>
        </is>
      </c>
      <c r="M33" t="inlineStr">
        <is>
          <t>Salt water</t>
        </is>
      </c>
      <c r="N33" t="inlineStr">
        <is>
          <t>Lab</t>
        </is>
      </c>
      <c r="O33" t="n">
        <v>7.0</v>
      </c>
      <c r="P33" t="inlineStr">
        <is>
          <t>Active ingredient</t>
        </is>
      </c>
      <c r="Q33"/>
      <c r="R33"/>
      <c r="S33"/>
      <c r="T33" t="n">
        <v>1.1E-4</v>
      </c>
      <c r="U33"/>
      <c r="V33" t="n">
        <v>9.777</v>
      </c>
      <c r="W33" t="inlineStr">
        <is>
          <t>AI mg/L</t>
        </is>
      </c>
      <c r="X33" t="inlineStr">
        <is>
          <t>Accumulation</t>
        </is>
      </c>
      <c r="Y33" t="inlineStr">
        <is>
          <t>Residue</t>
        </is>
      </c>
      <c r="Z33"/>
      <c r="AA33" t="inlineStr">
        <is>
          <t>Soft tissue</t>
        </is>
      </c>
      <c r="AB33" t="n">
        <v>7.0</v>
      </c>
      <c r="AC33" t="inlineStr">
        <is>
          <t>Day(s)</t>
        </is>
      </c>
      <c r="AD33"/>
      <c r="AE33"/>
      <c r="AF33"/>
      <c r="AG33"/>
      <c r="AH33"/>
      <c r="AI33"/>
      <c r="AJ33" t="inlineStr">
        <is>
          <t>--</t>
        </is>
      </c>
      <c r="AK33"/>
      <c r="AL33"/>
      <c r="AM33"/>
      <c r="AN33"/>
      <c r="AO33"/>
      <c r="AP33"/>
      <c r="AQ33"/>
      <c r="AR33"/>
      <c r="AS33"/>
      <c r="AT33"/>
      <c r="AU33"/>
      <c r="AV33"/>
      <c r="AW33"/>
      <c r="AX33"/>
      <c r="AY33" t="inlineStr">
        <is>
          <t>Liu,C., V.W.C. Chang, and K.Y.H. Gin</t>
        </is>
      </c>
      <c r="AZ33" t="n">
        <v>175762.0</v>
      </c>
      <c r="BA33" t="inlineStr">
        <is>
          <t>Oxidative Toxicity of Perfluorinated Chemicals in Green Mussel and Bioaccumulation Factor Dependent Quantitative Structure-Activity Relationship</t>
        </is>
      </c>
      <c r="BB33" t="inlineStr">
        <is>
          <t>Environ. Toxicol. Chem.33(10): 2323-2332</t>
        </is>
      </c>
      <c r="BC33" t="n">
        <v>2014.0</v>
      </c>
      <c r="BD33" t="inlineStr">
        <is>
          <t>Liu,C., V.W.C. Chang, and K.Y.H. Gin (2014). Oxidative Toxicity of Perfluorinated Chemicals in Green Mussel and Bioaccumulation Factor Dependent Quantitative Structure-Activity Relationship. Environ. Toxicol. Chem., 33, (10), 2323-2332. doi:10.1002/etc.2679. ECOREF#:175762</t>
        </is>
      </c>
      <c r="BE33" t="inlineStr">
        <is>
          <t>Purity:  NR - NR | Organism Age:  NR - NR NR | Duration (Days):  NR - NR Day(s) | Conc 2 (Standardized):  NR (NR - NR) NR | Conc 3 (Standardized):  NR (NR - NR) NR</t>
        </is>
      </c>
    </row>
    <row r="34">
      <c r="A34" t="n">
        <v>375951.0</v>
      </c>
      <c r="B34" t="inlineStr">
        <is>
          <t>2,2,3,3,4,4,5,5,6,6,7,7,8,8,9,9,9-Heptadecafluorononanoic acid</t>
        </is>
      </c>
      <c r="C34"/>
      <c r="D34" t="inlineStr">
        <is>
          <t>Measured</t>
        </is>
      </c>
      <c r="E34" t="n">
        <v>97.0</v>
      </c>
      <c r="F34" t="inlineStr">
        <is>
          <t>Mytilus viridis</t>
        </is>
      </c>
      <c r="G34" t="inlineStr">
        <is>
          <t>Green Mussel</t>
        </is>
      </c>
      <c r="H34" t="inlineStr">
        <is>
          <t>Molluscs</t>
        </is>
      </c>
      <c r="I34"/>
      <c r="J34" t="inlineStr">
        <is>
          <t>NR</t>
        </is>
      </c>
      <c r="K34"/>
      <c r="L34" t="inlineStr">
        <is>
          <t>Renewal</t>
        </is>
      </c>
      <c r="M34" t="inlineStr">
        <is>
          <t>Salt water</t>
        </is>
      </c>
      <c r="N34" t="inlineStr">
        <is>
          <t>Lab</t>
        </is>
      </c>
      <c r="O34" t="n">
        <v>6.0</v>
      </c>
      <c r="P34" t="inlineStr">
        <is>
          <t>Active ingredient</t>
        </is>
      </c>
      <c r="Q34"/>
      <c r="R34"/>
      <c r="S34"/>
      <c r="T34" t="n">
        <v>1.1E-4</v>
      </c>
      <c r="U34"/>
      <c r="V34" t="n">
        <v>1.072</v>
      </c>
      <c r="W34" t="inlineStr">
        <is>
          <t>AI mg/L</t>
        </is>
      </c>
      <c r="X34" t="inlineStr">
        <is>
          <t>Accumulation</t>
        </is>
      </c>
      <c r="Y34" t="inlineStr">
        <is>
          <t>Residue</t>
        </is>
      </c>
      <c r="Z34"/>
      <c r="AA34" t="inlineStr">
        <is>
          <t>Whole organism</t>
        </is>
      </c>
      <c r="AB34" t="n">
        <v>14.0</v>
      </c>
      <c r="AC34" t="inlineStr">
        <is>
          <t>Day(s)</t>
        </is>
      </c>
      <c r="AD34"/>
      <c r="AE34"/>
      <c r="AF34"/>
      <c r="AG34"/>
      <c r="AH34"/>
      <c r="AI34"/>
      <c r="AJ34" t="inlineStr">
        <is>
          <t>--</t>
        </is>
      </c>
      <c r="AK34"/>
      <c r="AL34"/>
      <c r="AM34"/>
      <c r="AN34"/>
      <c r="AO34"/>
      <c r="AP34"/>
      <c r="AQ34"/>
      <c r="AR34"/>
      <c r="AS34"/>
      <c r="AT34"/>
      <c r="AU34"/>
      <c r="AV34"/>
      <c r="AW34"/>
      <c r="AX34"/>
      <c r="AY34" t="inlineStr">
        <is>
          <t>Liu,C., and K.Y. Gin</t>
        </is>
      </c>
      <c r="AZ34" t="n">
        <v>177106.0</v>
      </c>
      <c r="BA34" t="inlineStr">
        <is>
          <t>Immunotoxicity in Green Mussels Under Perfluoroalkyl Substance (PFAS) Exposure: Reversible Response and Response Model Development</t>
        </is>
      </c>
      <c r="BB34" t="inlineStr">
        <is>
          <t>Environ. Toxicol. Chem.37(4): 1138-1145</t>
        </is>
      </c>
      <c r="BC34" t="n">
        <v>2018.0</v>
      </c>
      <c r="BD34" t="inlineStr">
        <is>
          <t>Liu,C., and K.Y. Gin (2018). Immunotoxicity in Green Mussels Under Perfluoroalkyl Substance (PFAS) Exposure: Reversible Response and Response Model Development. Environ. Toxicol. Chem., 37, (4), 1138-1145. doi:10.1002/etc.4060. ECOREF#:177106</t>
        </is>
      </c>
      <c r="BE34" t="inlineStr">
        <is>
          <t>Purity:  NR - NR | Organism Age:  NR - NR NR | Duration (Days):  NR - NR Day(s) | Conc 2 (Standardized):  NR (NR - NR) NR | Conc 3 (Standardized):  NR (NR - NR) NR</t>
        </is>
      </c>
    </row>
    <row r="35">
      <c r="A35" t="n">
        <v>375951.0</v>
      </c>
      <c r="B35" t="inlineStr">
        <is>
          <t>2,2,3,3,4,4,5,5,6,6,7,7,8,8,9,9,9-Heptadecafluorononanoic acid</t>
        </is>
      </c>
      <c r="C35"/>
      <c r="D35" t="inlineStr">
        <is>
          <t>Unmeasured</t>
        </is>
      </c>
      <c r="E35" t="n">
        <v>99.2</v>
      </c>
      <c r="F35" t="inlineStr">
        <is>
          <t>Mytilus californianus</t>
        </is>
      </c>
      <c r="G35" t="inlineStr">
        <is>
          <t>Mussel</t>
        </is>
      </c>
      <c r="H35" t="inlineStr">
        <is>
          <t>Molluscs</t>
        </is>
      </c>
      <c r="I35"/>
      <c r="J35" t="inlineStr">
        <is>
          <t>NR</t>
        </is>
      </c>
      <c r="K35"/>
      <c r="L35" t="inlineStr">
        <is>
          <t>Static</t>
        </is>
      </c>
      <c r="M35" t="inlineStr">
        <is>
          <t>Salt water</t>
        </is>
      </c>
      <c r="N35" t="inlineStr">
        <is>
          <t>Lab</t>
        </is>
      </c>
      <c r="O35" t="n">
        <v>1.0</v>
      </c>
      <c r="P35" t="inlineStr">
        <is>
          <t>Active ingredient</t>
        </is>
      </c>
      <c r="Q35"/>
      <c r="R35" t="n">
        <v>0.04640786</v>
      </c>
      <c r="S35"/>
      <c r="T35"/>
      <c r="U35"/>
      <c r="V35"/>
      <c r="W35" t="inlineStr">
        <is>
          <t>AI mg/L</t>
        </is>
      </c>
      <c r="X35" t="inlineStr">
        <is>
          <t>Accumulation</t>
        </is>
      </c>
      <c r="Y35" t="inlineStr">
        <is>
          <t>Residue</t>
        </is>
      </c>
      <c r="Z35"/>
      <c r="AA35" t="inlineStr">
        <is>
          <t>Gill(s)</t>
        </is>
      </c>
      <c r="AB35" t="n">
        <v>0.0417</v>
      </c>
      <c r="AC35" t="inlineStr">
        <is>
          <t>Day(s)</t>
        </is>
      </c>
      <c r="AD35"/>
      <c r="AE35"/>
      <c r="AF35"/>
      <c r="AG35"/>
      <c r="AH35"/>
      <c r="AI35"/>
      <c r="AJ35" t="inlineStr">
        <is>
          <t>--</t>
        </is>
      </c>
      <c r="AK35"/>
      <c r="AL35"/>
      <c r="AM35"/>
      <c r="AN35"/>
      <c r="AO35"/>
      <c r="AP35"/>
      <c r="AQ35"/>
      <c r="AR35"/>
      <c r="AS35"/>
      <c r="AT35"/>
      <c r="AU35"/>
      <c r="AV35"/>
      <c r="AW35"/>
      <c r="AX35"/>
      <c r="AY35" t="inlineStr">
        <is>
          <t>Stevenson,C.N., L.A. MacManus-Spencer, T. Luckenbach, R.G. Luthy, and D. Epel</t>
        </is>
      </c>
      <c r="AZ35" t="n">
        <v>175712.0</v>
      </c>
      <c r="BA35" t="inlineStr">
        <is>
          <t>New Perspectives on Perfluorochemical Ecotoxicology: Inhibition and Induction of an Efflux Transporter in the Marine Mussel, Mytilus californianus</t>
        </is>
      </c>
      <c r="BB35" t="inlineStr">
        <is>
          <t>Environ. Sci. Technol.40(17): 5580-5585</t>
        </is>
      </c>
      <c r="BC35" t="n">
        <v>2006.0</v>
      </c>
      <c r="BD35"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c r="BE35" t="inlineStr">
        <is>
          <t>Purity:  NR - NR | Organism Age:  NR - NR NR | Duration (Days):  NR - NR Day(s) | Conc 2 (Standardized):  NR (NR - NR) NR | Conc 3 (Standardized):  NR (NR - NR) NR</t>
        </is>
      </c>
    </row>
    <row r="36">
      <c r="A36" t="n">
        <v>375951.0</v>
      </c>
      <c r="B36" t="inlineStr">
        <is>
          <t>2,2,3,3,4,4,5,5,6,6,7,7,8,8,9,9,9-Heptadecafluorononanoic acid</t>
        </is>
      </c>
      <c r="C36"/>
      <c r="D36" t="inlineStr">
        <is>
          <t>Measured</t>
        </is>
      </c>
      <c r="E36" t="n">
        <v>97.0</v>
      </c>
      <c r="F36" t="inlineStr">
        <is>
          <t>Perna viridis</t>
        </is>
      </c>
      <c r="G36" t="inlineStr">
        <is>
          <t>Green Mussel</t>
        </is>
      </c>
      <c r="H36" t="inlineStr">
        <is>
          <t>Molluscs</t>
        </is>
      </c>
      <c r="I36"/>
      <c r="J36" t="inlineStr">
        <is>
          <t>NR</t>
        </is>
      </c>
      <c r="K36"/>
      <c r="L36" t="inlineStr">
        <is>
          <t>Renewal</t>
        </is>
      </c>
      <c r="M36" t="inlineStr">
        <is>
          <t>Salt water</t>
        </is>
      </c>
      <c r="N36" t="inlineStr">
        <is>
          <t>Lab</t>
        </is>
      </c>
      <c r="O36" t="n">
        <v>6.0</v>
      </c>
      <c r="P36" t="inlineStr">
        <is>
          <t>Active ingredient</t>
        </is>
      </c>
      <c r="Q36"/>
      <c r="R36"/>
      <c r="S36"/>
      <c r="T36" t="n">
        <v>1.1E-4</v>
      </c>
      <c r="U36"/>
      <c r="V36" t="n">
        <v>1.072</v>
      </c>
      <c r="W36" t="inlineStr">
        <is>
          <t>AI mg/L</t>
        </is>
      </c>
      <c r="X36" t="inlineStr">
        <is>
          <t>Accumulation</t>
        </is>
      </c>
      <c r="Y36" t="inlineStr">
        <is>
          <t>Residue</t>
        </is>
      </c>
      <c r="Z36"/>
      <c r="AA36" t="inlineStr">
        <is>
          <t>Tissue</t>
        </is>
      </c>
      <c r="AB36" t="n">
        <v>7.0</v>
      </c>
      <c r="AC36" t="inlineStr">
        <is>
          <t>Day(s)</t>
        </is>
      </c>
      <c r="AD36"/>
      <c r="AE36"/>
      <c r="AF36"/>
      <c r="AG36"/>
      <c r="AH36"/>
      <c r="AI36"/>
      <c r="AJ36" t="inlineStr">
        <is>
          <t>--</t>
        </is>
      </c>
      <c r="AK36"/>
      <c r="AL36"/>
      <c r="AM36"/>
      <c r="AN36"/>
      <c r="AO36"/>
      <c r="AP36"/>
      <c r="AQ36"/>
      <c r="AR36"/>
      <c r="AS36"/>
      <c r="AT36"/>
      <c r="AU36"/>
      <c r="AV36"/>
      <c r="AW36"/>
      <c r="AX36"/>
      <c r="AY36" t="inlineStr">
        <is>
          <t>Liu,C., V.W. Chang, and K.Y. Gin</t>
        </is>
      </c>
      <c r="AZ36" t="n">
        <v>182461.0</v>
      </c>
      <c r="BA36" t="inlineStr">
        <is>
          <t>Environmental Toxicity of PFCs: An Enhanced Integrated Biomarker Assessment and Structure-Activity Analysis</t>
        </is>
      </c>
      <c r="BB36" t="inlineStr">
        <is>
          <t>Environ. Toxicol. Chem.32(10): 2226-2233</t>
        </is>
      </c>
      <c r="BC36" t="n">
        <v>2013.0</v>
      </c>
      <c r="BD36" t="inlineStr">
        <is>
          <t>Liu,C., V.W. Chang, and K.Y. Gin (2013). Environmental Toxicity of PFCs: An Enhanced Integrated Biomarker Assessment and Structure-Activity Analysis. Environ. Toxicol. Chem., 32, (10), 2226-2233. doi:10.1002/etc.2306. ECOREF#:182461</t>
        </is>
      </c>
      <c r="BE36" t="inlineStr">
        <is>
          <t>Purity:  NR - NR | Organism Age:  NR - NR NR | Duration (Days):  NR - NR Day(s) | Conc 2 (Standardized):  NR (NR - NR) NR | Conc 3 (Standardized):  NR (NR - NR) NR</t>
        </is>
      </c>
    </row>
  </sheetData>
  <pageMargins bottom="0.75" footer="0.3" header="0.3" left="0.7" right="0.7" top="0.75"/>
</worksheet>
</file>

<file path=xl/worksheets/sheet2.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Ref. Number</t>
        </is>
      </c>
      <c r="B1" t="inlineStr">
        <is>
          <t>Author</t>
        </is>
      </c>
      <c r="C1" t="inlineStr">
        <is>
          <t>Title</t>
        </is>
      </c>
      <c r="D1" t="inlineStr">
        <is>
          <t>Source</t>
        </is>
      </c>
      <c r="E1" t="inlineStr">
        <is>
          <t>Pub. Year</t>
        </is>
      </c>
      <c r="F1" t="inlineStr">
        <is>
          <t>Ref. Type</t>
        </is>
      </c>
      <c r="G1" t="inlineStr">
        <is>
          <t>Citation</t>
        </is>
      </c>
      <c r="H1" t="inlineStr">
        <is>
          <t>Google Scholar</t>
        </is>
      </c>
    </row>
    <row r="2">
      <c r="A2" t="n">
        <v>175197.0</v>
      </c>
      <c r="B2" t="inlineStr">
        <is>
          <t>Falk,S., K. Failing, S. Georgii, H. Brunn, and T. Stahl</t>
        </is>
      </c>
      <c r="C2" t="inlineStr">
        <is>
          <t>Tissue Specific Uptake and Elimination of Perfluoroalkyl Acids (PFAAS) in Adult Rainbow Trout (Oncorhynchus mykiss) After Dietary Exposure</t>
        </is>
      </c>
      <c r="D2" t="inlineStr">
        <is>
          <t>Chemosphere129:150-156</t>
        </is>
      </c>
      <c r="E2" t="n">
        <v>2015.0</v>
      </c>
      <c r="F2"/>
      <c r="G2" t="inlineStr">
        <is>
          <t>Falk,S., K. Failing, S. Georgii, H. Brunn, and T. Stahl (2015). Tissue Specific Uptake and Elimination of Perfluoroalkyl Acids (PFAAS) in Adult Rainbow Trout (Oncorhynchus mykiss) After Dietary Exposure. Chemosphere, 129, 150-156. doi:10.1016/j.chemosphere.2014.06.061. ECOREF#:175197</t>
        </is>
      </c>
      <c r="H2" s="1" t="n">
        <f>HYPERLINK("https://scholar.google.com/scholar?hl=en&amp;as_q=&amp;as_oq=&amp;as_eq=&amp;as_sauthors=&amp;as_publication=&amp;as_ylo=&amp;as_yhi=&amp;as_occt=title&amp;as_sdt=0%2C5&amp;as_epq=%22Tissue+Specific+Uptake+and+Elimination+of+Perfluoroalkyl+Acids+%28PFAAS%29+in+Adult+Rainbow+Trout+%28Oncorhynchu", "Google Scholar")</f>
        <v>0.0</v>
      </c>
    </row>
    <row r="3">
      <c r="A3" t="n">
        <v>190831.0</v>
      </c>
      <c r="B3" t="inlineStr">
        <is>
          <t>Han,J., W. Gu, H. Barrett, D. Yang, S. Tang, J. Sun, J. Liu, H.M. Krause, K.A. Houck, and H. Peng</t>
        </is>
      </c>
      <c r="C3" t="inlineStr">
        <is>
          <t>A Roadmap to the Structure-Related Metabolism Pathways of Per- and Polyfluoroalkyl Substances in the Early Life Stages of Zebrafish (Danio rerio)</t>
        </is>
      </c>
      <c r="D3" t="inlineStr">
        <is>
          <t>Environ. Health Perspect.129(7): 15 p.</t>
        </is>
      </c>
      <c r="E3" t="n">
        <v>2021.0</v>
      </c>
      <c r="F3"/>
      <c r="G3"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c r="H3" s="2" t="n">
        <f>HYPERLINK("https://scholar.google.com/scholar?hl=en&amp;as_q=&amp;as_oq=&amp;as_eq=&amp;as_sauthors=&amp;as_publication=&amp;as_ylo=&amp;as_yhi=&amp;as_occt=title&amp;as_sdt=0%2C5&amp;as_epq=%22A+Roadmap+to+the+Structure-Related+Metabolism+Pathways+of+Per-+and+Polyfluoroalkyl+Substances+in+the+Early+Life+", "Google Scholar")</f>
        <v>0.0</v>
      </c>
    </row>
    <row r="4">
      <c r="A4" t="n">
        <v>182461.0</v>
      </c>
      <c r="B4" t="inlineStr">
        <is>
          <t>Liu,C., V.W. Chang, and K.Y. Gin</t>
        </is>
      </c>
      <c r="C4" t="inlineStr">
        <is>
          <t>Environmental Toxicity of PFCs: An Enhanced Integrated Biomarker Assessment and Structure-Activity Analysis</t>
        </is>
      </c>
      <c r="D4" t="inlineStr">
        <is>
          <t>Environ. Toxicol. Chem.32(10): 2226-2233</t>
        </is>
      </c>
      <c r="E4" t="n">
        <v>2013.0</v>
      </c>
      <c r="F4"/>
      <c r="G4" t="inlineStr">
        <is>
          <t>Liu,C., V.W. Chang, and K.Y. Gin (2013). Environmental Toxicity of PFCs: An Enhanced Integrated Biomarker Assessment and Structure-Activity Analysis. Environ. Toxicol. Chem., 32, (10), 2226-2233. doi:10.1002/etc.2306. ECOREF#:182461</t>
        </is>
      </c>
      <c r="H4" s="3" t="n">
        <f>HYPERLINK("https://scholar.google.com/scholar?hl=en&amp;as_q=&amp;as_oq=&amp;as_eq=&amp;as_sauthors=&amp;as_publication=&amp;as_ylo=&amp;as_yhi=&amp;as_occt=title&amp;as_sdt=0%2C5&amp;as_epq=%22Environmental+Toxicity+of+PFCs%3A+An+Enhanced+Integrated+Biomarker+Assessment+and+Structure-Activity+Analysis", "Google Scholar")</f>
        <v>0.0</v>
      </c>
    </row>
    <row r="5">
      <c r="A5" t="n">
        <v>175715.0</v>
      </c>
      <c r="B5" t="inlineStr">
        <is>
          <t>Liu,C., V.W.C. Chang, K.Y.H. Gin, and V.T. Nguyen</t>
        </is>
      </c>
      <c r="C5" t="inlineStr">
        <is>
          <t>Genotoxicity of Perfluorinated Chemicals (PFCs) to the Green Mussel (Perna viridis)</t>
        </is>
      </c>
      <c r="D5" t="inlineStr">
        <is>
          <t>Sci. Total Environ.487:117-122</t>
        </is>
      </c>
      <c r="E5" t="n">
        <v>2014.0</v>
      </c>
      <c r="F5"/>
      <c r="G5" t="inlineStr">
        <is>
          <t>Liu,C., V.W.C. Chang, K.Y.H. Gin, and V.T. Nguyen (2014). Genotoxicity of Perfluorinated Chemicals (PFCs) to the Green Mussel (Perna viridis). Sci. Total Environ., 487, 117-122. doi:10.1016/j.scitotenv.2014.04.017. ECOREF#:175715</t>
        </is>
      </c>
      <c r="H5" s="4" t="n">
        <f>HYPERLINK("https://scholar.google.com/scholar?hl=en&amp;as_q=&amp;as_oq=&amp;as_eq=&amp;as_sauthors=&amp;as_publication=&amp;as_ylo=&amp;as_yhi=&amp;as_occt=title&amp;as_sdt=0%2C5&amp;as_epq=%22Genotoxicity+of+Perfluorinated+Chemicals+%28PFCs%29+to+the+Green+Mussel+%28Perna+viridis%29", "Google Scholar")</f>
        <v>0.0</v>
      </c>
    </row>
    <row r="6">
      <c r="A6" t="n">
        <v>175762.0</v>
      </c>
      <c r="B6" t="inlineStr">
        <is>
          <t>Liu,C., V.W.C. Chang, and K.Y.H. Gin</t>
        </is>
      </c>
      <c r="C6" t="inlineStr">
        <is>
          <t>Oxidative Toxicity of Perfluorinated Chemicals in Green Mussel and Bioaccumulation Factor Dependent Quantitative Structure-Activity Relationship</t>
        </is>
      </c>
      <c r="D6" t="inlineStr">
        <is>
          <t>Environ. Toxicol. Chem.33(10): 2323-2332</t>
        </is>
      </c>
      <c r="E6" t="n">
        <v>2014.0</v>
      </c>
      <c r="F6"/>
      <c r="G6" t="inlineStr">
        <is>
          <t>Liu,C., V.W.C. Chang, and K.Y.H. Gin (2014). Oxidative Toxicity of Perfluorinated Chemicals in Green Mussel and Bioaccumulation Factor Dependent Quantitative Structure-Activity Relationship. Environ. Toxicol. Chem., 33, (10), 2323-2332. doi:10.1002/etc.2679. ECOREF#:175762</t>
        </is>
      </c>
      <c r="H6" s="5" t="n">
        <f>HYPERLINK("https://scholar.google.com/scholar?hl=en&amp;as_q=&amp;as_oq=&amp;as_eq=&amp;as_sauthors=&amp;as_publication=&amp;as_ylo=&amp;as_yhi=&amp;as_occt=title&amp;as_sdt=0%2C5&amp;as_epq=%22Oxidative+Toxicity+of+Perfluorinated+Chemicals+in+Green+Mussel+and+Bioaccumulation+Factor+Dependent+Quantitative", "Google Scholar")</f>
        <v>0.0</v>
      </c>
    </row>
    <row r="7">
      <c r="A7" t="n">
        <v>177106.0</v>
      </c>
      <c r="B7" t="inlineStr">
        <is>
          <t>Liu,C., and K.Y. Gin</t>
        </is>
      </c>
      <c r="C7" t="inlineStr">
        <is>
          <t>Immunotoxicity in Green Mussels Under Perfluoroalkyl Substance (PFAS) Exposure: Reversible Response and Response Model Development</t>
        </is>
      </c>
      <c r="D7" t="inlineStr">
        <is>
          <t>Environ. Toxicol. Chem.37(4): 1138-1145</t>
        </is>
      </c>
      <c r="E7" t="n">
        <v>2018.0</v>
      </c>
      <c r="F7"/>
      <c r="G7" t="inlineStr">
        <is>
          <t>Liu,C., and K.Y. Gin (2018). Immunotoxicity in Green Mussels Under Perfluoroalkyl Substance (PFAS) Exposure: Reversible Response and Response Model Development. Environ. Toxicol. Chem., 37, (4), 1138-1145. doi:10.1002/etc.4060. ECOREF#:177106</t>
        </is>
      </c>
      <c r="H7" s="6" t="n">
        <f>HYPERLINK("https://scholar.google.com/scholar?hl=en&amp;as_q=&amp;as_oq=&amp;as_eq=&amp;as_sauthors=&amp;as_publication=&amp;as_ylo=&amp;as_yhi=&amp;as_occt=title&amp;as_sdt=0%2C5&amp;as_epq=%22Immunotoxicity+in+Green+Mussels+Under+Perfluoroalkyl+Substance+%28PFAS%29+Exposure%3A+Reversible+Response+and+Re", "Google Scholar")</f>
        <v>0.0</v>
      </c>
    </row>
    <row r="8">
      <c r="A8" t="n">
        <v>175712.0</v>
      </c>
      <c r="B8" t="inlineStr">
        <is>
          <t>Stevenson,C.N., L.A. MacManus-Spencer, T. Luckenbach, R.G. Luthy, and D. Epel</t>
        </is>
      </c>
      <c r="C8" t="inlineStr">
        <is>
          <t>New Perspectives on Perfluorochemical Ecotoxicology: Inhibition and Induction of an Efflux Transporter in the Marine Mussel, Mytilus californianus</t>
        </is>
      </c>
      <c r="D8" t="inlineStr">
        <is>
          <t>Environ. Sci. Technol.40(17): 5580-5585</t>
        </is>
      </c>
      <c r="E8" t="n">
        <v>2006.0</v>
      </c>
      <c r="F8"/>
      <c r="G8"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c r="H8" s="7" t="n">
        <f>HYPERLINK("https://scholar.google.com/scholar?hl=en&amp;as_q=&amp;as_oq=&amp;as_eq=&amp;as_sauthors=&amp;as_publication=&amp;as_ylo=&amp;as_yhi=&amp;as_occt=title&amp;as_sdt=0%2C5&amp;as_epq=%22New+Perspectives+on+Perfluorochemical+Ecotoxicology%3A+Inhibition+and+Induction+of+an+Efflux+Transporter+in+the+", "Google Scholar")</f>
        <v>0.0</v>
      </c>
    </row>
    <row r="9">
      <c r="A9" t="n">
        <v>191102.0</v>
      </c>
      <c r="B9" t="inlineStr">
        <is>
          <t>Suski,J.G., M.K. Chanov, C. Heron, J. Field, and C.J. Salice</t>
        </is>
      </c>
      <c r="C9" t="inlineStr">
        <is>
          <t>Ecotoxicity and Accumulation of Perfluorononanoic Acid  in the Fathead Minnow (Pimephales promelas) and an Approach to Developing Protective Thresholds in the Aquatic Environment Through Species Sensitivity Distribution</t>
        </is>
      </c>
      <c r="D9" t="inlineStr">
        <is>
          <t>Environ. Toxicol. Chem.:1-8</t>
        </is>
      </c>
      <c r="E9" t="n">
        <v>2023.0</v>
      </c>
      <c r="F9"/>
      <c r="G9" t="inlineStr">
        <is>
          <t>Suski,J.G., M.K. Chanov, C. Heron, J. Field, and C.J. Salice (2023). Ecotoxicity and Accumulation of Perfluorononanoic Acid  in the Fathead Minnow (Pimephales promelas) and an Approach to Developing Protective Thresholds in the Aquatic Environment Through Species Sensitivity Distribution. Environ. Toxicol. Chem., 1-8. doi:10.1002/etc.5692. ECOREF#:191102</t>
        </is>
      </c>
      <c r="H9" s="8" t="n">
        <f>HYPERLINK("https://scholar.google.com/scholar?hl=en&amp;as_q=&amp;as_oq=&amp;as_eq=&amp;as_sauthors=&amp;as_publication=&amp;as_ylo=&amp;as_yhi=&amp;as_occt=title&amp;as_sdt=0%2C5&amp;as_epq=%22Ecotoxicity+and+Accumulation+of+Perfluorononanoic+Acid++in+the+Fathead+Minnow+%28Pimephales+promelas%29+and+an+A", "Google Scholar")</f>
        <v>0.0</v>
      </c>
    </row>
    <row r="10">
      <c r="A10" t="n">
        <v>177074.0</v>
      </c>
      <c r="B10" t="inlineStr">
        <is>
          <t>Zhai,Y., X. Xia, X. Zhao, H. Dong, B. Zhu, N. Xia, and J. Dong</t>
        </is>
      </c>
      <c r="C10" t="inlineStr">
        <is>
          <t>Role of Ingestion Route in the Perfluoroalkyl Substance Bioaccumulation by Chironomus plumosus Larvae in Sediments Amended with Carbonaceous Materials</t>
        </is>
      </c>
      <c r="D10" t="inlineStr">
        <is>
          <t>J. Hazard. Mater.302:404-414</t>
        </is>
      </c>
      <c r="E10" t="n">
        <v>2016.0</v>
      </c>
      <c r="F10"/>
      <c r="G10"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c r="H10" s="9" t="n">
        <f>HYPERLINK("https://scholar.google.com/scholar?hl=en&amp;as_q=&amp;as_oq=&amp;as_eq=&amp;as_sauthors=&amp;as_publication=&amp;as_ylo=&amp;as_yhi=&amp;as_occt=title&amp;as_sdt=0%2C5&amp;as_epq=%22Role+of+Ingestion+Route+in+the+Perfluoroalkyl+Substance+Bioaccumulation+by+Chironomus+plumosus+Larvae+in+Sedimen", "Google Scholar")</f>
        <v>0.0</v>
      </c>
    </row>
    <row r="11">
      <c r="A11" t="n">
        <v>175216.0</v>
      </c>
      <c r="B11" t="inlineStr">
        <is>
          <t>Zhang,W., N. Sheng, M. Wang, H. Zhang, and J. Dai</t>
        </is>
      </c>
      <c r="C11" t="inlineStr">
        <is>
          <t>Zebrafish Reproductive Toxicity Induced by Chronic Perfluorononanoate Exposure</t>
        </is>
      </c>
      <c r="D11" t="inlineStr">
        <is>
          <t>Aquat. Toxicol.175:269-276</t>
        </is>
      </c>
      <c r="E11" t="n">
        <v>2016.0</v>
      </c>
      <c r="F11"/>
      <c r="G11" t="inlineStr">
        <is>
          <t>Zhang,W., N. Sheng, M. Wang, H. Zhang, and J. Dai (2016). Zebrafish Reproductive Toxicity Induced by Chronic Perfluorononanoate Exposure. Aquat. Toxicol., 175, 269-276. doi:10.1016/j.aquatox.2016.04.005. ECOREF#:175216</t>
        </is>
      </c>
      <c r="H11" s="10" t="n">
        <f>HYPERLINK("https://scholar.google.com/scholar?hl=en&amp;as_q=&amp;as_oq=&amp;as_eq=&amp;as_sauthors=&amp;as_publication=&amp;as_ylo=&amp;as_yhi=&amp;as_occt=title&amp;as_sdt=0%2C5&amp;as_epq=%22Zebrafish+Reproductive+Toxicity+Induced+by+Chronic+Perfluorononanoate+Exposure", "Google Scholar")</f>
        <v>0.0</v>
      </c>
    </row>
    <row r="12">
      <c r="A12" t="n">
        <v>160553.0</v>
      </c>
      <c r="B12" t="inlineStr">
        <is>
          <t>Zhang,W., Y. Zhang, H. Zhang, J. Wang, R. Cui, and J. Dai</t>
        </is>
      </c>
      <c r="C12" t="inlineStr">
        <is>
          <t>Sex Differences in Transcriptional Expression of FABPs in Zebrafish Liver After Chronic Perfluorononanoic Acid Exposure</t>
        </is>
      </c>
      <c r="D12" t="inlineStr">
        <is>
          <t>Environ. Sci. Technol.46(9): 5175-5182</t>
        </is>
      </c>
      <c r="E12" t="n">
        <v>2012.0</v>
      </c>
      <c r="F12"/>
      <c r="G12" t="inlineStr">
        <is>
          <t>Zhang,W., Y. Zhang, H. Zhang, J. Wang, R. Cui, and J. Dai (2012). Sex Differences in Transcriptional Expression of FABPs in Zebrafish Liver After Chronic Perfluorononanoic Acid Exposure. Environ. Sci. Technol., 46, (9), 5175-5182. doi:10.1021/es300147w. ECOREF#:160553</t>
        </is>
      </c>
      <c r="H12" s="11" t="n">
        <f>HYPERLINK("https://scholar.google.com/scholar?hl=en&amp;as_q=&amp;as_oq=&amp;as_eq=&amp;as_sauthors=&amp;as_publication=&amp;as_ylo=&amp;as_yhi=&amp;as_occt=title&amp;as_sdt=0%2C5&amp;as_epq=%22Sex+Differences+in+Transcriptional+Expression+of+FABPs+in+Zebrafish+Liver+After+Chronic+Perfluorononanoic+Acid+E", "Google Scholar")</f>
        <v>0.0</v>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Category</t>
        </is>
      </c>
      <c r="B1" t="inlineStr">
        <is>
          <t>Parameter Group</t>
        </is>
      </c>
      <c r="C1" t="inlineStr">
        <is>
          <t>Name</t>
        </is>
      </c>
      <c r="D1" t="inlineStr">
        <is>
          <t>Value</t>
        </is>
      </c>
      <c r="E1" t="inlineStr">
        <is>
          <t>Additional Info</t>
        </is>
      </c>
      <c r="F1"/>
      <c r="G1" t="inlineStr">
        <is>
          <t>Search run-time</t>
        </is>
      </c>
    </row>
    <row r="2">
      <c r="A2"/>
      <c r="B2"/>
      <c r="C2"/>
      <c r="D2"/>
      <c r="E2"/>
      <c r="F2"/>
      <c r="G2" s="12" t="n">
        <v>46189.98171296297</v>
      </c>
    </row>
    <row r="3">
      <c r="A3"/>
      <c r="B3"/>
      <c r="C3"/>
      <c r="D3"/>
      <c r="E3"/>
      <c r="F3"/>
      <c r="G3"/>
    </row>
    <row r="4">
      <c r="A4" t="inlineStr">
        <is>
          <t>Habitat</t>
        </is>
      </c>
      <c r="B4"/>
      <c r="C4"/>
      <c r="D4"/>
      <c r="E4"/>
      <c r="F4"/>
      <c r="G4"/>
    </row>
    <row r="5">
      <c r="A5"/>
      <c r="B5"/>
      <c r="C5" t="inlineStr">
        <is>
          <t>Aquatic</t>
        </is>
      </c>
      <c r="D5" t="inlineStr">
        <is>
          <t>Aquatic</t>
        </is>
      </c>
      <c r="E5"/>
      <c r="F5"/>
      <c r="G5"/>
    </row>
    <row r="6">
      <c r="A6"/>
      <c r="B6"/>
      <c r="C6"/>
      <c r="D6"/>
      <c r="E6"/>
      <c r="F6"/>
      <c r="G6"/>
    </row>
    <row r="7">
      <c r="A7" t="inlineStr">
        <is>
          <t>Chemicals</t>
        </is>
      </c>
      <c r="B7"/>
      <c r="C7"/>
      <c r="D7"/>
      <c r="E7"/>
      <c r="F7"/>
      <c r="G7"/>
    </row>
    <row r="8">
      <c r="A8"/>
      <c r="B8"/>
      <c r="C8" t="inlineStr">
        <is>
          <t>Name(s) / Number(s)</t>
        </is>
      </c>
      <c r="D8" t="inlineStr">
        <is>
          <t>PFNA</t>
        </is>
      </c>
      <c r="E8"/>
      <c r="F8"/>
      <c r="G8"/>
    </row>
    <row r="9">
      <c r="A9"/>
      <c r="B9"/>
      <c r="C9"/>
      <c r="D9"/>
      <c r="E9"/>
      <c r="F9"/>
      <c r="G9"/>
    </row>
    <row r="10">
      <c r="A10" t="inlineStr">
        <is>
          <t>Effect Measurements</t>
        </is>
      </c>
      <c r="B10"/>
      <c r="C10"/>
      <c r="D10"/>
      <c r="E10"/>
      <c r="F10"/>
      <c r="G10"/>
    </row>
    <row r="11">
      <c r="A11"/>
      <c r="B11" t="inlineStr">
        <is>
          <t>Accumulation Group</t>
        </is>
      </c>
      <c r="C11" t="inlineStr">
        <is>
          <t>Accumulation</t>
        </is>
      </c>
      <c r="D11" t="inlineStr">
        <is>
          <t>ALL</t>
        </is>
      </c>
      <c r="E11"/>
      <c r="F11"/>
      <c r="G11"/>
    </row>
    <row r="12">
      <c r="A12"/>
      <c r="B12"/>
      <c r="C12"/>
      <c r="D12"/>
      <c r="E12"/>
      <c r="F12"/>
      <c r="G12"/>
    </row>
    <row r="13">
      <c r="A13" t="inlineStr">
        <is>
          <t>Endpoints</t>
        </is>
      </c>
      <c r="B13"/>
      <c r="C13"/>
      <c r="D13"/>
      <c r="E13"/>
      <c r="F13"/>
      <c r="G13"/>
    </row>
    <row r="14">
      <c r="A14"/>
      <c r="B14"/>
      <c r="C14"/>
      <c r="D14"/>
      <c r="E14"/>
      <c r="F14"/>
      <c r="G14"/>
    </row>
    <row r="15">
      <c r="A15" t="inlineStr">
        <is>
          <t>Species</t>
        </is>
      </c>
      <c r="B15"/>
      <c r="C15"/>
      <c r="D15"/>
      <c r="E15"/>
      <c r="F15"/>
      <c r="G15"/>
    </row>
    <row r="16">
      <c r="A16"/>
      <c r="B16"/>
      <c r="C16"/>
      <c r="D16"/>
      <c r="E16"/>
      <c r="F16"/>
      <c r="G16"/>
    </row>
    <row r="17">
      <c r="A17" t="inlineStr">
        <is>
          <t>Test Conditions</t>
        </is>
      </c>
      <c r="B17"/>
      <c r="C17"/>
      <c r="D17"/>
      <c r="E17"/>
      <c r="F17"/>
      <c r="G17"/>
    </row>
    <row r="18">
      <c r="A18"/>
      <c r="B18"/>
      <c r="C18"/>
      <c r="D18"/>
      <c r="E18"/>
      <c r="F18"/>
      <c r="G18"/>
    </row>
    <row r="19">
      <c r="A19" t="inlineStr">
        <is>
          <t>Publication Options</t>
        </is>
      </c>
      <c r="B19"/>
      <c r="C19"/>
      <c r="D19"/>
      <c r="E19"/>
      <c r="F19"/>
      <c r="G19"/>
    </row>
    <row r="20">
      <c r="A20"/>
      <c r="B20"/>
      <c r="C20"/>
      <c r="D20"/>
      <c r="E20"/>
      <c r="F20"/>
      <c r="G2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2026-06-17T03:33:40Z</dcterms:created>
  <dc:creator>Apache POI</dc:creator>
</cp:coreProperties>
</file>