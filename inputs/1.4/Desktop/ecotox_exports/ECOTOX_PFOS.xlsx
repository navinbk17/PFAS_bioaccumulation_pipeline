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215">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9">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0" fontId="24" fillId="0" borderId="0" xfId="0" applyFont="true"/>
    <xf numFmtId="0" fontId="26" fillId="0" borderId="0" xfId="0" applyFont="true"/>
    <xf numFmtId="0" fontId="28" fillId="0" borderId="0" xfId="0" applyFont="true"/>
    <xf numFmtId="0" fontId="30" fillId="0" borderId="0" xfId="0" applyFont="true"/>
    <xf numFmtId="0" fontId="32" fillId="0" borderId="0" xfId="0" applyFont="true"/>
    <xf numFmtId="0" fontId="34" fillId="0" borderId="0" xfId="0" applyFont="true"/>
    <xf numFmtId="0" fontId="36" fillId="0" borderId="0" xfId="0" applyFont="true"/>
    <xf numFmtId="0" fontId="38" fillId="0" borderId="0" xfId="0" applyFont="true"/>
    <xf numFmtId="0" fontId="40" fillId="0" borderId="0" xfId="0" applyFont="true"/>
    <xf numFmtId="0" fontId="42" fillId="0" borderId="0" xfId="0" applyFont="true"/>
    <xf numFmtId="0" fontId="44" fillId="0" borderId="0" xfId="0" applyFont="true"/>
    <xf numFmtId="0" fontId="46" fillId="0" borderId="0" xfId="0" applyFont="true"/>
    <xf numFmtId="0" fontId="48" fillId="0" borderId="0" xfId="0" applyFont="true"/>
    <xf numFmtId="0" fontId="50" fillId="0" borderId="0" xfId="0" applyFont="true"/>
    <xf numFmtId="0" fontId="52" fillId="0" borderId="0" xfId="0" applyFont="true"/>
    <xf numFmtId="0" fontId="54" fillId="0" borderId="0" xfId="0" applyFont="true"/>
    <xf numFmtId="0" fontId="56" fillId="0" borderId="0" xfId="0" applyFont="true"/>
    <xf numFmtId="0" fontId="58" fillId="0" borderId="0" xfId="0" applyFont="true"/>
    <xf numFmtId="0" fontId="60" fillId="0" borderId="0" xfId="0" applyFont="true"/>
    <xf numFmtId="0" fontId="62" fillId="0" borderId="0" xfId="0" applyFont="true"/>
    <xf numFmtId="0" fontId="64" fillId="0" borderId="0" xfId="0" applyFont="true"/>
    <xf numFmtId="0" fontId="66" fillId="0" borderId="0" xfId="0" applyFont="true"/>
    <xf numFmtId="0" fontId="68" fillId="0" borderId="0" xfId="0" applyFont="true"/>
    <xf numFmtId="0" fontId="70" fillId="0" borderId="0" xfId="0" applyFont="true"/>
    <xf numFmtId="0" fontId="72" fillId="0" borderId="0" xfId="0" applyFont="true"/>
    <xf numFmtId="0" fontId="74" fillId="0" borderId="0" xfId="0" applyFont="true"/>
    <xf numFmtId="0" fontId="76" fillId="0" borderId="0" xfId="0" applyFont="true"/>
    <xf numFmtId="0" fontId="78" fillId="0" borderId="0" xfId="0" applyFont="true"/>
    <xf numFmtId="0" fontId="80" fillId="0" borderId="0" xfId="0" applyFont="true"/>
    <xf numFmtId="0" fontId="82" fillId="0" borderId="0" xfId="0" applyFont="true"/>
    <xf numFmtId="0" fontId="84" fillId="0" borderId="0" xfId="0" applyFont="true"/>
    <xf numFmtId="0" fontId="86" fillId="0" borderId="0" xfId="0" applyFont="true"/>
    <xf numFmtId="0" fontId="88" fillId="0" borderId="0" xfId="0" applyFont="true"/>
    <xf numFmtId="0" fontId="90" fillId="0" borderId="0" xfId="0" applyFont="true"/>
    <xf numFmtId="0" fontId="92" fillId="0" borderId="0" xfId="0" applyFont="true"/>
    <xf numFmtId="0" fontId="94" fillId="0" borderId="0" xfId="0" applyFont="true"/>
    <xf numFmtId="0" fontId="96" fillId="0" borderId="0" xfId="0" applyFont="true"/>
    <xf numFmtId="0" fontId="98" fillId="0" borderId="0" xfId="0" applyFont="true"/>
    <xf numFmtId="0" fontId="100" fillId="0" borderId="0" xfId="0" applyFont="true"/>
    <xf numFmtId="0" fontId="102" fillId="0" borderId="0" xfId="0" applyFont="true"/>
    <xf numFmtId="0" fontId="104" fillId="0" borderId="0" xfId="0" applyFont="true"/>
    <xf numFmtId="0" fontId="106" fillId="0" borderId="0" xfId="0" applyFont="true"/>
    <xf numFmtId="0" fontId="108" fillId="0" borderId="0" xfId="0" applyFont="true"/>
    <xf numFmtId="0" fontId="110" fillId="0" borderId="0" xfId="0" applyFont="true"/>
    <xf numFmtId="0" fontId="112" fillId="0" borderId="0" xfId="0" applyFont="true"/>
    <xf numFmtId="0" fontId="114" fillId="0" borderId="0" xfId="0" applyFont="true"/>
    <xf numFmtId="0" fontId="116" fillId="0" borderId="0" xfId="0" applyFont="true"/>
    <xf numFmtId="0" fontId="118" fillId="0" borderId="0" xfId="0" applyFont="true"/>
    <xf numFmtId="0" fontId="120" fillId="0" borderId="0" xfId="0" applyFont="true"/>
    <xf numFmtId="0" fontId="122" fillId="0" borderId="0" xfId="0" applyFont="true"/>
    <xf numFmtId="0" fontId="124" fillId="0" borderId="0" xfId="0" applyFont="true"/>
    <xf numFmtId="0" fontId="126" fillId="0" borderId="0" xfId="0" applyFont="true"/>
    <xf numFmtId="0" fontId="128" fillId="0" borderId="0" xfId="0" applyFont="true"/>
    <xf numFmtId="0" fontId="130" fillId="0" borderId="0" xfId="0" applyFont="true"/>
    <xf numFmtId="0" fontId="132" fillId="0" borderId="0" xfId="0" applyFont="true"/>
    <xf numFmtId="0" fontId="134" fillId="0" borderId="0" xfId="0" applyFont="true"/>
    <xf numFmtId="0" fontId="136" fillId="0" borderId="0" xfId="0" applyFont="true"/>
    <xf numFmtId="0" fontId="138" fillId="0" borderId="0" xfId="0" applyFont="true"/>
    <xf numFmtId="0" fontId="140" fillId="0" borderId="0" xfId="0" applyFont="true"/>
    <xf numFmtId="0" fontId="142" fillId="0" borderId="0" xfId="0" applyFont="true"/>
    <xf numFmtId="0" fontId="144" fillId="0" borderId="0" xfId="0" applyFont="true"/>
    <xf numFmtId="0" fontId="146" fillId="0" borderId="0" xfId="0" applyFont="true"/>
    <xf numFmtId="0" fontId="148" fillId="0" borderId="0" xfId="0" applyFont="true"/>
    <xf numFmtId="0" fontId="150" fillId="0" borderId="0" xfId="0" applyFont="true"/>
    <xf numFmtId="0" fontId="152" fillId="0" borderId="0" xfId="0" applyFont="true"/>
    <xf numFmtId="0" fontId="154" fillId="0" borderId="0" xfId="0" applyFont="true"/>
    <xf numFmtId="0" fontId="156" fillId="0" borderId="0" xfId="0" applyFont="true"/>
    <xf numFmtId="0" fontId="158" fillId="0" borderId="0" xfId="0" applyFont="true"/>
    <xf numFmtId="0" fontId="160" fillId="0" borderId="0" xfId="0" applyFont="true"/>
    <xf numFmtId="0" fontId="162" fillId="0" borderId="0" xfId="0" applyFont="true"/>
    <xf numFmtId="0" fontId="164" fillId="0" borderId="0" xfId="0" applyFont="true"/>
    <xf numFmtId="0" fontId="166" fillId="0" borderId="0" xfId="0" applyFont="true"/>
    <xf numFmtId="0" fontId="168" fillId="0" borderId="0" xfId="0" applyFont="true"/>
    <xf numFmtId="0" fontId="170" fillId="0" borderId="0" xfId="0" applyFont="true"/>
    <xf numFmtId="0" fontId="172" fillId="0" borderId="0" xfId="0" applyFont="true"/>
    <xf numFmtId="0" fontId="174" fillId="0" borderId="0" xfId="0" applyFont="true"/>
    <xf numFmtId="0" fontId="176" fillId="0" borderId="0" xfId="0" applyFont="true"/>
    <xf numFmtId="0" fontId="178" fillId="0" borderId="0" xfId="0" applyFont="true"/>
    <xf numFmtId="0" fontId="180" fillId="0" borderId="0" xfId="0" applyFont="true"/>
    <xf numFmtId="0" fontId="182" fillId="0" borderId="0" xfId="0" applyFont="true"/>
    <xf numFmtId="0" fontId="184" fillId="0" borderId="0" xfId="0" applyFont="true"/>
    <xf numFmtId="0" fontId="186" fillId="0" borderId="0" xfId="0" applyFont="true"/>
    <xf numFmtId="0" fontId="188" fillId="0" borderId="0" xfId="0" applyFont="true"/>
    <xf numFmtId="0" fontId="190" fillId="0" borderId="0" xfId="0" applyFont="true"/>
    <xf numFmtId="0" fontId="192" fillId="0" borderId="0" xfId="0" applyFont="true"/>
    <xf numFmtId="0" fontId="194" fillId="0" borderId="0" xfId="0" applyFont="true"/>
    <xf numFmtId="0" fontId="196" fillId="0" borderId="0" xfId="0" applyFont="true"/>
    <xf numFmtId="0" fontId="198" fillId="0" borderId="0" xfId="0" applyFont="true"/>
    <xf numFmtId="0" fontId="200" fillId="0" borderId="0" xfId="0" applyFont="true"/>
    <xf numFmtId="0" fontId="202" fillId="0" borderId="0" xfId="0" applyFont="true"/>
    <xf numFmtId="0" fontId="204" fillId="0" borderId="0" xfId="0" applyFont="true"/>
    <xf numFmtId="0" fontId="206" fillId="0" borderId="0" xfId="0" applyFont="true"/>
    <xf numFmtId="0" fontId="208" fillId="0" borderId="0" xfId="0" applyFont="true"/>
    <xf numFmtId="0" fontId="210" fillId="0" borderId="0" xfId="0" applyFont="true"/>
    <xf numFmtId="0" fontId="212" fillId="0" borderId="0" xfId="0" applyFont="true"/>
    <xf numFmtId="0" fontId="214"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Age Units</t>
        </is>
      </c>
      <c r="V1" t="inlineStr">
        <is>
          <t>Exposure Type</t>
        </is>
      </c>
      <c r="W1" t="inlineStr">
        <is>
          <t>Media Type</t>
        </is>
      </c>
      <c r="X1" t="inlineStr">
        <is>
          <t>Test Location</t>
        </is>
      </c>
      <c r="Y1" t="inlineStr">
        <is>
          <t>Number of Doses</t>
        </is>
      </c>
      <c r="Z1" t="inlineStr">
        <is>
          <t>Conc 1 Type (Standardized)</t>
        </is>
      </c>
      <c r="AA1" t="inlineStr">
        <is>
          <t>Conc 1 Mean Op (Standardized)</t>
        </is>
      </c>
      <c r="AB1" t="inlineStr">
        <is>
          <t>Conc 1 Mean (Standardized)</t>
        </is>
      </c>
      <c r="AC1" t="inlineStr">
        <is>
          <t>Conc 1 Min Op (Standardized)</t>
        </is>
      </c>
      <c r="AD1" t="inlineStr">
        <is>
          <t>Conc Min 1 (Standardized)</t>
        </is>
      </c>
      <c r="AE1" t="inlineStr">
        <is>
          <t>Conc 1 Max Op (Standardized)</t>
        </is>
      </c>
      <c r="AF1" t="inlineStr">
        <is>
          <t>Conc 1 Max (Standardized)</t>
        </is>
      </c>
      <c r="AG1" t="inlineStr">
        <is>
          <t>Conc 1 Units (Standardized)</t>
        </is>
      </c>
      <c r="AH1" t="inlineStr">
        <is>
          <t>Conc 2 Type (Standardized)</t>
        </is>
      </c>
      <c r="AI1" t="inlineStr">
        <is>
          <t>Conc 2 Mean Op (Standardized)</t>
        </is>
      </c>
      <c r="AJ1" t="inlineStr">
        <is>
          <t>Conc 2 Mean (Standardized)</t>
        </is>
      </c>
      <c r="AK1" t="inlineStr">
        <is>
          <t>Conc 2 Min Op (Standardized)</t>
        </is>
      </c>
      <c r="AL1" t="inlineStr">
        <is>
          <t>Conc Min 2 (Standardized)</t>
        </is>
      </c>
      <c r="AM1" t="inlineStr">
        <is>
          <t>Conc 2 Max Op (Standardized)</t>
        </is>
      </c>
      <c r="AN1" t="inlineStr">
        <is>
          <t>Conc 2 Max (Standardized)</t>
        </is>
      </c>
      <c r="AO1" t="inlineStr">
        <is>
          <t>Conc 2 Units (Standardized)</t>
        </is>
      </c>
      <c r="AP1" t="inlineStr">
        <is>
          <t>Conc 3 Type (Standardized)</t>
        </is>
      </c>
      <c r="AQ1" t="inlineStr">
        <is>
          <t>Conc 3 Mean Op (Standardized)</t>
        </is>
      </c>
      <c r="AR1" t="inlineStr">
        <is>
          <t>Conc 3 Mean (Standardized)</t>
        </is>
      </c>
      <c r="AS1" t="inlineStr">
        <is>
          <t>Conc 3 Min Op (Standardized)</t>
        </is>
      </c>
      <c r="AT1" t="inlineStr">
        <is>
          <t>Conc Min 3 (Standardized)</t>
        </is>
      </c>
      <c r="AU1" t="inlineStr">
        <is>
          <t>Conc 3 Max Op (Standardized)</t>
        </is>
      </c>
      <c r="AV1" t="inlineStr">
        <is>
          <t>Conc 3 Max (Standardized)</t>
        </is>
      </c>
      <c r="AW1" t="inlineStr">
        <is>
          <t>Conc 3 Units (Standardized)</t>
        </is>
      </c>
      <c r="AX1" t="inlineStr">
        <is>
          <t>Effect</t>
        </is>
      </c>
      <c r="AY1" t="inlineStr">
        <is>
          <t>Effect Measurement</t>
        </is>
      </c>
      <c r="AZ1" t="inlineStr">
        <is>
          <t>Endpoint</t>
        </is>
      </c>
      <c r="BA1" t="inlineStr">
        <is>
          <t>Response Site</t>
        </is>
      </c>
      <c r="BB1" t="inlineStr">
        <is>
          <t>Observed Duration Mean Op (Days)</t>
        </is>
      </c>
      <c r="BC1" t="inlineStr">
        <is>
          <t>Observed Duration Mean (Days)</t>
        </is>
      </c>
      <c r="BD1" t="inlineStr">
        <is>
          <t>Observed Duration Min Op (Days)</t>
        </is>
      </c>
      <c r="BE1" t="inlineStr">
        <is>
          <t>Observed Duration Min (Days)</t>
        </is>
      </c>
      <c r="BF1" t="inlineStr">
        <is>
          <t>Observed Duration Max Op (Days)</t>
        </is>
      </c>
      <c r="BG1" t="inlineStr">
        <is>
          <t>Observed Duration Max (Days)</t>
        </is>
      </c>
      <c r="BH1" t="inlineStr">
        <is>
          <t>Observed Duration Units (Days)</t>
        </is>
      </c>
      <c r="BI1" t="inlineStr">
        <is>
          <t>BCF 1 Value Op</t>
        </is>
      </c>
      <c r="BJ1" t="inlineStr">
        <is>
          <t>BCF 1 Value</t>
        </is>
      </c>
      <c r="BK1" t="inlineStr">
        <is>
          <t>BCF 1 Min Op</t>
        </is>
      </c>
      <c r="BL1" t="inlineStr">
        <is>
          <t>BCF 1 Min</t>
        </is>
      </c>
      <c r="BM1" t="inlineStr">
        <is>
          <t>BCF 1 Max Op</t>
        </is>
      </c>
      <c r="BN1" t="inlineStr">
        <is>
          <t>BCF 1 Max</t>
        </is>
      </c>
      <c r="BO1" t="inlineStr">
        <is>
          <t>BCF 1 Unit</t>
        </is>
      </c>
      <c r="BP1" t="inlineStr">
        <is>
          <t>BCF 2 Value Op</t>
        </is>
      </c>
      <c r="BQ1" t="inlineStr">
        <is>
          <t>BCF 2 Value</t>
        </is>
      </c>
      <c r="BR1" t="inlineStr">
        <is>
          <t>BCF 2 Min Op</t>
        </is>
      </c>
      <c r="BS1" t="inlineStr">
        <is>
          <t>BCF 2 Min</t>
        </is>
      </c>
      <c r="BT1" t="inlineStr">
        <is>
          <t>BCF 2 Max Op</t>
        </is>
      </c>
      <c r="BU1" t="inlineStr">
        <is>
          <t>BCF 2 Max</t>
        </is>
      </c>
      <c r="BV1" t="inlineStr">
        <is>
          <t>BCF 2 Unit</t>
        </is>
      </c>
      <c r="BW1" t="inlineStr">
        <is>
          <t>BCF 3 Value Op</t>
        </is>
      </c>
      <c r="BX1" t="inlineStr">
        <is>
          <t>BCF 3 Value</t>
        </is>
      </c>
      <c r="BY1" t="inlineStr">
        <is>
          <t>BCF 3 Min Op</t>
        </is>
      </c>
      <c r="BZ1" t="inlineStr">
        <is>
          <t>BCF 3 Min</t>
        </is>
      </c>
      <c r="CA1" t="inlineStr">
        <is>
          <t>BCF 3 Max Op</t>
        </is>
      </c>
      <c r="CB1" t="inlineStr">
        <is>
          <t>BCF 3 Max</t>
        </is>
      </c>
      <c r="CC1" t="inlineStr">
        <is>
          <t>BCF 3 Unit</t>
        </is>
      </c>
      <c r="CD1" t="inlineStr">
        <is>
          <t>Author</t>
        </is>
      </c>
      <c r="CE1" t="inlineStr">
        <is>
          <t>Reference Number</t>
        </is>
      </c>
      <c r="CF1" t="inlineStr">
        <is>
          <t>Title</t>
        </is>
      </c>
      <c r="CG1" t="inlineStr">
        <is>
          <t>Source</t>
        </is>
      </c>
      <c r="CH1" t="inlineStr">
        <is>
          <t>Publication Year</t>
        </is>
      </c>
      <c r="CI1" t="inlineStr">
        <is>
          <t>Citation</t>
        </is>
      </c>
    </row>
    <row r="2">
      <c r="A2" t="n">
        <v>754916.0</v>
      </c>
      <c r="B2" t="inlineStr">
        <is>
          <t>1,1,2,2,3,3,4,4,5,5,6,6,7,7,8,8,8-Heptadecafluoro-1-octanesulfonamide</t>
        </is>
      </c>
      <c r="C2" t="inlineStr">
        <is>
          <t>Technical grade, technical product, technical formulation</t>
        </is>
      </c>
      <c r="D2" t="inlineStr">
        <is>
          <t>Measured</t>
        </is>
      </c>
      <c r="E2" t="inlineStr">
        <is>
          <t>~</t>
        </is>
      </c>
      <c r="F2" t="n">
        <v>90.0</v>
      </c>
      <c r="G2"/>
      <c r="H2"/>
      <c r="I2"/>
      <c r="J2"/>
      <c r="K2" t="inlineStr">
        <is>
          <t>Cyprinus carpio</t>
        </is>
      </c>
      <c r="L2" t="inlineStr">
        <is>
          <t>Common Carp</t>
        </is>
      </c>
      <c r="M2" t="inlineStr">
        <is>
          <t>Fish; Standard Test Species</t>
        </is>
      </c>
      <c r="N2"/>
      <c r="O2"/>
      <c r="P2"/>
      <c r="Q2"/>
      <c r="R2"/>
      <c r="S2"/>
      <c r="T2"/>
      <c r="U2"/>
      <c r="V2" t="inlineStr">
        <is>
          <t>Flow-through</t>
        </is>
      </c>
      <c r="W2" t="inlineStr">
        <is>
          <t>Fresh water</t>
        </is>
      </c>
      <c r="X2" t="inlineStr">
        <is>
          <t>Lab</t>
        </is>
      </c>
      <c r="Y2" t="n">
        <v>2.0</v>
      </c>
      <c r="Z2" t="inlineStr">
        <is>
          <t>Active ingredient</t>
        </is>
      </c>
      <c r="AA2"/>
      <c r="AB2" t="n">
        <v>0.0155</v>
      </c>
      <c r="AC2"/>
      <c r="AD2"/>
      <c r="AE2"/>
      <c r="AF2"/>
      <c r="AG2" t="inlineStr">
        <is>
          <t>AI mg/L</t>
        </is>
      </c>
      <c r="AH2"/>
      <c r="AI2"/>
      <c r="AJ2"/>
      <c r="AK2"/>
      <c r="AL2"/>
      <c r="AM2"/>
      <c r="AN2"/>
      <c r="AO2"/>
      <c r="AP2"/>
      <c r="AQ2"/>
      <c r="AR2"/>
      <c r="AS2"/>
      <c r="AT2"/>
      <c r="AU2"/>
      <c r="AV2"/>
      <c r="AW2"/>
      <c r="AX2" t="inlineStr">
        <is>
          <t>Accumulation</t>
        </is>
      </c>
      <c r="AY2" t="inlineStr">
        <is>
          <t>Residue</t>
        </is>
      </c>
      <c r="AZ2" t="inlineStr">
        <is>
          <t>BCF</t>
        </is>
      </c>
      <c r="BA2" t="inlineStr">
        <is>
          <t>Whole organism</t>
        </is>
      </c>
      <c r="BB2"/>
      <c r="BC2" t="n">
        <v>10.0</v>
      </c>
      <c r="BD2"/>
      <c r="BE2"/>
      <c r="BF2"/>
      <c r="BG2"/>
      <c r="BH2" t="inlineStr">
        <is>
          <t>Day(s)</t>
        </is>
      </c>
      <c r="BI2"/>
      <c r="BJ2" t="n">
        <v>251.0</v>
      </c>
      <c r="BK2"/>
      <c r="BL2"/>
      <c r="BM2"/>
      <c r="BN2"/>
      <c r="BO2" t="inlineStr">
        <is>
          <t>RA</t>
        </is>
      </c>
      <c r="BP2"/>
      <c r="BQ2"/>
      <c r="BR2"/>
      <c r="BS2"/>
      <c r="BT2"/>
      <c r="BU2"/>
      <c r="BV2"/>
      <c r="BW2"/>
      <c r="BX2"/>
      <c r="BY2"/>
      <c r="BZ2"/>
      <c r="CA2"/>
      <c r="CB2"/>
      <c r="CC2"/>
      <c r="CD2" t="inlineStr">
        <is>
          <t>Chen,M., L. Qiang, X. Pan, S. Fang, Y. Han, and L. Zhu</t>
        </is>
      </c>
      <c r="CE2" t="n">
        <v>175218.0</v>
      </c>
      <c r="CF2" t="inlineStr">
        <is>
          <t>In Vivo and In Vitro Isomer-Specific Biotransformation of Perfluorooctane Sulfonamide in Common Carp (Cyprinus carpio)</t>
        </is>
      </c>
      <c r="CG2" t="inlineStr">
        <is>
          <t>Environ. Sci. Technol.49(23): 13817-13824</t>
        </is>
      </c>
      <c r="CH2" t="n">
        <v>2015.0</v>
      </c>
      <c r="CI2" t="inlineStr">
        <is>
          <t>Chen,M., L. Qiang, X. Pan, S. Fang, Y. Han, and L. Zhu (2015). In Vivo and In Vitro Isomer-Specific Biotransformation of Perfluorooctane Sulfonamide in Common Carp (Cyprinus carpio). Environ. Sci. Technol., 49, (23), 13817-13824. doi:10.1021/acs.est.5b00488. ECOREF#:175218</t>
        </is>
      </c>
    </row>
    <row r="3">
      <c r="A3" t="n">
        <v>754916.0</v>
      </c>
      <c r="B3" t="inlineStr">
        <is>
          <t>1,1,2,2,3,3,4,4,5,5,6,6,7,7,8,8,8-Heptadecafluoro-1-octanesulfonamide</t>
        </is>
      </c>
      <c r="C3"/>
      <c r="D3" t="inlineStr">
        <is>
          <t>Measured</t>
        </is>
      </c>
      <c r="E3" t="inlineStr">
        <is>
          <t>&gt;</t>
        </is>
      </c>
      <c r="F3" t="n">
        <v>95.0</v>
      </c>
      <c r="G3"/>
      <c r="H3"/>
      <c r="I3"/>
      <c r="J3"/>
      <c r="K3" t="inlineStr">
        <is>
          <t>Danio rerio</t>
        </is>
      </c>
      <c r="L3" t="inlineStr">
        <is>
          <t>Zebra Danio</t>
        </is>
      </c>
      <c r="M3" t="inlineStr">
        <is>
          <t>Fish; Standard Test Species</t>
        </is>
      </c>
      <c r="N3" t="inlineStr">
        <is>
          <t>Embryo</t>
        </is>
      </c>
      <c r="O3"/>
      <c r="P3" t="n">
        <v>64.0</v>
      </c>
      <c r="Q3"/>
      <c r="R3"/>
      <c r="S3"/>
      <c r="T3"/>
      <c r="U3" t="inlineStr">
        <is>
          <t>Cell stage</t>
        </is>
      </c>
      <c r="V3" t="inlineStr">
        <is>
          <t>Renewal</t>
        </is>
      </c>
      <c r="W3" t="inlineStr">
        <is>
          <t>Culture</t>
        </is>
      </c>
      <c r="X3" t="inlineStr">
        <is>
          <t>Lab</t>
        </is>
      </c>
      <c r="Y3" t="n">
        <v>3.0</v>
      </c>
      <c r="Z3" t="inlineStr">
        <is>
          <t>Active ingredient</t>
        </is>
      </c>
      <c r="AA3"/>
      <c r="AB3" t="n">
        <v>0.19965688</v>
      </c>
      <c r="AC3"/>
      <c r="AD3"/>
      <c r="AE3"/>
      <c r="AF3"/>
      <c r="AG3" t="inlineStr">
        <is>
          <t>AI mg/L</t>
        </is>
      </c>
      <c r="AH3"/>
      <c r="AI3"/>
      <c r="AJ3"/>
      <c r="AK3"/>
      <c r="AL3"/>
      <c r="AM3"/>
      <c r="AN3"/>
      <c r="AO3"/>
      <c r="AP3"/>
      <c r="AQ3"/>
      <c r="AR3"/>
      <c r="AS3"/>
      <c r="AT3"/>
      <c r="AU3"/>
      <c r="AV3"/>
      <c r="AW3"/>
      <c r="AX3" t="inlineStr">
        <is>
          <t>Accumulation</t>
        </is>
      </c>
      <c r="AY3" t="inlineStr">
        <is>
          <t>Residue</t>
        </is>
      </c>
      <c r="AZ3" t="inlineStr">
        <is>
          <t>BCF</t>
        </is>
      </c>
      <c r="BA3" t="inlineStr">
        <is>
          <t>Whole organism</t>
        </is>
      </c>
      <c r="BB3"/>
      <c r="BC3" t="n">
        <v>5.0</v>
      </c>
      <c r="BD3"/>
      <c r="BE3"/>
      <c r="BF3"/>
      <c r="BG3"/>
      <c r="BH3" t="inlineStr">
        <is>
          <t>Day(s) post-fertilization</t>
        </is>
      </c>
      <c r="BI3"/>
      <c r="BJ3" t="n">
        <v>501.0</v>
      </c>
      <c r="BK3"/>
      <c r="BL3"/>
      <c r="BM3"/>
      <c r="BN3"/>
      <c r="BO3" t="inlineStr">
        <is>
          <t>L/kg</t>
        </is>
      </c>
      <c r="BP3"/>
      <c r="BQ3"/>
      <c r="BR3"/>
      <c r="BS3"/>
      <c r="BT3"/>
      <c r="BU3"/>
      <c r="BV3"/>
      <c r="BW3"/>
      <c r="BX3"/>
      <c r="BY3"/>
      <c r="BZ3"/>
      <c r="CA3"/>
      <c r="CB3"/>
      <c r="CC3"/>
      <c r="CD3" t="inlineStr">
        <is>
          <t>Han,J., W. Gu, H. Barrett, D. Yang, S. Tang, J. Sun, J. Liu, H.M. Krause, K.A. Houck, and H. Peng</t>
        </is>
      </c>
      <c r="CE3" t="n">
        <v>190831.0</v>
      </c>
      <c r="CF3" t="inlineStr">
        <is>
          <t>A Roadmap to the Structure-Related Metabolism Pathways of Per- and Polyfluoroalkyl Substances in the Early Life Stages of Zebrafish (Danio rerio)</t>
        </is>
      </c>
      <c r="CG3" t="inlineStr">
        <is>
          <t>Environ. Health Perspect.129(7): 15 p.</t>
        </is>
      </c>
      <c r="CH3" t="n">
        <v>2021.0</v>
      </c>
      <c r="CI3"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4">
      <c r="A4" t="n">
        <v>754916.0</v>
      </c>
      <c r="B4" t="inlineStr">
        <is>
          <t>1,1,2,2,3,3,4,4,5,5,6,6,7,7,8,8,8-Heptadecafluoro-1-octanesulfonamide</t>
        </is>
      </c>
      <c r="C4" t="inlineStr">
        <is>
          <t>Technical grade, technical product, technical formulation</t>
        </is>
      </c>
      <c r="D4" t="inlineStr">
        <is>
          <t>Measured</t>
        </is>
      </c>
      <c r="E4"/>
      <c r="F4" t="n">
        <v>98.0</v>
      </c>
      <c r="G4"/>
      <c r="H4"/>
      <c r="I4"/>
      <c r="J4"/>
      <c r="K4" t="inlineStr">
        <is>
          <t>Cyprinus carpio</t>
        </is>
      </c>
      <c r="L4" t="inlineStr">
        <is>
          <t>Common Carp</t>
        </is>
      </c>
      <c r="M4" t="inlineStr">
        <is>
          <t>Fish; Standard Test Species</t>
        </is>
      </c>
      <c r="N4" t="inlineStr">
        <is>
          <t>Juvenile</t>
        </is>
      </c>
      <c r="O4"/>
      <c r="P4"/>
      <c r="Q4"/>
      <c r="R4"/>
      <c r="S4"/>
      <c r="T4"/>
      <c r="U4"/>
      <c r="V4" t="inlineStr">
        <is>
          <t>Renewal</t>
        </is>
      </c>
      <c r="W4" t="inlineStr">
        <is>
          <t>Fresh water</t>
        </is>
      </c>
      <c r="X4" t="inlineStr">
        <is>
          <t>Lab</t>
        </is>
      </c>
      <c r="Y4" t="n">
        <v>2.0</v>
      </c>
      <c r="Z4" t="inlineStr">
        <is>
          <t>Active ingredient</t>
        </is>
      </c>
      <c r="AA4"/>
      <c r="AB4" t="n">
        <v>0.00115</v>
      </c>
      <c r="AC4"/>
      <c r="AD4"/>
      <c r="AE4"/>
      <c r="AF4"/>
      <c r="AG4" t="inlineStr">
        <is>
          <t>AI mg/L</t>
        </is>
      </c>
      <c r="AH4"/>
      <c r="AI4"/>
      <c r="AJ4"/>
      <c r="AK4"/>
      <c r="AL4"/>
      <c r="AM4"/>
      <c r="AN4"/>
      <c r="AO4"/>
      <c r="AP4"/>
      <c r="AQ4"/>
      <c r="AR4"/>
      <c r="AS4"/>
      <c r="AT4"/>
      <c r="AU4"/>
      <c r="AV4"/>
      <c r="AW4"/>
      <c r="AX4" t="inlineStr">
        <is>
          <t>Accumulation</t>
        </is>
      </c>
      <c r="AY4" t="inlineStr">
        <is>
          <t>Residue</t>
        </is>
      </c>
      <c r="AZ4" t="inlineStr">
        <is>
          <t>BCF</t>
        </is>
      </c>
      <c r="BA4" t="inlineStr">
        <is>
          <t>Blood</t>
        </is>
      </c>
      <c r="BB4"/>
      <c r="BC4" t="n">
        <v>76.0</v>
      </c>
      <c r="BD4"/>
      <c r="BE4"/>
      <c r="BF4"/>
      <c r="BG4"/>
      <c r="BH4" t="inlineStr">
        <is>
          <t>Day(s)</t>
        </is>
      </c>
      <c r="BI4"/>
      <c r="BJ4" t="n">
        <v>2617.0</v>
      </c>
      <c r="BK4"/>
      <c r="BL4"/>
      <c r="BM4"/>
      <c r="BN4"/>
      <c r="BO4" t="inlineStr">
        <is>
          <t>g/L</t>
        </is>
      </c>
      <c r="BP4"/>
      <c r="BQ4"/>
      <c r="BR4"/>
      <c r="BS4"/>
      <c r="BT4"/>
      <c r="BU4"/>
      <c r="BV4"/>
      <c r="BW4"/>
      <c r="BX4"/>
      <c r="BY4"/>
      <c r="BZ4"/>
      <c r="CA4"/>
      <c r="CB4"/>
      <c r="CC4"/>
      <c r="CD4" t="inlineStr">
        <is>
          <t>Shan,G., J. Zhao, X. Sun, L. Yang, H. Wei, and L. Zhu</t>
        </is>
      </c>
      <c r="CE4" t="n">
        <v>191162.0</v>
      </c>
      <c r="CF4" t="inlineStr">
        <is>
          <t>Quantitative Estimation of Relative Contributions of Direct and Indirect Exposures to Perfluorooctane Sulfonate in Organisms Using the Isomer Profiling Technique</t>
        </is>
      </c>
      <c r="CG4" t="inlineStr">
        <is>
          <t>ACS ES&amp;T Water2(5): 730-737</t>
        </is>
      </c>
      <c r="CH4" t="n">
        <v>2022.0</v>
      </c>
      <c r="CI4" t="inlineStr">
        <is>
          <t>Shan,G., J. Zhao, X. Sun, L. Yang, H. Wei, and L. Zhu (2022). Quantitative Estimation of Relative Contributions of Direct and Indirect Exposures to Perfluorooctane Sulfonate in Organisms Using the Isomer Profiling Technique. ACS ES&amp;T Water, 2, (5), 730-737. doi:10.1021/acsestwater.1c00368. ECOREF#:191162</t>
        </is>
      </c>
    </row>
    <row r="5">
      <c r="A5" t="n">
        <v>754916.0</v>
      </c>
      <c r="B5" t="inlineStr">
        <is>
          <t>1,1,2,2,3,3,4,4,5,5,6,6,7,7,8,8,8-Heptadecafluoro-1-octanesulfonamide</t>
        </is>
      </c>
      <c r="C5" t="inlineStr">
        <is>
          <t>Technical grade, technical product, technical formulation</t>
        </is>
      </c>
      <c r="D5" t="inlineStr">
        <is>
          <t>Measured</t>
        </is>
      </c>
      <c r="E5" t="inlineStr">
        <is>
          <t>~</t>
        </is>
      </c>
      <c r="F5" t="n">
        <v>90.0</v>
      </c>
      <c r="G5"/>
      <c r="H5"/>
      <c r="I5"/>
      <c r="J5"/>
      <c r="K5" t="inlineStr">
        <is>
          <t>Cyprinus carpio</t>
        </is>
      </c>
      <c r="L5" t="inlineStr">
        <is>
          <t>Common Carp</t>
        </is>
      </c>
      <c r="M5" t="inlineStr">
        <is>
          <t>Fish; Standard Test Species</t>
        </is>
      </c>
      <c r="N5" t="inlineStr">
        <is>
          <t>Not intact</t>
        </is>
      </c>
      <c r="O5"/>
      <c r="P5"/>
      <c r="Q5"/>
      <c r="R5"/>
      <c r="S5"/>
      <c r="T5"/>
      <c r="U5"/>
      <c r="V5" t="inlineStr">
        <is>
          <t>In Vitro</t>
        </is>
      </c>
      <c r="W5" t="inlineStr">
        <is>
          <t>Fresh water</t>
        </is>
      </c>
      <c r="X5" t="inlineStr">
        <is>
          <t>Lab</t>
        </is>
      </c>
      <c r="Y5" t="n">
        <v>4.0</v>
      </c>
      <c r="Z5" t="inlineStr">
        <is>
          <t>Active ingredient</t>
        </is>
      </c>
      <c r="AA5"/>
      <c r="AB5"/>
      <c r="AC5"/>
      <c r="AD5" t="n">
        <v>4.262674388E-6</v>
      </c>
      <c r="AE5"/>
      <c r="AF5" t="n">
        <v>8.53533162E-6</v>
      </c>
      <c r="AG5" t="inlineStr">
        <is>
          <t>AI mg/L</t>
        </is>
      </c>
      <c r="AH5"/>
      <c r="AI5"/>
      <c r="AJ5"/>
      <c r="AK5"/>
      <c r="AL5"/>
      <c r="AM5"/>
      <c r="AN5"/>
      <c r="AO5"/>
      <c r="AP5"/>
      <c r="AQ5"/>
      <c r="AR5"/>
      <c r="AS5"/>
      <c r="AT5"/>
      <c r="AU5"/>
      <c r="AV5"/>
      <c r="AW5"/>
      <c r="AX5" t="inlineStr">
        <is>
          <t>Accumulation</t>
        </is>
      </c>
      <c r="AY5" t="inlineStr">
        <is>
          <t>Residue</t>
        </is>
      </c>
      <c r="AZ5"/>
      <c r="BA5" t="inlineStr">
        <is>
          <t>Multiple entries</t>
        </is>
      </c>
      <c r="BB5"/>
      <c r="BC5"/>
      <c r="BD5"/>
      <c r="BE5" t="n">
        <v>0.0</v>
      </c>
      <c r="BF5"/>
      <c r="BG5" t="n">
        <v>2.6667</v>
      </c>
      <c r="BH5" t="inlineStr">
        <is>
          <t>Day(s)</t>
        </is>
      </c>
      <c r="BI5"/>
      <c r="BJ5"/>
      <c r="BK5"/>
      <c r="BL5"/>
      <c r="BM5"/>
      <c r="BN5"/>
      <c r="BO5" t="inlineStr">
        <is>
          <t>--</t>
        </is>
      </c>
      <c r="BP5"/>
      <c r="BQ5"/>
      <c r="BR5"/>
      <c r="BS5"/>
      <c r="BT5"/>
      <c r="BU5"/>
      <c r="BV5"/>
      <c r="BW5"/>
      <c r="BX5"/>
      <c r="BY5"/>
      <c r="BZ5"/>
      <c r="CA5"/>
      <c r="CB5"/>
      <c r="CC5"/>
      <c r="CD5" t="inlineStr">
        <is>
          <t>Chen,M., L. Qiang, X. Pan, S. Fang, Y. Han, and L. Zhu</t>
        </is>
      </c>
      <c r="CE5" t="n">
        <v>175218.0</v>
      </c>
      <c r="CF5" t="inlineStr">
        <is>
          <t>In Vivo and In Vitro Isomer-Specific Biotransformation of Perfluorooctane Sulfonamide in Common Carp (Cyprinus carpio)</t>
        </is>
      </c>
      <c r="CG5" t="inlineStr">
        <is>
          <t>Environ. Sci. Technol.49(23): 13817-13824</t>
        </is>
      </c>
      <c r="CH5" t="n">
        <v>2015.0</v>
      </c>
      <c r="CI5" t="inlineStr">
        <is>
          <t>Chen,M., L. Qiang, X. Pan, S. Fang, Y. Han, and L. Zhu (2015). In Vivo and In Vitro Isomer-Specific Biotransformation of Perfluorooctane Sulfonamide in Common Carp (Cyprinus carpio). Environ. Sci. Technol., 49, (23), 13817-13824. doi:10.1021/acs.est.5b00488. ECOREF#:175218</t>
        </is>
      </c>
    </row>
    <row r="6">
      <c r="A6" t="n">
        <v>754916.0</v>
      </c>
      <c r="B6" t="inlineStr">
        <is>
          <t>1,1,2,2,3,3,4,4,5,5,6,6,7,7,8,8,8-Heptadecafluoro-1-octanesulfonamide</t>
        </is>
      </c>
      <c r="C6"/>
      <c r="D6" t="inlineStr">
        <is>
          <t>Measured</t>
        </is>
      </c>
      <c r="E6"/>
      <c r="F6"/>
      <c r="G6"/>
      <c r="H6"/>
      <c r="I6"/>
      <c r="J6"/>
      <c r="K6" t="inlineStr">
        <is>
          <t>Danio rerio</t>
        </is>
      </c>
      <c r="L6" t="inlineStr">
        <is>
          <t>Zebra Danio</t>
        </is>
      </c>
      <c r="M6" t="inlineStr">
        <is>
          <t>Fish; Standard Test Species</t>
        </is>
      </c>
      <c r="N6" t="inlineStr">
        <is>
          <t>Embryo</t>
        </is>
      </c>
      <c r="O6"/>
      <c r="P6" t="n">
        <v>4.0</v>
      </c>
      <c r="Q6"/>
      <c r="R6"/>
      <c r="S6"/>
      <c r="T6"/>
      <c r="U6" t="inlineStr">
        <is>
          <t>Hours post fertilization</t>
        </is>
      </c>
      <c r="V6" t="inlineStr">
        <is>
          <t>Renewal</t>
        </is>
      </c>
      <c r="W6" t="inlineStr">
        <is>
          <t>Culture</t>
        </is>
      </c>
      <c r="X6" t="inlineStr">
        <is>
          <t>Lab</t>
        </is>
      </c>
      <c r="Y6" t="n">
        <v>3.0</v>
      </c>
      <c r="Z6" t="inlineStr">
        <is>
          <t>Active ingredient</t>
        </is>
      </c>
      <c r="AA6"/>
      <c r="AB6"/>
      <c r="AC6"/>
      <c r="AD6" t="n">
        <v>0.00942</v>
      </c>
      <c r="AE6"/>
      <c r="AF6" t="n">
        <v>0.10867</v>
      </c>
      <c r="AG6" t="inlineStr">
        <is>
          <t>AI mg/L</t>
        </is>
      </c>
      <c r="AH6"/>
      <c r="AI6"/>
      <c r="AJ6"/>
      <c r="AK6"/>
      <c r="AL6"/>
      <c r="AM6"/>
      <c r="AN6"/>
      <c r="AO6"/>
      <c r="AP6"/>
      <c r="AQ6"/>
      <c r="AR6"/>
      <c r="AS6"/>
      <c r="AT6"/>
      <c r="AU6"/>
      <c r="AV6"/>
      <c r="AW6"/>
      <c r="AX6" t="inlineStr">
        <is>
          <t>Accumulation</t>
        </is>
      </c>
      <c r="AY6" t="inlineStr">
        <is>
          <t>Residue</t>
        </is>
      </c>
      <c r="AZ6"/>
      <c r="BA6" t="inlineStr">
        <is>
          <t>Whole organism</t>
        </is>
      </c>
      <c r="BB6"/>
      <c r="BC6" t="n">
        <v>4.8333</v>
      </c>
      <c r="BD6"/>
      <c r="BE6"/>
      <c r="BF6"/>
      <c r="BG6"/>
      <c r="BH6" t="inlineStr">
        <is>
          <t>Day(s)</t>
        </is>
      </c>
      <c r="BI6"/>
      <c r="BJ6"/>
      <c r="BK6"/>
      <c r="BL6"/>
      <c r="BM6"/>
      <c r="BN6"/>
      <c r="BO6" t="inlineStr">
        <is>
          <t>--</t>
        </is>
      </c>
      <c r="BP6"/>
      <c r="BQ6"/>
      <c r="BR6"/>
      <c r="BS6"/>
      <c r="BT6"/>
      <c r="BU6"/>
      <c r="BV6"/>
      <c r="BW6"/>
      <c r="BX6"/>
      <c r="BY6"/>
      <c r="BZ6"/>
      <c r="CA6"/>
      <c r="CB6"/>
      <c r="CC6"/>
      <c r="CD6" t="inlineStr">
        <is>
          <t>Chen,H., Y. Zou, X. Kang, G. Yang, X. Yang, Y. Yao, J.T. Magnuson, X. Cao, W. Qiu, E.G. Xu, and C. Zheng</t>
        </is>
      </c>
      <c r="CE6" t="n">
        <v>193643.0</v>
      </c>
      <c r="CF6" t="inlineStr">
        <is>
          <t>Perfluorooctane Sulfonamide Induced Autotoxic Effects on the Zebrafish Immune System</t>
        </is>
      </c>
      <c r="CG6" t="inlineStr">
        <is>
          <t>Environ. Sci. Technol.58(30): 13205-13216</t>
        </is>
      </c>
      <c r="CH6" t="n">
        <v>2024.0</v>
      </c>
      <c r="CI6" t="inlineStr">
        <is>
          <t>Chen,H., Y. Zou, X. Kang, G. Yang, X. Yang, Y. Yao, J.T. Magnuson, X. Cao, W. Qiu, E.G. Xu, and C. Zheng (2024). Perfluorooctane Sulfonamide Induced Autotoxic Effects on the Zebrafish Immune System. Environ. Sci. Technol., 58, (30), 13205-13216. ECOREF#:193643</t>
        </is>
      </c>
    </row>
    <row r="7">
      <c r="A7" t="n">
        <v>754916.0</v>
      </c>
      <c r="B7" t="inlineStr">
        <is>
          <t>1,1,2,2,3,3,4,4,5,5,6,6,7,7,8,8,8-Heptadecafluoro-1-octanesulfonamide</t>
        </is>
      </c>
      <c r="C7" t="inlineStr">
        <is>
          <t>Technical grade, technical product, technical formulation</t>
        </is>
      </c>
      <c r="D7" t="inlineStr">
        <is>
          <t>Measured</t>
        </is>
      </c>
      <c r="E7" t="inlineStr">
        <is>
          <t>~</t>
        </is>
      </c>
      <c r="F7" t="n">
        <v>90.0</v>
      </c>
      <c r="G7"/>
      <c r="H7"/>
      <c r="I7"/>
      <c r="J7"/>
      <c r="K7" t="inlineStr">
        <is>
          <t>Cyprinus carpio</t>
        </is>
      </c>
      <c r="L7" t="inlineStr">
        <is>
          <t>Common Carp</t>
        </is>
      </c>
      <c r="M7" t="inlineStr">
        <is>
          <t>Fish; Standard Test Species</t>
        </is>
      </c>
      <c r="N7"/>
      <c r="O7"/>
      <c r="P7"/>
      <c r="Q7"/>
      <c r="R7"/>
      <c r="S7"/>
      <c r="T7"/>
      <c r="U7"/>
      <c r="V7" t="inlineStr">
        <is>
          <t>Flow-through</t>
        </is>
      </c>
      <c r="W7" t="inlineStr">
        <is>
          <t>Fresh water</t>
        </is>
      </c>
      <c r="X7" t="inlineStr">
        <is>
          <t>Lab</t>
        </is>
      </c>
      <c r="Y7" t="n">
        <v>2.0</v>
      </c>
      <c r="Z7" t="inlineStr">
        <is>
          <t>Active ingredient</t>
        </is>
      </c>
      <c r="AA7"/>
      <c r="AB7" t="n">
        <v>0.0155</v>
      </c>
      <c r="AC7"/>
      <c r="AD7"/>
      <c r="AE7"/>
      <c r="AF7"/>
      <c r="AG7" t="inlineStr">
        <is>
          <t>AI mg/L</t>
        </is>
      </c>
      <c r="AH7"/>
      <c r="AI7"/>
      <c r="AJ7"/>
      <c r="AK7"/>
      <c r="AL7"/>
      <c r="AM7"/>
      <c r="AN7"/>
      <c r="AO7"/>
      <c r="AP7"/>
      <c r="AQ7"/>
      <c r="AR7"/>
      <c r="AS7"/>
      <c r="AT7"/>
      <c r="AU7"/>
      <c r="AV7"/>
      <c r="AW7"/>
      <c r="AX7" t="inlineStr">
        <is>
          <t>Accumulation</t>
        </is>
      </c>
      <c r="AY7" t="inlineStr">
        <is>
          <t>Residue</t>
        </is>
      </c>
      <c r="AZ7"/>
      <c r="BA7" t="inlineStr">
        <is>
          <t>Multiple entries</t>
        </is>
      </c>
      <c r="BB7"/>
      <c r="BC7" t="n">
        <v>10.0</v>
      </c>
      <c r="BD7"/>
      <c r="BE7"/>
      <c r="BF7"/>
      <c r="BG7"/>
      <c r="BH7" t="inlineStr">
        <is>
          <t>Day(s)</t>
        </is>
      </c>
      <c r="BI7"/>
      <c r="BJ7"/>
      <c r="BK7"/>
      <c r="BL7"/>
      <c r="BM7"/>
      <c r="BN7"/>
      <c r="BO7" t="inlineStr">
        <is>
          <t>--</t>
        </is>
      </c>
      <c r="BP7"/>
      <c r="BQ7"/>
      <c r="BR7"/>
      <c r="BS7"/>
      <c r="BT7"/>
      <c r="BU7"/>
      <c r="BV7"/>
      <c r="BW7"/>
      <c r="BX7"/>
      <c r="BY7"/>
      <c r="BZ7"/>
      <c r="CA7"/>
      <c r="CB7"/>
      <c r="CC7"/>
      <c r="CD7" t="inlineStr">
        <is>
          <t>Chen,M., L. Qiang, X. Pan, S. Fang, Y. Han, and L. Zhu</t>
        </is>
      </c>
      <c r="CE7" t="n">
        <v>175218.0</v>
      </c>
      <c r="CF7" t="inlineStr">
        <is>
          <t>In Vivo and In Vitro Isomer-Specific Biotransformation of Perfluorooctane Sulfonamide in Common Carp (Cyprinus carpio)</t>
        </is>
      </c>
      <c r="CG7" t="inlineStr">
        <is>
          <t>Environ. Sci. Technol.49(23): 13817-13824</t>
        </is>
      </c>
      <c r="CH7" t="n">
        <v>2015.0</v>
      </c>
      <c r="CI7" t="inlineStr">
        <is>
          <t>Chen,M., L. Qiang, X. Pan, S. Fang, Y. Han, and L. Zhu (2015). In Vivo and In Vitro Isomer-Specific Biotransformation of Perfluorooctane Sulfonamide in Common Carp (Cyprinus carpio). Environ. Sci. Technol., 49, (23), 13817-13824. doi:10.1021/acs.est.5b00488. ECOREF#:175218</t>
        </is>
      </c>
    </row>
    <row r="8">
      <c r="A8" t="n">
        <v>754916.0</v>
      </c>
      <c r="B8" t="inlineStr">
        <is>
          <t>1,1,2,2,3,3,4,4,5,5,6,6,7,7,8,8,8-Heptadecafluoro-1-octanesulfonamide</t>
        </is>
      </c>
      <c r="C8"/>
      <c r="D8" t="inlineStr">
        <is>
          <t>Measured</t>
        </is>
      </c>
      <c r="E8" t="inlineStr">
        <is>
          <t>&gt;=</t>
        </is>
      </c>
      <c r="F8" t="n">
        <v>99.0</v>
      </c>
      <c r="G8"/>
      <c r="H8"/>
      <c r="I8"/>
      <c r="J8"/>
      <c r="K8" t="inlineStr">
        <is>
          <t>Lemna minor</t>
        </is>
      </c>
      <c r="L8" t="inlineStr">
        <is>
          <t>Duckweed</t>
        </is>
      </c>
      <c r="M8" t="inlineStr">
        <is>
          <t>Flowers, Trees, Shrubs, Ferns; Standard Test Species; U.S. Invasive Species</t>
        </is>
      </c>
      <c r="N8"/>
      <c r="O8"/>
      <c r="P8"/>
      <c r="Q8"/>
      <c r="R8"/>
      <c r="S8"/>
      <c r="T8"/>
      <c r="U8"/>
      <c r="V8" t="inlineStr">
        <is>
          <t>Renewal</t>
        </is>
      </c>
      <c r="W8" t="inlineStr">
        <is>
          <t>Culture</t>
        </is>
      </c>
      <c r="X8" t="inlineStr">
        <is>
          <t>Lab</t>
        </is>
      </c>
      <c r="Y8" t="n">
        <v>3.0</v>
      </c>
      <c r="Z8" t="inlineStr">
        <is>
          <t>Active ingredient</t>
        </is>
      </c>
      <c r="AA8"/>
      <c r="AB8"/>
      <c r="AC8" t="inlineStr">
        <is>
          <t>&gt;</t>
        </is>
      </c>
      <c r="AD8" t="n">
        <v>0.0</v>
      </c>
      <c r="AE8" t="inlineStr">
        <is>
          <t>&lt;</t>
        </is>
      </c>
      <c r="AF8" t="n">
        <v>0.06</v>
      </c>
      <c r="AG8" t="inlineStr">
        <is>
          <t>AI mg/L</t>
        </is>
      </c>
      <c r="AH8"/>
      <c r="AI8"/>
      <c r="AJ8"/>
      <c r="AK8"/>
      <c r="AL8"/>
      <c r="AM8"/>
      <c r="AN8"/>
      <c r="AO8"/>
      <c r="AP8"/>
      <c r="AQ8"/>
      <c r="AR8"/>
      <c r="AS8"/>
      <c r="AT8"/>
      <c r="AU8"/>
      <c r="AV8"/>
      <c r="AW8"/>
      <c r="AX8" t="inlineStr">
        <is>
          <t>Accumulation</t>
        </is>
      </c>
      <c r="AY8" t="inlineStr">
        <is>
          <t>Multiple measurement terms entered</t>
        </is>
      </c>
      <c r="AZ8"/>
      <c r="BA8" t="inlineStr">
        <is>
          <t>Whole organism</t>
        </is>
      </c>
      <c r="BB8"/>
      <c r="BC8"/>
      <c r="BD8"/>
      <c r="BE8" t="n">
        <v>7.0</v>
      </c>
      <c r="BF8"/>
      <c r="BG8" t="n">
        <v>14.0</v>
      </c>
      <c r="BH8" t="inlineStr">
        <is>
          <t>Day(s)</t>
        </is>
      </c>
      <c r="BI8"/>
      <c r="BJ8"/>
      <c r="BK8"/>
      <c r="BL8"/>
      <c r="BM8"/>
      <c r="BN8"/>
      <c r="BO8" t="inlineStr">
        <is>
          <t>--</t>
        </is>
      </c>
      <c r="BP8"/>
      <c r="BQ8"/>
      <c r="BR8"/>
      <c r="BS8"/>
      <c r="BT8"/>
      <c r="BU8"/>
      <c r="BV8"/>
      <c r="BW8"/>
      <c r="BX8"/>
      <c r="BY8"/>
      <c r="BZ8"/>
      <c r="CA8"/>
      <c r="CB8"/>
      <c r="CC8"/>
      <c r="CD8" t="inlineStr">
        <is>
          <t>Zhang,W., and Y. Liang</t>
        </is>
      </c>
      <c r="CE8" t="n">
        <v>185970.0</v>
      </c>
      <c r="CF8" t="inlineStr">
        <is>
          <t>Interactions Between Lemna minor (Common Duckweed) and PFAS Intermediates: Perfluorooctanesulfonamide (PFOSA) and 6:2 Fluorotelomer Sulfonate (6:2 FTSA)</t>
        </is>
      </c>
      <c r="CG8" t="inlineStr">
        <is>
          <t>Chemosphere276:13 p.</t>
        </is>
      </c>
      <c r="CH8" t="n">
        <v>2021.0</v>
      </c>
      <c r="CI8" t="inlineStr">
        <is>
          <t>Zhang,W., and Y. Liang (2021). Interactions Between Lemna minor (Common Duckweed) and PFAS Intermediates: Perfluorooctanesulfonamide (PFOSA) and 6:2 Fluorotelomer Sulfonate (6:2 FTSA). Chemosphere, 276, 13 p. ECOREF#:185970</t>
        </is>
      </c>
    </row>
    <row r="9">
      <c r="A9" t="n">
        <v>754916.0</v>
      </c>
      <c r="B9" t="inlineStr">
        <is>
          <t>1,1,2,2,3,3,4,4,5,5,6,6,7,7,8,8,8-Heptadecafluoro-1-octanesulfonamide</t>
        </is>
      </c>
      <c r="C9"/>
      <c r="D9" t="inlineStr">
        <is>
          <t>Measured</t>
        </is>
      </c>
      <c r="E9" t="inlineStr">
        <is>
          <t>&gt;=</t>
        </is>
      </c>
      <c r="F9" t="n">
        <v>99.0</v>
      </c>
      <c r="G9"/>
      <c r="H9"/>
      <c r="I9"/>
      <c r="J9"/>
      <c r="K9" t="inlineStr">
        <is>
          <t>Lemna minor</t>
        </is>
      </c>
      <c r="L9" t="inlineStr">
        <is>
          <t>Duckweed</t>
        </is>
      </c>
      <c r="M9" t="inlineStr">
        <is>
          <t>Flowers, Trees, Shrubs, Ferns; Standard Test Species; U.S. Invasive Species</t>
        </is>
      </c>
      <c r="N9"/>
      <c r="O9"/>
      <c r="P9"/>
      <c r="Q9"/>
      <c r="R9"/>
      <c r="S9"/>
      <c r="T9"/>
      <c r="U9"/>
      <c r="V9" t="inlineStr">
        <is>
          <t>Renewal</t>
        </is>
      </c>
      <c r="W9" t="inlineStr">
        <is>
          <t>Culture</t>
        </is>
      </c>
      <c r="X9" t="inlineStr">
        <is>
          <t>Lab</t>
        </is>
      </c>
      <c r="Y9" t="n">
        <v>3.0</v>
      </c>
      <c r="Z9" t="inlineStr">
        <is>
          <t>Active ingredient</t>
        </is>
      </c>
      <c r="AA9"/>
      <c r="AB9"/>
      <c r="AC9" t="inlineStr">
        <is>
          <t>&lt;</t>
        </is>
      </c>
      <c r="AD9" t="n">
        <v>0.002</v>
      </c>
      <c r="AE9" t="inlineStr">
        <is>
          <t>~</t>
        </is>
      </c>
      <c r="AF9" t="n">
        <v>0.06</v>
      </c>
      <c r="AG9" t="inlineStr">
        <is>
          <t>AI mg/L</t>
        </is>
      </c>
      <c r="AH9"/>
      <c r="AI9"/>
      <c r="AJ9"/>
      <c r="AK9"/>
      <c r="AL9"/>
      <c r="AM9"/>
      <c r="AN9"/>
      <c r="AO9"/>
      <c r="AP9"/>
      <c r="AQ9"/>
      <c r="AR9"/>
      <c r="AS9"/>
      <c r="AT9"/>
      <c r="AU9"/>
      <c r="AV9"/>
      <c r="AW9"/>
      <c r="AX9" t="inlineStr">
        <is>
          <t>Accumulation</t>
        </is>
      </c>
      <c r="AY9" t="inlineStr">
        <is>
          <t>Multiple measurement terms entered</t>
        </is>
      </c>
      <c r="AZ9"/>
      <c r="BA9" t="inlineStr">
        <is>
          <t>Whole organism</t>
        </is>
      </c>
      <c r="BB9"/>
      <c r="BC9"/>
      <c r="BD9"/>
      <c r="BE9" t="n">
        <v>7.0</v>
      </c>
      <c r="BF9"/>
      <c r="BG9" t="n">
        <v>14.0</v>
      </c>
      <c r="BH9" t="inlineStr">
        <is>
          <t>Day(s)</t>
        </is>
      </c>
      <c r="BI9"/>
      <c r="BJ9"/>
      <c r="BK9"/>
      <c r="BL9"/>
      <c r="BM9"/>
      <c r="BN9"/>
      <c r="BO9" t="inlineStr">
        <is>
          <t>--</t>
        </is>
      </c>
      <c r="BP9"/>
      <c r="BQ9"/>
      <c r="BR9"/>
      <c r="BS9"/>
      <c r="BT9"/>
      <c r="BU9"/>
      <c r="BV9"/>
      <c r="BW9"/>
      <c r="BX9"/>
      <c r="BY9"/>
      <c r="BZ9"/>
      <c r="CA9"/>
      <c r="CB9"/>
      <c r="CC9"/>
      <c r="CD9" t="inlineStr">
        <is>
          <t>Zhang,W.L., and Y.N. Liang</t>
        </is>
      </c>
      <c r="CE9" t="n">
        <v>186169.0</v>
      </c>
      <c r="CF9" t="inlineStr">
        <is>
          <t>Interactions Between Lemna minor (Common Duckweed) and PFAS Intermediates: Perfluorooctanesulfonamide (PFOSA) and 6:2 Fluorotelomer Sulfonate (6:2 FTSA)</t>
        </is>
      </c>
      <c r="CG9" t="inlineStr">
        <is>
          <t>Chemosphere276:7 p.</t>
        </is>
      </c>
      <c r="CH9" t="n">
        <v>2021.0</v>
      </c>
      <c r="CI9" t="inlineStr">
        <is>
          <t>Zhang,W.L., and Y.N. Liang (2021). Interactions Between Lemna minor (Common Duckweed) and PFAS Intermediates: Perfluorooctanesulfonamide (PFOSA) and 6:2 Fluorotelomer Sulfonate (6:2 FTSA). Chemosphere, 276, 7 p. doi:10.1016/j.chemosphere.2021.130165. ECOREF#:186169</t>
        </is>
      </c>
    </row>
    <row r="10">
      <c r="A10" t="n">
        <v>1763231.0</v>
      </c>
      <c r="B10" t="inlineStr">
        <is>
          <t>1,1,2,2,3,3,4,4,5,5,6,6,7,7,8,8,8-Heptadecafluoro-1-octanesulfonic acid</t>
        </is>
      </c>
      <c r="C10"/>
      <c r="D10" t="inlineStr">
        <is>
          <t>Unmeasured</t>
        </is>
      </c>
      <c r="E10" t="inlineStr">
        <is>
          <t>&gt;</t>
        </is>
      </c>
      <c r="F10" t="n">
        <v>98.0</v>
      </c>
      <c r="G10"/>
      <c r="H10"/>
      <c r="I10"/>
      <c r="J10"/>
      <c r="K10" t="inlineStr">
        <is>
          <t>Chlorella sp.</t>
        </is>
      </c>
      <c r="L10" t="inlineStr">
        <is>
          <t>Green Algae</t>
        </is>
      </c>
      <c r="M10" t="inlineStr">
        <is>
          <t>Algae</t>
        </is>
      </c>
      <c r="N10" t="inlineStr">
        <is>
          <t>Exponential growth phase (log)</t>
        </is>
      </c>
      <c r="O10"/>
      <c r="P10"/>
      <c r="Q10"/>
      <c r="R10"/>
      <c r="S10"/>
      <c r="T10"/>
      <c r="U10"/>
      <c r="V10" t="inlineStr">
        <is>
          <t>Static</t>
        </is>
      </c>
      <c r="W10" t="inlineStr">
        <is>
          <t>Culture</t>
        </is>
      </c>
      <c r="X10" t="inlineStr">
        <is>
          <t>Lab</t>
        </is>
      </c>
      <c r="Y10" t="n">
        <v>5.0</v>
      </c>
      <c r="Z10" t="inlineStr">
        <is>
          <t>Active ingredient</t>
        </is>
      </c>
      <c r="AA10"/>
      <c r="AB10" t="n">
        <v>40.0</v>
      </c>
      <c r="AC10"/>
      <c r="AD10"/>
      <c r="AE10"/>
      <c r="AF10"/>
      <c r="AG10" t="inlineStr">
        <is>
          <t>AI mg/L</t>
        </is>
      </c>
      <c r="AH10"/>
      <c r="AI10"/>
      <c r="AJ10"/>
      <c r="AK10"/>
      <c r="AL10"/>
      <c r="AM10"/>
      <c r="AN10"/>
      <c r="AO10"/>
      <c r="AP10"/>
      <c r="AQ10"/>
      <c r="AR10"/>
      <c r="AS10"/>
      <c r="AT10"/>
      <c r="AU10"/>
      <c r="AV10"/>
      <c r="AW10"/>
      <c r="AX10" t="inlineStr">
        <is>
          <t>Accumulation</t>
        </is>
      </c>
      <c r="AY10" t="inlineStr">
        <is>
          <t>Residue</t>
        </is>
      </c>
      <c r="AZ10" t="inlineStr">
        <is>
          <t>BCFD</t>
        </is>
      </c>
      <c r="BA10"/>
      <c r="BB10"/>
      <c r="BC10" t="n">
        <v>7.0</v>
      </c>
      <c r="BD10"/>
      <c r="BE10"/>
      <c r="BF10"/>
      <c r="BG10"/>
      <c r="BH10" t="inlineStr">
        <is>
          <t>Day(s)</t>
        </is>
      </c>
      <c r="BI10"/>
      <c r="BJ10" t="n">
        <v>146.86</v>
      </c>
      <c r="BK10"/>
      <c r="BL10"/>
      <c r="BM10"/>
      <c r="BN10"/>
      <c r="BO10" t="inlineStr">
        <is>
          <t>RA</t>
        </is>
      </c>
      <c r="BP10"/>
      <c r="BQ10"/>
      <c r="BR10"/>
      <c r="BS10"/>
      <c r="BT10"/>
      <c r="BU10"/>
      <c r="BV10"/>
      <c r="BW10"/>
      <c r="BX10"/>
      <c r="BY10"/>
      <c r="BZ10"/>
      <c r="CA10"/>
      <c r="CB10"/>
      <c r="CC10"/>
      <c r="CD10" t="inlineStr">
        <is>
          <t>Mao,W., M. Li, X. Xue, W. Cao, X. Wang, F. Xu, and W. Jiang</t>
        </is>
      </c>
      <c r="CE10" t="n">
        <v>191232.0</v>
      </c>
      <c r="CF10" t="inlineStr">
        <is>
          <t>Bioaccumulation and Toxicity of Perfluorooctanoic Acid and Perfluorooctanesulfonate in Marine Algae Chlorella sp.</t>
        </is>
      </c>
      <c r="CG10" t="inlineStr">
        <is>
          <t>Sci. Total Environ.870:10 p.</t>
        </is>
      </c>
      <c r="CH10" t="n">
        <v>2023.0</v>
      </c>
      <c r="CI10" t="inlineStr">
        <is>
          <t>Mao,W., M. Li, X. Xue, W. Cao, X. Wang, F. Xu, and W. Jiang (2023). Bioaccumulation and Toxicity of Perfluorooctanoic Acid and Perfluorooctanesulfonate in Marine Algae Chlorella sp.. Sci. Total Environ., 870, 10 p. doi:10.1016/j.scitotenv.2023.161882. ECOREF#:191232</t>
        </is>
      </c>
    </row>
    <row r="11">
      <c r="A11" t="n">
        <v>1763231.0</v>
      </c>
      <c r="B11" t="inlineStr">
        <is>
          <t>1,1,2,2,3,3,4,4,5,5,6,6,7,7,8,8,8-Heptadecafluoro-1-octanesulfonic acid</t>
        </is>
      </c>
      <c r="C11"/>
      <c r="D11" t="inlineStr">
        <is>
          <t>Unmeasured</t>
        </is>
      </c>
      <c r="E11" t="inlineStr">
        <is>
          <t>&gt;</t>
        </is>
      </c>
      <c r="F11" t="n">
        <v>98.0</v>
      </c>
      <c r="G11"/>
      <c r="H11"/>
      <c r="I11"/>
      <c r="J11"/>
      <c r="K11" t="inlineStr">
        <is>
          <t>Chlorella sp.</t>
        </is>
      </c>
      <c r="L11" t="inlineStr">
        <is>
          <t>Green Algae</t>
        </is>
      </c>
      <c r="M11" t="inlineStr">
        <is>
          <t>Algae</t>
        </is>
      </c>
      <c r="N11" t="inlineStr">
        <is>
          <t>Exponential growth phase (log)</t>
        </is>
      </c>
      <c r="O11"/>
      <c r="P11"/>
      <c r="Q11"/>
      <c r="R11"/>
      <c r="S11"/>
      <c r="T11"/>
      <c r="U11"/>
      <c r="V11" t="inlineStr">
        <is>
          <t>Static</t>
        </is>
      </c>
      <c r="W11" t="inlineStr">
        <is>
          <t>Culture</t>
        </is>
      </c>
      <c r="X11" t="inlineStr">
        <is>
          <t>Lab</t>
        </is>
      </c>
      <c r="Y11" t="n">
        <v>5.0</v>
      </c>
      <c r="Z11" t="inlineStr">
        <is>
          <t>Active ingredient</t>
        </is>
      </c>
      <c r="AA11"/>
      <c r="AB11" t="n">
        <v>20.0</v>
      </c>
      <c r="AC11"/>
      <c r="AD11"/>
      <c r="AE11"/>
      <c r="AF11"/>
      <c r="AG11" t="inlineStr">
        <is>
          <t>AI mg/L</t>
        </is>
      </c>
      <c r="AH11"/>
      <c r="AI11"/>
      <c r="AJ11"/>
      <c r="AK11"/>
      <c r="AL11"/>
      <c r="AM11"/>
      <c r="AN11"/>
      <c r="AO11"/>
      <c r="AP11"/>
      <c r="AQ11"/>
      <c r="AR11"/>
      <c r="AS11"/>
      <c r="AT11"/>
      <c r="AU11"/>
      <c r="AV11"/>
      <c r="AW11"/>
      <c r="AX11" t="inlineStr">
        <is>
          <t>Accumulation</t>
        </is>
      </c>
      <c r="AY11" t="inlineStr">
        <is>
          <t>Residue</t>
        </is>
      </c>
      <c r="AZ11" t="inlineStr">
        <is>
          <t>BCFD</t>
        </is>
      </c>
      <c r="BA11"/>
      <c r="BB11"/>
      <c r="BC11" t="n">
        <v>7.0</v>
      </c>
      <c r="BD11"/>
      <c r="BE11"/>
      <c r="BF11"/>
      <c r="BG11"/>
      <c r="BH11" t="inlineStr">
        <is>
          <t>Day(s)</t>
        </is>
      </c>
      <c r="BI11"/>
      <c r="BJ11" t="n">
        <v>169.7</v>
      </c>
      <c r="BK11"/>
      <c r="BL11"/>
      <c r="BM11"/>
      <c r="BN11"/>
      <c r="BO11" t="inlineStr">
        <is>
          <t>RA</t>
        </is>
      </c>
      <c r="BP11"/>
      <c r="BQ11"/>
      <c r="BR11"/>
      <c r="BS11"/>
      <c r="BT11"/>
      <c r="BU11"/>
      <c r="BV11"/>
      <c r="BW11"/>
      <c r="BX11"/>
      <c r="BY11"/>
      <c r="BZ11"/>
      <c r="CA11"/>
      <c r="CB11"/>
      <c r="CC11"/>
      <c r="CD11" t="inlineStr">
        <is>
          <t>Mao,W., M. Li, X. Xue, W. Cao, X. Wang, F. Xu, and W. Jiang</t>
        </is>
      </c>
      <c r="CE11" t="n">
        <v>191232.0</v>
      </c>
      <c r="CF11" t="inlineStr">
        <is>
          <t>Bioaccumulation and Toxicity of Perfluorooctanoic Acid and Perfluorooctanesulfonate in Marine Algae Chlorella sp.</t>
        </is>
      </c>
      <c r="CG11" t="inlineStr">
        <is>
          <t>Sci. Total Environ.870:10 p.</t>
        </is>
      </c>
      <c r="CH11" t="n">
        <v>2023.0</v>
      </c>
      <c r="CI11" t="inlineStr">
        <is>
          <t>Mao,W., M. Li, X. Xue, W. Cao, X. Wang, F. Xu, and W. Jiang (2023). Bioaccumulation and Toxicity of Perfluorooctanoic Acid and Perfluorooctanesulfonate in Marine Algae Chlorella sp.. Sci. Total Environ., 870, 10 p. doi:10.1016/j.scitotenv.2023.161882. ECOREF#:191232</t>
        </is>
      </c>
    </row>
    <row r="12">
      <c r="A12" t="n">
        <v>1763231.0</v>
      </c>
      <c r="B12" t="inlineStr">
        <is>
          <t>1,1,2,2,3,3,4,4,5,5,6,6,7,7,8,8,8-Heptadecafluoro-1-octanesulfonic acid</t>
        </is>
      </c>
      <c r="C12"/>
      <c r="D12" t="inlineStr">
        <is>
          <t>Unmeasured</t>
        </is>
      </c>
      <c r="E12" t="inlineStr">
        <is>
          <t>&gt;</t>
        </is>
      </c>
      <c r="F12" t="n">
        <v>98.0</v>
      </c>
      <c r="G12"/>
      <c r="H12"/>
      <c r="I12"/>
      <c r="J12"/>
      <c r="K12" t="inlineStr">
        <is>
          <t>Chlorella sp.</t>
        </is>
      </c>
      <c r="L12" t="inlineStr">
        <is>
          <t>Green Algae</t>
        </is>
      </c>
      <c r="M12" t="inlineStr">
        <is>
          <t>Algae</t>
        </is>
      </c>
      <c r="N12" t="inlineStr">
        <is>
          <t>Exponential growth phase (log)</t>
        </is>
      </c>
      <c r="O12"/>
      <c r="P12"/>
      <c r="Q12"/>
      <c r="R12"/>
      <c r="S12"/>
      <c r="T12"/>
      <c r="U12"/>
      <c r="V12" t="inlineStr">
        <is>
          <t>Static</t>
        </is>
      </c>
      <c r="W12" t="inlineStr">
        <is>
          <t>Culture</t>
        </is>
      </c>
      <c r="X12" t="inlineStr">
        <is>
          <t>Lab</t>
        </is>
      </c>
      <c r="Y12" t="n">
        <v>5.0</v>
      </c>
      <c r="Z12" t="inlineStr">
        <is>
          <t>Active ingredient</t>
        </is>
      </c>
      <c r="AA12"/>
      <c r="AB12" t="n">
        <v>10.0</v>
      </c>
      <c r="AC12"/>
      <c r="AD12"/>
      <c r="AE12"/>
      <c r="AF12"/>
      <c r="AG12" t="inlineStr">
        <is>
          <t>AI mg/L</t>
        </is>
      </c>
      <c r="AH12"/>
      <c r="AI12"/>
      <c r="AJ12"/>
      <c r="AK12"/>
      <c r="AL12"/>
      <c r="AM12"/>
      <c r="AN12"/>
      <c r="AO12"/>
      <c r="AP12"/>
      <c r="AQ12"/>
      <c r="AR12"/>
      <c r="AS12"/>
      <c r="AT12"/>
      <c r="AU12"/>
      <c r="AV12"/>
      <c r="AW12"/>
      <c r="AX12" t="inlineStr">
        <is>
          <t>Accumulation</t>
        </is>
      </c>
      <c r="AY12" t="inlineStr">
        <is>
          <t>Residue</t>
        </is>
      </c>
      <c r="AZ12" t="inlineStr">
        <is>
          <t>BCFD</t>
        </is>
      </c>
      <c r="BA12"/>
      <c r="BB12"/>
      <c r="BC12" t="n">
        <v>7.0</v>
      </c>
      <c r="BD12"/>
      <c r="BE12"/>
      <c r="BF12"/>
      <c r="BG12"/>
      <c r="BH12" t="inlineStr">
        <is>
          <t>Day(s)</t>
        </is>
      </c>
      <c r="BI12"/>
      <c r="BJ12" t="n">
        <v>193.49</v>
      </c>
      <c r="BK12"/>
      <c r="BL12"/>
      <c r="BM12"/>
      <c r="BN12"/>
      <c r="BO12" t="inlineStr">
        <is>
          <t>RA</t>
        </is>
      </c>
      <c r="BP12"/>
      <c r="BQ12"/>
      <c r="BR12"/>
      <c r="BS12"/>
      <c r="BT12"/>
      <c r="BU12"/>
      <c r="BV12"/>
      <c r="BW12"/>
      <c r="BX12"/>
      <c r="BY12"/>
      <c r="BZ12"/>
      <c r="CA12"/>
      <c r="CB12"/>
      <c r="CC12"/>
      <c r="CD12" t="inlineStr">
        <is>
          <t>Mao,W., M. Li, X. Xue, W. Cao, X. Wang, F. Xu, and W. Jiang</t>
        </is>
      </c>
      <c r="CE12" t="n">
        <v>191232.0</v>
      </c>
      <c r="CF12" t="inlineStr">
        <is>
          <t>Bioaccumulation and Toxicity of Perfluorooctanoic Acid and Perfluorooctanesulfonate in Marine Algae Chlorella sp.</t>
        </is>
      </c>
      <c r="CG12" t="inlineStr">
        <is>
          <t>Sci. Total Environ.870:10 p.</t>
        </is>
      </c>
      <c r="CH12" t="n">
        <v>2023.0</v>
      </c>
      <c r="CI12" t="inlineStr">
        <is>
          <t>Mao,W., M. Li, X. Xue, W. Cao, X. Wang, F. Xu, and W. Jiang (2023). Bioaccumulation and Toxicity of Perfluorooctanoic Acid and Perfluorooctanesulfonate in Marine Algae Chlorella sp.. Sci. Total Environ., 870, 10 p. doi:10.1016/j.scitotenv.2023.161882. ECOREF#:191232</t>
        </is>
      </c>
    </row>
    <row r="13">
      <c r="A13" t="n">
        <v>1763231.0</v>
      </c>
      <c r="B13" t="inlineStr">
        <is>
          <t>1,1,2,2,3,3,4,4,5,5,6,6,7,7,8,8,8-Heptadecafluoro-1-octanesulfonic acid</t>
        </is>
      </c>
      <c r="C13"/>
      <c r="D13" t="inlineStr">
        <is>
          <t>Unmeasured</t>
        </is>
      </c>
      <c r="E13" t="inlineStr">
        <is>
          <t>&gt;</t>
        </is>
      </c>
      <c r="F13" t="n">
        <v>98.0</v>
      </c>
      <c r="G13"/>
      <c r="H13"/>
      <c r="I13"/>
      <c r="J13"/>
      <c r="K13" t="inlineStr">
        <is>
          <t>Chlorella sp.</t>
        </is>
      </c>
      <c r="L13" t="inlineStr">
        <is>
          <t>Green Algae</t>
        </is>
      </c>
      <c r="M13" t="inlineStr">
        <is>
          <t>Algae</t>
        </is>
      </c>
      <c r="N13" t="inlineStr">
        <is>
          <t>Exponential growth phase (log)</t>
        </is>
      </c>
      <c r="O13"/>
      <c r="P13"/>
      <c r="Q13"/>
      <c r="R13"/>
      <c r="S13"/>
      <c r="T13"/>
      <c r="U13"/>
      <c r="V13" t="inlineStr">
        <is>
          <t>Static</t>
        </is>
      </c>
      <c r="W13" t="inlineStr">
        <is>
          <t>Culture</t>
        </is>
      </c>
      <c r="X13" t="inlineStr">
        <is>
          <t>Lab</t>
        </is>
      </c>
      <c r="Y13" t="n">
        <v>5.0</v>
      </c>
      <c r="Z13" t="inlineStr">
        <is>
          <t>Active ingredient</t>
        </is>
      </c>
      <c r="AA13"/>
      <c r="AB13" t="n">
        <v>5.0</v>
      </c>
      <c r="AC13"/>
      <c r="AD13"/>
      <c r="AE13"/>
      <c r="AF13"/>
      <c r="AG13" t="inlineStr">
        <is>
          <t>AI mg/L</t>
        </is>
      </c>
      <c r="AH13"/>
      <c r="AI13"/>
      <c r="AJ13"/>
      <c r="AK13"/>
      <c r="AL13"/>
      <c r="AM13"/>
      <c r="AN13"/>
      <c r="AO13"/>
      <c r="AP13"/>
      <c r="AQ13"/>
      <c r="AR13"/>
      <c r="AS13"/>
      <c r="AT13"/>
      <c r="AU13"/>
      <c r="AV13"/>
      <c r="AW13"/>
      <c r="AX13" t="inlineStr">
        <is>
          <t>Accumulation</t>
        </is>
      </c>
      <c r="AY13" t="inlineStr">
        <is>
          <t>Residue</t>
        </is>
      </c>
      <c r="AZ13" t="inlineStr">
        <is>
          <t>BCFD</t>
        </is>
      </c>
      <c r="BA13"/>
      <c r="BB13"/>
      <c r="BC13" t="n">
        <v>7.0</v>
      </c>
      <c r="BD13"/>
      <c r="BE13"/>
      <c r="BF13"/>
      <c r="BG13"/>
      <c r="BH13" t="inlineStr">
        <is>
          <t>Day(s)</t>
        </is>
      </c>
      <c r="BI13"/>
      <c r="BJ13" t="n">
        <v>199.75</v>
      </c>
      <c r="BK13"/>
      <c r="BL13"/>
      <c r="BM13"/>
      <c r="BN13"/>
      <c r="BO13" t="inlineStr">
        <is>
          <t>RA</t>
        </is>
      </c>
      <c r="BP13"/>
      <c r="BQ13"/>
      <c r="BR13"/>
      <c r="BS13"/>
      <c r="BT13"/>
      <c r="BU13"/>
      <c r="BV13"/>
      <c r="BW13"/>
      <c r="BX13"/>
      <c r="BY13"/>
      <c r="BZ13"/>
      <c r="CA13"/>
      <c r="CB13"/>
      <c r="CC13"/>
      <c r="CD13" t="inlineStr">
        <is>
          <t>Mao,W., M. Li, X. Xue, W. Cao, X. Wang, F. Xu, and W. Jiang</t>
        </is>
      </c>
      <c r="CE13" t="n">
        <v>191232.0</v>
      </c>
      <c r="CF13" t="inlineStr">
        <is>
          <t>Bioaccumulation and Toxicity of Perfluorooctanoic Acid and Perfluorooctanesulfonate in Marine Algae Chlorella sp.</t>
        </is>
      </c>
      <c r="CG13" t="inlineStr">
        <is>
          <t>Sci. Total Environ.870:10 p.</t>
        </is>
      </c>
      <c r="CH13" t="n">
        <v>2023.0</v>
      </c>
      <c r="CI13" t="inlineStr">
        <is>
          <t>Mao,W., M. Li, X. Xue, W. Cao, X. Wang, F. Xu, and W. Jiang (2023). Bioaccumulation and Toxicity of Perfluorooctanoic Acid and Perfluorooctanesulfonate in Marine Algae Chlorella sp.. Sci. Total Environ., 870, 10 p. doi:10.1016/j.scitotenv.2023.161882. ECOREF#:191232</t>
        </is>
      </c>
    </row>
    <row r="14">
      <c r="A14" t="n">
        <v>1763231.0</v>
      </c>
      <c r="B14" t="inlineStr">
        <is>
          <t>1,1,2,2,3,3,4,4,5,5,6,6,7,7,8,8,8-Heptadecafluoro-1-octanesulfonic acid</t>
        </is>
      </c>
      <c r="C14"/>
      <c r="D14" t="inlineStr">
        <is>
          <t>Measured</t>
        </is>
      </c>
      <c r="E14" t="inlineStr">
        <is>
          <t>&gt;</t>
        </is>
      </c>
      <c r="F14" t="n">
        <v>98.0</v>
      </c>
      <c r="G14"/>
      <c r="H14"/>
      <c r="I14"/>
      <c r="J14"/>
      <c r="K14" t="inlineStr">
        <is>
          <t>Microcystis aeruginosa</t>
        </is>
      </c>
      <c r="L14" t="inlineStr">
        <is>
          <t>Blue-Green Algae</t>
        </is>
      </c>
      <c r="M14" t="inlineStr">
        <is>
          <t>Algae; Standard Test Species</t>
        </is>
      </c>
      <c r="N14" t="inlineStr">
        <is>
          <t>Exponential growth phase (log)</t>
        </is>
      </c>
      <c r="O14"/>
      <c r="P14"/>
      <c r="Q14"/>
      <c r="R14"/>
      <c r="S14"/>
      <c r="T14"/>
      <c r="U14"/>
      <c r="V14" t="inlineStr">
        <is>
          <t>Static</t>
        </is>
      </c>
      <c r="W14" t="inlineStr">
        <is>
          <t>Culture</t>
        </is>
      </c>
      <c r="X14" t="inlineStr">
        <is>
          <t>Lab</t>
        </is>
      </c>
      <c r="Y14" t="n">
        <v>5.0</v>
      </c>
      <c r="Z14" t="inlineStr">
        <is>
          <t>Active ingredient</t>
        </is>
      </c>
      <c r="AA14"/>
      <c r="AB14"/>
      <c r="AC14"/>
      <c r="AD14" t="n">
        <v>1.1159E-4</v>
      </c>
      <c r="AE14"/>
      <c r="AF14" t="n">
        <v>0.01834211</v>
      </c>
      <c r="AG14" t="inlineStr">
        <is>
          <t>AI mg/L</t>
        </is>
      </c>
      <c r="AH14"/>
      <c r="AI14"/>
      <c r="AJ14"/>
      <c r="AK14"/>
      <c r="AL14"/>
      <c r="AM14"/>
      <c r="AN14"/>
      <c r="AO14"/>
      <c r="AP14"/>
      <c r="AQ14"/>
      <c r="AR14"/>
      <c r="AS14"/>
      <c r="AT14"/>
      <c r="AU14"/>
      <c r="AV14"/>
      <c r="AW14"/>
      <c r="AX14" t="inlineStr">
        <is>
          <t>Accumulation</t>
        </is>
      </c>
      <c r="AY14" t="inlineStr">
        <is>
          <t>Uptake</t>
        </is>
      </c>
      <c r="AZ14"/>
      <c r="BA14" t="inlineStr">
        <is>
          <t>Whole organism</t>
        </is>
      </c>
      <c r="BB14"/>
      <c r="BC14" t="n">
        <v>12.0</v>
      </c>
      <c r="BD14"/>
      <c r="BE14"/>
      <c r="BF14"/>
      <c r="BG14"/>
      <c r="BH14" t="inlineStr">
        <is>
          <t>Day(s)</t>
        </is>
      </c>
      <c r="BI14"/>
      <c r="BJ14"/>
      <c r="BK14"/>
      <c r="BL14"/>
      <c r="BM14"/>
      <c r="BN14"/>
      <c r="BO14" t="inlineStr">
        <is>
          <t>--</t>
        </is>
      </c>
      <c r="BP14"/>
      <c r="BQ14"/>
      <c r="BR14"/>
      <c r="BS14"/>
      <c r="BT14"/>
      <c r="BU14"/>
      <c r="BV14"/>
      <c r="BW14"/>
      <c r="BX14"/>
      <c r="BY14"/>
      <c r="BZ14"/>
      <c r="CA14"/>
      <c r="CB14"/>
      <c r="CC14"/>
      <c r="CD14" t="inlineStr">
        <is>
          <t>Liao,J., B. Sun, C. Wang, Z. Cao, Z.Y. Wu, X. An, Z. Liang, X. Huang, and Y. Lu</t>
        </is>
      </c>
      <c r="CE14" t="n">
        <v>192479.0</v>
      </c>
      <c r="CF14" t="inlineStr">
        <is>
          <t>Uptake and Cellular Responses of Microcystis aeruginosa to PFOS in Various Environmental Conditions</t>
        </is>
      </c>
      <c r="CG14" t="inlineStr">
        <is>
          <t>Ecotoxicol. Environ. Saf.272:10 p.</t>
        </is>
      </c>
      <c r="CH14" t="n">
        <v>2024.0</v>
      </c>
      <c r="CI14" t="inlineStr">
        <is>
          <t>Liao,J., B. Sun, C. Wang, Z. Cao, Z.Y. Wu, X. An, Z. Liang, X. Huang, and Y. Lu (2024). Uptake and Cellular Responses of Microcystis aeruginosa to PFOS in Various Environmental Conditions. Ecotoxicol. Environ. Saf., 272, 10 p. ECOREF#:192479</t>
        </is>
      </c>
    </row>
    <row r="15">
      <c r="A15" t="n">
        <v>1763231.0</v>
      </c>
      <c r="B15" t="inlineStr">
        <is>
          <t>1,1,2,2,3,3,4,4,5,5,6,6,7,7,8,8,8-Heptadecafluoro-1-octanesulfonic acid</t>
        </is>
      </c>
      <c r="C15"/>
      <c r="D15" t="inlineStr">
        <is>
          <t>Unmeasured</t>
        </is>
      </c>
      <c r="E15" t="inlineStr">
        <is>
          <t>&gt;</t>
        </is>
      </c>
      <c r="F15" t="n">
        <v>98.0</v>
      </c>
      <c r="G15"/>
      <c r="H15"/>
      <c r="I15"/>
      <c r="J15"/>
      <c r="K15" t="inlineStr">
        <is>
          <t>Microcystis aeruginosa</t>
        </is>
      </c>
      <c r="L15" t="inlineStr">
        <is>
          <t>Blue-Green Algae</t>
        </is>
      </c>
      <c r="M15" t="inlineStr">
        <is>
          <t>Algae; Standard Test Species</t>
        </is>
      </c>
      <c r="N15" t="inlineStr">
        <is>
          <t>Exponential growth phase (log)</t>
        </is>
      </c>
      <c r="O15"/>
      <c r="P15"/>
      <c r="Q15"/>
      <c r="R15"/>
      <c r="S15"/>
      <c r="T15"/>
      <c r="U15"/>
      <c r="V15" t="inlineStr">
        <is>
          <t>Static</t>
        </is>
      </c>
      <c r="W15" t="inlineStr">
        <is>
          <t>Culture</t>
        </is>
      </c>
      <c r="X15" t="inlineStr">
        <is>
          <t>Lab</t>
        </is>
      </c>
      <c r="Y15" t="n">
        <v>2.0</v>
      </c>
      <c r="Z15" t="inlineStr">
        <is>
          <t>Active ingredient</t>
        </is>
      </c>
      <c r="AA15"/>
      <c r="AB15"/>
      <c r="AC15"/>
      <c r="AD15" t="n">
        <v>0.01797331</v>
      </c>
      <c r="AE15"/>
      <c r="AF15" t="n">
        <v>0.0219417</v>
      </c>
      <c r="AG15" t="inlineStr">
        <is>
          <t>AI mg/L</t>
        </is>
      </c>
      <c r="AH15"/>
      <c r="AI15"/>
      <c r="AJ15"/>
      <c r="AK15"/>
      <c r="AL15"/>
      <c r="AM15"/>
      <c r="AN15"/>
      <c r="AO15"/>
      <c r="AP15"/>
      <c r="AQ15"/>
      <c r="AR15"/>
      <c r="AS15"/>
      <c r="AT15"/>
      <c r="AU15"/>
      <c r="AV15"/>
      <c r="AW15"/>
      <c r="AX15" t="inlineStr">
        <is>
          <t>Accumulation</t>
        </is>
      </c>
      <c r="AY15" t="inlineStr">
        <is>
          <t>Uptake</t>
        </is>
      </c>
      <c r="AZ15"/>
      <c r="BA15" t="inlineStr">
        <is>
          <t>Whole organism</t>
        </is>
      </c>
      <c r="BB15"/>
      <c r="BC15" t="n">
        <v>7.0</v>
      </c>
      <c r="BD15"/>
      <c r="BE15"/>
      <c r="BF15"/>
      <c r="BG15"/>
      <c r="BH15" t="inlineStr">
        <is>
          <t>Day(s)</t>
        </is>
      </c>
      <c r="BI15"/>
      <c r="BJ15"/>
      <c r="BK15"/>
      <c r="BL15"/>
      <c r="BM15"/>
      <c r="BN15"/>
      <c r="BO15" t="inlineStr">
        <is>
          <t>--</t>
        </is>
      </c>
      <c r="BP15"/>
      <c r="BQ15"/>
      <c r="BR15"/>
      <c r="BS15"/>
      <c r="BT15"/>
      <c r="BU15"/>
      <c r="BV15"/>
      <c r="BW15"/>
      <c r="BX15"/>
      <c r="BY15"/>
      <c r="BZ15"/>
      <c r="CA15"/>
      <c r="CB15"/>
      <c r="CC15"/>
      <c r="CD15" t="inlineStr">
        <is>
          <t>Liao,J., B. Sun, C. Wang, Z. Cao, Z.Y. Wu, X. An, Z. Liang, X. Huang, and Y. Lu</t>
        </is>
      </c>
      <c r="CE15" t="n">
        <v>192479.0</v>
      </c>
      <c r="CF15" t="inlineStr">
        <is>
          <t>Uptake and Cellular Responses of Microcystis aeruginosa to PFOS in Various Environmental Conditions</t>
        </is>
      </c>
      <c r="CG15" t="inlineStr">
        <is>
          <t>Ecotoxicol. Environ. Saf.272:10 p.</t>
        </is>
      </c>
      <c r="CH15" t="n">
        <v>2024.0</v>
      </c>
      <c r="CI15" t="inlineStr">
        <is>
          <t>Liao,J., B. Sun, C. Wang, Z. Cao, Z.Y. Wu, X. An, Z. Liang, X. Huang, and Y. Lu (2024). Uptake and Cellular Responses of Microcystis aeruginosa to PFOS in Various Environmental Conditions. Ecotoxicol. Environ. Saf., 272, 10 p. ECOREF#:192479</t>
        </is>
      </c>
    </row>
    <row r="16">
      <c r="A16" t="n">
        <v>1763231.0</v>
      </c>
      <c r="B16" t="inlineStr">
        <is>
          <t>1,1,2,2,3,3,4,4,5,5,6,6,7,7,8,8,8-Heptadecafluoro-1-octanesulfonic acid</t>
        </is>
      </c>
      <c r="C16"/>
      <c r="D16" t="inlineStr">
        <is>
          <t>Measured</t>
        </is>
      </c>
      <c r="E16" t="inlineStr">
        <is>
          <t>&gt;</t>
        </is>
      </c>
      <c r="F16" t="n">
        <v>98.0</v>
      </c>
      <c r="G16"/>
      <c r="H16"/>
      <c r="I16"/>
      <c r="J16"/>
      <c r="K16" t="inlineStr">
        <is>
          <t>Microcystis aeruginosa</t>
        </is>
      </c>
      <c r="L16" t="inlineStr">
        <is>
          <t>Blue-Green Algae</t>
        </is>
      </c>
      <c r="M16" t="inlineStr">
        <is>
          <t>Algae; Standard Test Species</t>
        </is>
      </c>
      <c r="N16" t="inlineStr">
        <is>
          <t>Exponential growth phase (log)</t>
        </is>
      </c>
      <c r="O16"/>
      <c r="P16"/>
      <c r="Q16"/>
      <c r="R16"/>
      <c r="S16"/>
      <c r="T16"/>
      <c r="U16"/>
      <c r="V16" t="inlineStr">
        <is>
          <t>Static</t>
        </is>
      </c>
      <c r="W16" t="inlineStr">
        <is>
          <t>Culture</t>
        </is>
      </c>
      <c r="X16" t="inlineStr">
        <is>
          <t>Lab</t>
        </is>
      </c>
      <c r="Y16" t="n">
        <v>5.0</v>
      </c>
      <c r="Z16" t="inlineStr">
        <is>
          <t>Active ingredient</t>
        </is>
      </c>
      <c r="AA16"/>
      <c r="AB16"/>
      <c r="AC16"/>
      <c r="AD16" t="n">
        <v>1.1159E-4</v>
      </c>
      <c r="AE16"/>
      <c r="AF16" t="n">
        <v>0.01834211</v>
      </c>
      <c r="AG16" t="inlineStr">
        <is>
          <t>AI mg/L</t>
        </is>
      </c>
      <c r="AH16"/>
      <c r="AI16"/>
      <c r="AJ16"/>
      <c r="AK16"/>
      <c r="AL16"/>
      <c r="AM16"/>
      <c r="AN16"/>
      <c r="AO16"/>
      <c r="AP16"/>
      <c r="AQ16"/>
      <c r="AR16"/>
      <c r="AS16"/>
      <c r="AT16"/>
      <c r="AU16"/>
      <c r="AV16"/>
      <c r="AW16"/>
      <c r="AX16" t="inlineStr">
        <is>
          <t>Accumulation</t>
        </is>
      </c>
      <c r="AY16" t="inlineStr">
        <is>
          <t>Uptake</t>
        </is>
      </c>
      <c r="AZ16"/>
      <c r="BA16" t="inlineStr">
        <is>
          <t>Whole organism</t>
        </is>
      </c>
      <c r="BB16"/>
      <c r="BC16"/>
      <c r="BD16"/>
      <c r="BE16" t="n">
        <v>7.0</v>
      </c>
      <c r="BF16"/>
      <c r="BG16" t="n">
        <v>12.0</v>
      </c>
      <c r="BH16" t="inlineStr">
        <is>
          <t>Day(s)</t>
        </is>
      </c>
      <c r="BI16"/>
      <c r="BJ16"/>
      <c r="BK16"/>
      <c r="BL16"/>
      <c r="BM16"/>
      <c r="BN16"/>
      <c r="BO16" t="inlineStr">
        <is>
          <t>--</t>
        </is>
      </c>
      <c r="BP16"/>
      <c r="BQ16"/>
      <c r="BR16"/>
      <c r="BS16"/>
      <c r="BT16"/>
      <c r="BU16"/>
      <c r="BV16"/>
      <c r="BW16"/>
      <c r="BX16"/>
      <c r="BY16"/>
      <c r="BZ16"/>
      <c r="CA16"/>
      <c r="CB16"/>
      <c r="CC16"/>
      <c r="CD16" t="inlineStr">
        <is>
          <t>Liao,J., B. Sun, C. Wang, Z. Cao, Z.Y. Wu, X. An, Z. Liang, X. Huang, and Y. Lu</t>
        </is>
      </c>
      <c r="CE16" t="n">
        <v>192479.0</v>
      </c>
      <c r="CF16" t="inlineStr">
        <is>
          <t>Uptake and Cellular Responses of Microcystis aeruginosa to PFOS in Various Environmental Conditions</t>
        </is>
      </c>
      <c r="CG16" t="inlineStr">
        <is>
          <t>Ecotoxicol. Environ. Saf.272:10 p.</t>
        </is>
      </c>
      <c r="CH16" t="n">
        <v>2024.0</v>
      </c>
      <c r="CI16" t="inlineStr">
        <is>
          <t>Liao,J., B. Sun, C. Wang, Z. Cao, Z.Y. Wu, X. An, Z. Liang, X. Huang, and Y. Lu (2024). Uptake and Cellular Responses of Microcystis aeruginosa to PFOS in Various Environmental Conditions. Ecotoxicol. Environ. Saf., 272, 10 p. ECOREF#:192479</t>
        </is>
      </c>
    </row>
    <row r="17">
      <c r="A17" t="n">
        <v>1763231.0</v>
      </c>
      <c r="B17" t="inlineStr">
        <is>
          <t>1,1,2,2,3,3,4,4,5,5,6,6,7,7,8,8,8-Heptadecafluoro-1-octanesulfonic acid</t>
        </is>
      </c>
      <c r="C17"/>
      <c r="D17" t="inlineStr">
        <is>
          <t>Unmeasured</t>
        </is>
      </c>
      <c r="E17" t="inlineStr">
        <is>
          <t>&gt;</t>
        </is>
      </c>
      <c r="F17" t="n">
        <v>98.0</v>
      </c>
      <c r="G17"/>
      <c r="H17"/>
      <c r="I17"/>
      <c r="J17"/>
      <c r="K17" t="inlineStr">
        <is>
          <t>Microcystis aeruginosa</t>
        </is>
      </c>
      <c r="L17" t="inlineStr">
        <is>
          <t>Blue-Green Algae</t>
        </is>
      </c>
      <c r="M17" t="inlineStr">
        <is>
          <t>Algae; Standard Test Species</t>
        </is>
      </c>
      <c r="N17" t="inlineStr">
        <is>
          <t>Exponential growth phase (log)</t>
        </is>
      </c>
      <c r="O17"/>
      <c r="P17"/>
      <c r="Q17"/>
      <c r="R17"/>
      <c r="S17"/>
      <c r="T17"/>
      <c r="U17"/>
      <c r="V17" t="inlineStr">
        <is>
          <t>Static</t>
        </is>
      </c>
      <c r="W17" t="inlineStr">
        <is>
          <t>Culture</t>
        </is>
      </c>
      <c r="X17" t="inlineStr">
        <is>
          <t>Lab</t>
        </is>
      </c>
      <c r="Y17" t="n">
        <v>2.0</v>
      </c>
      <c r="Z17" t="inlineStr">
        <is>
          <t>Active ingredient</t>
        </is>
      </c>
      <c r="AA17"/>
      <c r="AB17"/>
      <c r="AC17"/>
      <c r="AD17" t="n">
        <v>0.01876944</v>
      </c>
      <c r="AE17"/>
      <c r="AF17" t="n">
        <v>0.0202958</v>
      </c>
      <c r="AG17" t="inlineStr">
        <is>
          <t>AI mg/L</t>
        </is>
      </c>
      <c r="AH17"/>
      <c r="AI17"/>
      <c r="AJ17"/>
      <c r="AK17"/>
      <c r="AL17"/>
      <c r="AM17"/>
      <c r="AN17"/>
      <c r="AO17"/>
      <c r="AP17"/>
      <c r="AQ17"/>
      <c r="AR17"/>
      <c r="AS17"/>
      <c r="AT17"/>
      <c r="AU17"/>
      <c r="AV17"/>
      <c r="AW17"/>
      <c r="AX17" t="inlineStr">
        <is>
          <t>Accumulation</t>
        </is>
      </c>
      <c r="AY17" t="inlineStr">
        <is>
          <t>Uptake</t>
        </is>
      </c>
      <c r="AZ17"/>
      <c r="BA17" t="inlineStr">
        <is>
          <t>Whole organism</t>
        </is>
      </c>
      <c r="BB17"/>
      <c r="BC17" t="n">
        <v>7.0</v>
      </c>
      <c r="BD17"/>
      <c r="BE17"/>
      <c r="BF17"/>
      <c r="BG17"/>
      <c r="BH17" t="inlineStr">
        <is>
          <t>Day(s)</t>
        </is>
      </c>
      <c r="BI17"/>
      <c r="BJ17"/>
      <c r="BK17"/>
      <c r="BL17"/>
      <c r="BM17"/>
      <c r="BN17"/>
      <c r="BO17" t="inlineStr">
        <is>
          <t>--</t>
        </is>
      </c>
      <c r="BP17"/>
      <c r="BQ17"/>
      <c r="BR17"/>
      <c r="BS17"/>
      <c r="BT17"/>
      <c r="BU17"/>
      <c r="BV17"/>
      <c r="BW17"/>
      <c r="BX17"/>
      <c r="BY17"/>
      <c r="BZ17"/>
      <c r="CA17"/>
      <c r="CB17"/>
      <c r="CC17"/>
      <c r="CD17" t="inlineStr">
        <is>
          <t>Liao,J., B. Sun, C. Wang, Z. Cao, Z.Y. Wu, X. An, Z. Liang, X. Huang, and Y. Lu</t>
        </is>
      </c>
      <c r="CE17" t="n">
        <v>192479.0</v>
      </c>
      <c r="CF17" t="inlineStr">
        <is>
          <t>Uptake and Cellular Responses of Microcystis aeruginosa to PFOS in Various Environmental Conditions</t>
        </is>
      </c>
      <c r="CG17" t="inlineStr">
        <is>
          <t>Ecotoxicol. Environ. Saf.272:10 p.</t>
        </is>
      </c>
      <c r="CH17" t="n">
        <v>2024.0</v>
      </c>
      <c r="CI17" t="inlineStr">
        <is>
          <t>Liao,J., B. Sun, C. Wang, Z. Cao, Z.Y. Wu, X. An, Z. Liang, X. Huang, and Y. Lu (2024). Uptake and Cellular Responses of Microcystis aeruginosa to PFOS in Various Environmental Conditions. Ecotoxicol. Environ. Saf., 272, 10 p. ECOREF#:192479</t>
        </is>
      </c>
    </row>
    <row r="18">
      <c r="A18" t="n">
        <v>1763231.0</v>
      </c>
      <c r="B18" t="inlineStr">
        <is>
          <t>1,1,2,2,3,3,4,4,5,5,6,6,7,7,8,8,8-Heptadecafluoro-1-octanesulfonic acid</t>
        </is>
      </c>
      <c r="C18"/>
      <c r="D18" t="inlineStr">
        <is>
          <t>Unmeasured</t>
        </is>
      </c>
      <c r="E18" t="inlineStr">
        <is>
          <t>&gt;</t>
        </is>
      </c>
      <c r="F18" t="n">
        <v>98.0</v>
      </c>
      <c r="G18"/>
      <c r="H18"/>
      <c r="I18"/>
      <c r="J18"/>
      <c r="K18" t="inlineStr">
        <is>
          <t>Microcystis aeruginosa</t>
        </is>
      </c>
      <c r="L18" t="inlineStr">
        <is>
          <t>Blue-Green Algae</t>
        </is>
      </c>
      <c r="M18" t="inlineStr">
        <is>
          <t>Algae; Standard Test Species</t>
        </is>
      </c>
      <c r="N18" t="inlineStr">
        <is>
          <t>Exponential growth phase (log)</t>
        </is>
      </c>
      <c r="O18"/>
      <c r="P18"/>
      <c r="Q18"/>
      <c r="R18"/>
      <c r="S18"/>
      <c r="T18"/>
      <c r="U18"/>
      <c r="V18" t="inlineStr">
        <is>
          <t>Static</t>
        </is>
      </c>
      <c r="W18" t="inlineStr">
        <is>
          <t>Culture</t>
        </is>
      </c>
      <c r="X18" t="inlineStr">
        <is>
          <t>Lab</t>
        </is>
      </c>
      <c r="Y18" t="n">
        <v>2.0</v>
      </c>
      <c r="Z18" t="inlineStr">
        <is>
          <t>Active ingredient</t>
        </is>
      </c>
      <c r="AA18"/>
      <c r="AB18"/>
      <c r="AC18"/>
      <c r="AD18" t="n">
        <v>0.01861432</v>
      </c>
      <c r="AE18"/>
      <c r="AF18" t="n">
        <v>0.01956576</v>
      </c>
      <c r="AG18" t="inlineStr">
        <is>
          <t>AI mg/L</t>
        </is>
      </c>
      <c r="AH18"/>
      <c r="AI18"/>
      <c r="AJ18"/>
      <c r="AK18"/>
      <c r="AL18"/>
      <c r="AM18"/>
      <c r="AN18"/>
      <c r="AO18"/>
      <c r="AP18"/>
      <c r="AQ18"/>
      <c r="AR18"/>
      <c r="AS18"/>
      <c r="AT18"/>
      <c r="AU18"/>
      <c r="AV18"/>
      <c r="AW18"/>
      <c r="AX18" t="inlineStr">
        <is>
          <t>Accumulation</t>
        </is>
      </c>
      <c r="AY18" t="inlineStr">
        <is>
          <t>Uptake</t>
        </is>
      </c>
      <c r="AZ18"/>
      <c r="BA18" t="inlineStr">
        <is>
          <t>Whole organism</t>
        </is>
      </c>
      <c r="BB18"/>
      <c r="BC18" t="n">
        <v>7.0</v>
      </c>
      <c r="BD18"/>
      <c r="BE18"/>
      <c r="BF18"/>
      <c r="BG18"/>
      <c r="BH18" t="inlineStr">
        <is>
          <t>Day(s)</t>
        </is>
      </c>
      <c r="BI18"/>
      <c r="BJ18"/>
      <c r="BK18"/>
      <c r="BL18"/>
      <c r="BM18"/>
      <c r="BN18"/>
      <c r="BO18" t="inlineStr">
        <is>
          <t>--</t>
        </is>
      </c>
      <c r="BP18"/>
      <c r="BQ18"/>
      <c r="BR18"/>
      <c r="BS18"/>
      <c r="BT18"/>
      <c r="BU18"/>
      <c r="BV18"/>
      <c r="BW18"/>
      <c r="BX18"/>
      <c r="BY18"/>
      <c r="BZ18"/>
      <c r="CA18"/>
      <c r="CB18"/>
      <c r="CC18"/>
      <c r="CD18" t="inlineStr">
        <is>
          <t>Liao,J., B. Sun, C. Wang, Z. Cao, Z.Y. Wu, X. An, Z. Liang, X. Huang, and Y. Lu</t>
        </is>
      </c>
      <c r="CE18" t="n">
        <v>192479.0</v>
      </c>
      <c r="CF18" t="inlineStr">
        <is>
          <t>Uptake and Cellular Responses of Microcystis aeruginosa to PFOS in Various Environmental Conditions</t>
        </is>
      </c>
      <c r="CG18" t="inlineStr">
        <is>
          <t>Ecotoxicol. Environ. Saf.272:10 p.</t>
        </is>
      </c>
      <c r="CH18" t="n">
        <v>2024.0</v>
      </c>
      <c r="CI18" t="inlineStr">
        <is>
          <t>Liao,J., B. Sun, C. Wang, Z. Cao, Z.Y. Wu, X. An, Z. Liang, X. Huang, and Y. Lu (2024). Uptake and Cellular Responses of Microcystis aeruginosa to PFOS in Various Environmental Conditions. Ecotoxicol. Environ. Saf., 272, 10 p. ECOREF#:192479</t>
        </is>
      </c>
    </row>
    <row r="19">
      <c r="A19" t="n">
        <v>1763231.0</v>
      </c>
      <c r="B19" t="inlineStr">
        <is>
          <t>1,1,2,2,3,3,4,4,5,5,6,6,7,7,8,8,8-Heptadecafluoro-1-octanesulfonic acid</t>
        </is>
      </c>
      <c r="C19"/>
      <c r="D19" t="inlineStr">
        <is>
          <t>Unmeasured</t>
        </is>
      </c>
      <c r="E19" t="inlineStr">
        <is>
          <t>&gt;</t>
        </is>
      </c>
      <c r="F19" t="n">
        <v>98.0</v>
      </c>
      <c r="G19"/>
      <c r="H19"/>
      <c r="I19"/>
      <c r="J19"/>
      <c r="K19" t="inlineStr">
        <is>
          <t>Microcystis aeruginosa</t>
        </is>
      </c>
      <c r="L19" t="inlineStr">
        <is>
          <t>Blue-Green Algae</t>
        </is>
      </c>
      <c r="M19" t="inlineStr">
        <is>
          <t>Algae; Standard Test Species</t>
        </is>
      </c>
      <c r="N19" t="inlineStr">
        <is>
          <t>Exponential growth phase (log)</t>
        </is>
      </c>
      <c r="O19"/>
      <c r="P19"/>
      <c r="Q19"/>
      <c r="R19"/>
      <c r="S19"/>
      <c r="T19"/>
      <c r="U19"/>
      <c r="V19" t="inlineStr">
        <is>
          <t>Static</t>
        </is>
      </c>
      <c r="W19" t="inlineStr">
        <is>
          <t>Culture</t>
        </is>
      </c>
      <c r="X19" t="inlineStr">
        <is>
          <t>Lab</t>
        </is>
      </c>
      <c r="Y19" t="n">
        <v>2.0</v>
      </c>
      <c r="Z19" t="inlineStr">
        <is>
          <t>Active ingredient</t>
        </is>
      </c>
      <c r="AA19"/>
      <c r="AB19"/>
      <c r="AC19"/>
      <c r="AD19" t="n">
        <v>0.01747868</v>
      </c>
      <c r="AE19"/>
      <c r="AF19" t="n">
        <v>0.01982201</v>
      </c>
      <c r="AG19" t="inlineStr">
        <is>
          <t>AI mg/L</t>
        </is>
      </c>
      <c r="AH19"/>
      <c r="AI19"/>
      <c r="AJ19"/>
      <c r="AK19"/>
      <c r="AL19"/>
      <c r="AM19"/>
      <c r="AN19"/>
      <c r="AO19"/>
      <c r="AP19"/>
      <c r="AQ19"/>
      <c r="AR19"/>
      <c r="AS19"/>
      <c r="AT19"/>
      <c r="AU19"/>
      <c r="AV19"/>
      <c r="AW19"/>
      <c r="AX19" t="inlineStr">
        <is>
          <t>Accumulation</t>
        </is>
      </c>
      <c r="AY19" t="inlineStr">
        <is>
          <t>Uptake</t>
        </is>
      </c>
      <c r="AZ19"/>
      <c r="BA19" t="inlineStr">
        <is>
          <t>Whole organism</t>
        </is>
      </c>
      <c r="BB19"/>
      <c r="BC19" t="n">
        <v>7.0</v>
      </c>
      <c r="BD19"/>
      <c r="BE19"/>
      <c r="BF19"/>
      <c r="BG19"/>
      <c r="BH19" t="inlineStr">
        <is>
          <t>Day(s)</t>
        </is>
      </c>
      <c r="BI19"/>
      <c r="BJ19"/>
      <c r="BK19"/>
      <c r="BL19"/>
      <c r="BM19"/>
      <c r="BN19"/>
      <c r="BO19" t="inlineStr">
        <is>
          <t>--</t>
        </is>
      </c>
      <c r="BP19"/>
      <c r="BQ19"/>
      <c r="BR19"/>
      <c r="BS19"/>
      <c r="BT19"/>
      <c r="BU19"/>
      <c r="BV19"/>
      <c r="BW19"/>
      <c r="BX19"/>
      <c r="BY19"/>
      <c r="BZ19"/>
      <c r="CA19"/>
      <c r="CB19"/>
      <c r="CC19"/>
      <c r="CD19" t="inlineStr">
        <is>
          <t>Liao,J., B. Sun, C. Wang, Z. Cao, Z.Y. Wu, X. An, Z. Liang, X. Huang, and Y. Lu</t>
        </is>
      </c>
      <c r="CE19" t="n">
        <v>192479.0</v>
      </c>
      <c r="CF19" t="inlineStr">
        <is>
          <t>Uptake and Cellular Responses of Microcystis aeruginosa to PFOS in Various Environmental Conditions</t>
        </is>
      </c>
      <c r="CG19" t="inlineStr">
        <is>
          <t>Ecotoxicol. Environ. Saf.272:10 p.</t>
        </is>
      </c>
      <c r="CH19" t="n">
        <v>2024.0</v>
      </c>
      <c r="CI19" t="inlineStr">
        <is>
          <t>Liao,J., B. Sun, C. Wang, Z. Cao, Z.Y. Wu, X. An, Z. Liang, X. Huang, and Y. Lu (2024). Uptake and Cellular Responses of Microcystis aeruginosa to PFOS in Various Environmental Conditions. Ecotoxicol. Environ. Saf., 272, 10 p. ECOREF#:192479</t>
        </is>
      </c>
    </row>
    <row r="20">
      <c r="A20" t="n">
        <v>1763231.0</v>
      </c>
      <c r="B20" t="inlineStr">
        <is>
          <t>1,1,2,2,3,3,4,4,5,5,6,6,7,7,8,8,8-Heptadecafluoro-1-octanesulfonic acid</t>
        </is>
      </c>
      <c r="C20"/>
      <c r="D20" t="inlineStr">
        <is>
          <t>Unmeasured</t>
        </is>
      </c>
      <c r="E20" t="inlineStr">
        <is>
          <t>&gt;</t>
        </is>
      </c>
      <c r="F20" t="n">
        <v>98.0</v>
      </c>
      <c r="G20"/>
      <c r="H20"/>
      <c r="I20"/>
      <c r="J20"/>
      <c r="K20" t="inlineStr">
        <is>
          <t>Microcystis aeruginosa</t>
        </is>
      </c>
      <c r="L20" t="inlineStr">
        <is>
          <t>Blue-Green Algae</t>
        </is>
      </c>
      <c r="M20" t="inlineStr">
        <is>
          <t>Algae; Standard Test Species</t>
        </is>
      </c>
      <c r="N20" t="inlineStr">
        <is>
          <t>Exponential growth phase (log)</t>
        </is>
      </c>
      <c r="O20"/>
      <c r="P20"/>
      <c r="Q20"/>
      <c r="R20"/>
      <c r="S20"/>
      <c r="T20"/>
      <c r="U20"/>
      <c r="V20" t="inlineStr">
        <is>
          <t>Static</t>
        </is>
      </c>
      <c r="W20" t="inlineStr">
        <is>
          <t>Culture</t>
        </is>
      </c>
      <c r="X20" t="inlineStr">
        <is>
          <t>Lab</t>
        </is>
      </c>
      <c r="Y20" t="n">
        <v>2.0</v>
      </c>
      <c r="Z20" t="inlineStr">
        <is>
          <t>Active ingredient</t>
        </is>
      </c>
      <c r="AA20"/>
      <c r="AB20"/>
      <c r="AC20"/>
      <c r="AD20" t="n">
        <v>0.01890574</v>
      </c>
      <c r="AE20"/>
      <c r="AF20" t="n">
        <v>0.01992434</v>
      </c>
      <c r="AG20" t="inlineStr">
        <is>
          <t>AI mg/L</t>
        </is>
      </c>
      <c r="AH20"/>
      <c r="AI20"/>
      <c r="AJ20"/>
      <c r="AK20"/>
      <c r="AL20"/>
      <c r="AM20"/>
      <c r="AN20"/>
      <c r="AO20"/>
      <c r="AP20"/>
      <c r="AQ20"/>
      <c r="AR20"/>
      <c r="AS20"/>
      <c r="AT20"/>
      <c r="AU20"/>
      <c r="AV20"/>
      <c r="AW20"/>
      <c r="AX20" t="inlineStr">
        <is>
          <t>Accumulation</t>
        </is>
      </c>
      <c r="AY20" t="inlineStr">
        <is>
          <t>Uptake</t>
        </is>
      </c>
      <c r="AZ20"/>
      <c r="BA20" t="inlineStr">
        <is>
          <t>Whole organism</t>
        </is>
      </c>
      <c r="BB20"/>
      <c r="BC20" t="n">
        <v>7.0</v>
      </c>
      <c r="BD20"/>
      <c r="BE20"/>
      <c r="BF20"/>
      <c r="BG20"/>
      <c r="BH20" t="inlineStr">
        <is>
          <t>Day(s)</t>
        </is>
      </c>
      <c r="BI20"/>
      <c r="BJ20"/>
      <c r="BK20"/>
      <c r="BL20"/>
      <c r="BM20"/>
      <c r="BN20"/>
      <c r="BO20" t="inlineStr">
        <is>
          <t>--</t>
        </is>
      </c>
      <c r="BP20"/>
      <c r="BQ20"/>
      <c r="BR20"/>
      <c r="BS20"/>
      <c r="BT20"/>
      <c r="BU20"/>
      <c r="BV20"/>
      <c r="BW20"/>
      <c r="BX20"/>
      <c r="BY20"/>
      <c r="BZ20"/>
      <c r="CA20"/>
      <c r="CB20"/>
      <c r="CC20"/>
      <c r="CD20" t="inlineStr">
        <is>
          <t>Liao,J., B. Sun, C. Wang, Z. Cao, Z.Y. Wu, X. An, Z. Liang, X. Huang, and Y. Lu</t>
        </is>
      </c>
      <c r="CE20" t="n">
        <v>192479.0</v>
      </c>
      <c r="CF20" t="inlineStr">
        <is>
          <t>Uptake and Cellular Responses of Microcystis aeruginosa to PFOS in Various Environmental Conditions</t>
        </is>
      </c>
      <c r="CG20" t="inlineStr">
        <is>
          <t>Ecotoxicol. Environ. Saf.272:10 p.</t>
        </is>
      </c>
      <c r="CH20" t="n">
        <v>2024.0</v>
      </c>
      <c r="CI20" t="inlineStr">
        <is>
          <t>Liao,J., B. Sun, C. Wang, Z. Cao, Z.Y. Wu, X. An, Z. Liang, X. Huang, and Y. Lu (2024). Uptake and Cellular Responses of Microcystis aeruginosa to PFOS in Various Environmental Conditions. Ecotoxicol. Environ. Saf., 272, 10 p. ECOREF#:192479</t>
        </is>
      </c>
    </row>
    <row r="21">
      <c r="A21" t="n">
        <v>1763231.0</v>
      </c>
      <c r="B21" t="inlineStr">
        <is>
          <t>1,1,2,2,3,3,4,4,5,5,6,6,7,7,8,8,8-Heptadecafluoro-1-octanesulfonic acid</t>
        </is>
      </c>
      <c r="C21"/>
      <c r="D21" t="inlineStr">
        <is>
          <t>Unmeasured</t>
        </is>
      </c>
      <c r="E21" t="inlineStr">
        <is>
          <t>&gt;</t>
        </is>
      </c>
      <c r="F21" t="n">
        <v>98.0</v>
      </c>
      <c r="G21"/>
      <c r="H21"/>
      <c r="I21"/>
      <c r="J21"/>
      <c r="K21" t="inlineStr">
        <is>
          <t>Microcystis aeruginosa</t>
        </is>
      </c>
      <c r="L21" t="inlineStr">
        <is>
          <t>Blue-Green Algae</t>
        </is>
      </c>
      <c r="M21" t="inlineStr">
        <is>
          <t>Algae; Standard Test Species</t>
        </is>
      </c>
      <c r="N21" t="inlineStr">
        <is>
          <t>Exponential growth phase (log)</t>
        </is>
      </c>
      <c r="O21"/>
      <c r="P21"/>
      <c r="Q21"/>
      <c r="R21"/>
      <c r="S21"/>
      <c r="T21"/>
      <c r="U21"/>
      <c r="V21" t="inlineStr">
        <is>
          <t>Static</t>
        </is>
      </c>
      <c r="W21" t="inlineStr">
        <is>
          <t>Culture</t>
        </is>
      </c>
      <c r="X21" t="inlineStr">
        <is>
          <t>Lab</t>
        </is>
      </c>
      <c r="Y21" t="n">
        <v>2.0</v>
      </c>
      <c r="Z21" t="inlineStr">
        <is>
          <t>Active ingredient</t>
        </is>
      </c>
      <c r="AA21"/>
      <c r="AB21"/>
      <c r="AC21"/>
      <c r="AD21" t="n">
        <v>0.01720086</v>
      </c>
      <c r="AE21"/>
      <c r="AF21" t="n">
        <v>0.01867521</v>
      </c>
      <c r="AG21" t="inlineStr">
        <is>
          <t>AI mg/L</t>
        </is>
      </c>
      <c r="AH21"/>
      <c r="AI21"/>
      <c r="AJ21"/>
      <c r="AK21"/>
      <c r="AL21"/>
      <c r="AM21"/>
      <c r="AN21"/>
      <c r="AO21"/>
      <c r="AP21"/>
      <c r="AQ21"/>
      <c r="AR21"/>
      <c r="AS21"/>
      <c r="AT21"/>
      <c r="AU21"/>
      <c r="AV21"/>
      <c r="AW21"/>
      <c r="AX21" t="inlineStr">
        <is>
          <t>Accumulation</t>
        </is>
      </c>
      <c r="AY21" t="inlineStr">
        <is>
          <t>Uptake</t>
        </is>
      </c>
      <c r="AZ21"/>
      <c r="BA21" t="inlineStr">
        <is>
          <t>Whole organism</t>
        </is>
      </c>
      <c r="BB21"/>
      <c r="BC21" t="n">
        <v>7.0</v>
      </c>
      <c r="BD21"/>
      <c r="BE21"/>
      <c r="BF21"/>
      <c r="BG21"/>
      <c r="BH21" t="inlineStr">
        <is>
          <t>Day(s)</t>
        </is>
      </c>
      <c r="BI21"/>
      <c r="BJ21"/>
      <c r="BK21"/>
      <c r="BL21"/>
      <c r="BM21"/>
      <c r="BN21"/>
      <c r="BO21" t="inlineStr">
        <is>
          <t>--</t>
        </is>
      </c>
      <c r="BP21"/>
      <c r="BQ21"/>
      <c r="BR21"/>
      <c r="BS21"/>
      <c r="BT21"/>
      <c r="BU21"/>
      <c r="BV21"/>
      <c r="BW21"/>
      <c r="BX21"/>
      <c r="BY21"/>
      <c r="BZ21"/>
      <c r="CA21"/>
      <c r="CB21"/>
      <c r="CC21"/>
      <c r="CD21" t="inlineStr">
        <is>
          <t>Liao,J., B. Sun, C. Wang, Z. Cao, Z.Y. Wu, X. An, Z. Liang, X. Huang, and Y. Lu</t>
        </is>
      </c>
      <c r="CE21" t="n">
        <v>192479.0</v>
      </c>
      <c r="CF21" t="inlineStr">
        <is>
          <t>Uptake and Cellular Responses of Microcystis aeruginosa to PFOS in Various Environmental Conditions</t>
        </is>
      </c>
      <c r="CG21" t="inlineStr">
        <is>
          <t>Ecotoxicol. Environ. Saf.272:10 p.</t>
        </is>
      </c>
      <c r="CH21" t="n">
        <v>2024.0</v>
      </c>
      <c r="CI21" t="inlineStr">
        <is>
          <t>Liao,J., B. Sun, C. Wang, Z. Cao, Z.Y. Wu, X. An, Z. Liang, X. Huang, and Y. Lu (2024). Uptake and Cellular Responses of Microcystis aeruginosa to PFOS in Various Environmental Conditions. Ecotoxicol. Environ. Saf., 272, 10 p. ECOREF#:192479</t>
        </is>
      </c>
    </row>
    <row r="22">
      <c r="A22" t="n">
        <v>1763231.0</v>
      </c>
      <c r="B22" t="inlineStr">
        <is>
          <t>1,1,2,2,3,3,4,4,5,5,6,6,7,7,8,8,8-Heptadecafluoro-1-octanesulfonic acid</t>
        </is>
      </c>
      <c r="C22"/>
      <c r="D22" t="inlineStr">
        <is>
          <t>Unmeasured</t>
        </is>
      </c>
      <c r="E22" t="inlineStr">
        <is>
          <t>&gt;</t>
        </is>
      </c>
      <c r="F22" t="n">
        <v>98.0</v>
      </c>
      <c r="G22"/>
      <c r="H22"/>
      <c r="I22"/>
      <c r="J22"/>
      <c r="K22" t="inlineStr">
        <is>
          <t>Microcystis aeruginosa</t>
        </is>
      </c>
      <c r="L22" t="inlineStr">
        <is>
          <t>Blue-Green Algae</t>
        </is>
      </c>
      <c r="M22" t="inlineStr">
        <is>
          <t>Algae; Standard Test Species</t>
        </is>
      </c>
      <c r="N22" t="inlineStr">
        <is>
          <t>Exponential growth phase (log)</t>
        </is>
      </c>
      <c r="O22"/>
      <c r="P22"/>
      <c r="Q22"/>
      <c r="R22"/>
      <c r="S22"/>
      <c r="T22"/>
      <c r="U22"/>
      <c r="V22" t="inlineStr">
        <is>
          <t>Static</t>
        </is>
      </c>
      <c r="W22" t="inlineStr">
        <is>
          <t>Culture</t>
        </is>
      </c>
      <c r="X22" t="inlineStr">
        <is>
          <t>Lab</t>
        </is>
      </c>
      <c r="Y22" t="n">
        <v>2.0</v>
      </c>
      <c r="Z22" t="inlineStr">
        <is>
          <t>Active ingredient</t>
        </is>
      </c>
      <c r="AA22"/>
      <c r="AB22"/>
      <c r="AC22"/>
      <c r="AD22" t="n">
        <v>0.01879139</v>
      </c>
      <c r="AE22"/>
      <c r="AF22" t="n">
        <v>0.02108614</v>
      </c>
      <c r="AG22" t="inlineStr">
        <is>
          <t>AI mg/L</t>
        </is>
      </c>
      <c r="AH22"/>
      <c r="AI22"/>
      <c r="AJ22"/>
      <c r="AK22"/>
      <c r="AL22"/>
      <c r="AM22"/>
      <c r="AN22"/>
      <c r="AO22"/>
      <c r="AP22"/>
      <c r="AQ22"/>
      <c r="AR22"/>
      <c r="AS22"/>
      <c r="AT22"/>
      <c r="AU22"/>
      <c r="AV22"/>
      <c r="AW22"/>
      <c r="AX22" t="inlineStr">
        <is>
          <t>Accumulation</t>
        </is>
      </c>
      <c r="AY22" t="inlineStr">
        <is>
          <t>Uptake</t>
        </is>
      </c>
      <c r="AZ22"/>
      <c r="BA22" t="inlineStr">
        <is>
          <t>Whole organism</t>
        </is>
      </c>
      <c r="BB22"/>
      <c r="BC22" t="n">
        <v>7.0</v>
      </c>
      <c r="BD22"/>
      <c r="BE22"/>
      <c r="BF22"/>
      <c r="BG22"/>
      <c r="BH22" t="inlineStr">
        <is>
          <t>Day(s)</t>
        </is>
      </c>
      <c r="BI22"/>
      <c r="BJ22"/>
      <c r="BK22"/>
      <c r="BL22"/>
      <c r="BM22"/>
      <c r="BN22"/>
      <c r="BO22" t="inlineStr">
        <is>
          <t>--</t>
        </is>
      </c>
      <c r="BP22"/>
      <c r="BQ22"/>
      <c r="BR22"/>
      <c r="BS22"/>
      <c r="BT22"/>
      <c r="BU22"/>
      <c r="BV22"/>
      <c r="BW22"/>
      <c r="BX22"/>
      <c r="BY22"/>
      <c r="BZ22"/>
      <c r="CA22"/>
      <c r="CB22"/>
      <c r="CC22"/>
      <c r="CD22" t="inlineStr">
        <is>
          <t>Liao,J., B. Sun, C. Wang, Z. Cao, Z.Y. Wu, X. An, Z. Liang, X. Huang, and Y. Lu</t>
        </is>
      </c>
      <c r="CE22" t="n">
        <v>192479.0</v>
      </c>
      <c r="CF22" t="inlineStr">
        <is>
          <t>Uptake and Cellular Responses of Microcystis aeruginosa to PFOS in Various Environmental Conditions</t>
        </is>
      </c>
      <c r="CG22" t="inlineStr">
        <is>
          <t>Ecotoxicol. Environ. Saf.272:10 p.</t>
        </is>
      </c>
      <c r="CH22" t="n">
        <v>2024.0</v>
      </c>
      <c r="CI22" t="inlineStr">
        <is>
          <t>Liao,J., B. Sun, C. Wang, Z. Cao, Z.Y. Wu, X. An, Z. Liang, X. Huang, and Y. Lu (2024). Uptake and Cellular Responses of Microcystis aeruginosa to PFOS in Various Environmental Conditions. Ecotoxicol. Environ. Saf., 272, 10 p. ECOREF#:192479</t>
        </is>
      </c>
    </row>
    <row r="23">
      <c r="A23" t="n">
        <v>1763231.0</v>
      </c>
      <c r="B23" t="inlineStr">
        <is>
          <t>1,1,2,2,3,3,4,4,5,5,6,6,7,7,8,8,8-Heptadecafluoro-1-octanesulfonic acid</t>
        </is>
      </c>
      <c r="C23"/>
      <c r="D23" t="inlineStr">
        <is>
          <t>Measured</t>
        </is>
      </c>
      <c r="E23" t="inlineStr">
        <is>
          <t>&gt;=</t>
        </is>
      </c>
      <c r="F23" t="n">
        <v>98.0</v>
      </c>
      <c r="G23"/>
      <c r="H23"/>
      <c r="I23"/>
      <c r="J23"/>
      <c r="K23" t="inlineStr">
        <is>
          <t>Ambystoma tigrinum</t>
        </is>
      </c>
      <c r="L23" t="inlineStr">
        <is>
          <t>Tiger Salamander</t>
        </is>
      </c>
      <c r="M23" t="inlineStr">
        <is>
          <t>Amphibians</t>
        </is>
      </c>
      <c r="N23" t="inlineStr">
        <is>
          <t>Larva</t>
        </is>
      </c>
      <c r="O23"/>
      <c r="P23" t="n">
        <v>46.0</v>
      </c>
      <c r="Q23"/>
      <c r="R23"/>
      <c r="S23"/>
      <c r="T23"/>
      <c r="U23" t="inlineStr">
        <is>
          <t>Harrison stage</t>
        </is>
      </c>
      <c r="V23" t="inlineStr">
        <is>
          <t>Renewal</t>
        </is>
      </c>
      <c r="W23" t="inlineStr">
        <is>
          <t>Fresh water</t>
        </is>
      </c>
      <c r="X23" t="inlineStr">
        <is>
          <t>Lab</t>
        </is>
      </c>
      <c r="Y23" t="n">
        <v>3.0</v>
      </c>
      <c r="Z23" t="inlineStr">
        <is>
          <t>Active ingredient</t>
        </is>
      </c>
      <c r="AA23"/>
      <c r="AB23"/>
      <c r="AC23"/>
      <c r="AD23" t="n">
        <v>0.58942</v>
      </c>
      <c r="AE23"/>
      <c r="AF23" t="n">
        <v>0.65626</v>
      </c>
      <c r="AG23" t="inlineStr">
        <is>
          <t>AI mg/L</t>
        </is>
      </c>
      <c r="AH23"/>
      <c r="AI23"/>
      <c r="AJ23"/>
      <c r="AK23"/>
      <c r="AL23"/>
      <c r="AM23"/>
      <c r="AN23"/>
      <c r="AO23"/>
      <c r="AP23"/>
      <c r="AQ23"/>
      <c r="AR23"/>
      <c r="AS23"/>
      <c r="AT23"/>
      <c r="AU23"/>
      <c r="AV23"/>
      <c r="AW23"/>
      <c r="AX23" t="inlineStr">
        <is>
          <t>Accumulation</t>
        </is>
      </c>
      <c r="AY23" t="inlineStr">
        <is>
          <t>Residue</t>
        </is>
      </c>
      <c r="AZ23" t="inlineStr">
        <is>
          <t>BCF</t>
        </is>
      </c>
      <c r="BA23" t="inlineStr">
        <is>
          <t>Whole organism</t>
        </is>
      </c>
      <c r="BB23"/>
      <c r="BC23" t="n">
        <v>10.0</v>
      </c>
      <c r="BD23"/>
      <c r="BE23"/>
      <c r="BF23"/>
      <c r="BG23"/>
      <c r="BH23" t="inlineStr">
        <is>
          <t>Day(s)</t>
        </is>
      </c>
      <c r="BI23"/>
      <c r="BJ23" t="n">
        <v>47.0</v>
      </c>
      <c r="BK23"/>
      <c r="BL23"/>
      <c r="BM23"/>
      <c r="BN23"/>
      <c r="BO23" t="inlineStr">
        <is>
          <t>RA</t>
        </is>
      </c>
      <c r="BP23"/>
      <c r="BQ23"/>
      <c r="BR23"/>
      <c r="BS23"/>
      <c r="BT23"/>
      <c r="BU23"/>
      <c r="BV23"/>
      <c r="BW23"/>
      <c r="BX23"/>
      <c r="BY23"/>
      <c r="BZ23"/>
      <c r="CA23"/>
      <c r="CB23"/>
      <c r="CC23"/>
      <c r="CD23" t="inlineStr">
        <is>
          <t>Abercrombie,S.A., C. De Perre, Y.J. Choi, B.J. Tornabene, M.S. Sepulveda, L.S. Lee, and J.T. Hoverman</t>
        </is>
      </c>
      <c r="CE23" t="n">
        <v>179520.0</v>
      </c>
      <c r="CF23" t="inlineStr">
        <is>
          <t>Larval Amphibians Rapidly Bioaccumulate Poly- and Perfluoroalkyl Substances</t>
        </is>
      </c>
      <c r="CG23" t="inlineStr">
        <is>
          <t>Ecotoxicol. Environ. Saf.178:137-145</t>
        </is>
      </c>
      <c r="CH23" t="n">
        <v>2019.0</v>
      </c>
      <c r="CI23" t="inlineStr">
        <is>
          <t>Abercrombie,S.A., C. De Perre, Y.J. Choi, B.J. Tornabene, M.S. Sepulveda, L.S. Lee, and J.T. Hoverman (2019). Larval Amphibians Rapidly Bioaccumulate Poly- and Perfluoroalkyl Substances. Ecotoxicol. Environ. Saf., 178, 137-145. doi:10.1016/j.ecoenv.2019.04.022. ECOREF#:179520</t>
        </is>
      </c>
    </row>
    <row r="24">
      <c r="A24" t="n">
        <v>1763231.0</v>
      </c>
      <c r="B24" t="inlineStr">
        <is>
          <t>1,1,2,2,3,3,4,4,5,5,6,6,7,7,8,8,8-Heptadecafluoro-1-octanesulfonic acid</t>
        </is>
      </c>
      <c r="C24"/>
      <c r="D24" t="inlineStr">
        <is>
          <t>Measured</t>
        </is>
      </c>
      <c r="E24" t="inlineStr">
        <is>
          <t>&gt;=</t>
        </is>
      </c>
      <c r="F24" t="n">
        <v>98.0</v>
      </c>
      <c r="G24"/>
      <c r="H24"/>
      <c r="I24"/>
      <c r="J24"/>
      <c r="K24" t="inlineStr">
        <is>
          <t>Anaxyrus americanus</t>
        </is>
      </c>
      <c r="L24" t="inlineStr">
        <is>
          <t xml:space="preserve">American Toad </t>
        </is>
      </c>
      <c r="M24" t="inlineStr">
        <is>
          <t>Amphibians</t>
        </is>
      </c>
      <c r="N24" t="inlineStr">
        <is>
          <t>Tadpole</t>
        </is>
      </c>
      <c r="O24"/>
      <c r="P24"/>
      <c r="Q24"/>
      <c r="R24" t="n">
        <v>26.0</v>
      </c>
      <c r="S24"/>
      <c r="T24" t="n">
        <v>28.0</v>
      </c>
      <c r="U24" t="inlineStr">
        <is>
          <t>Gosner stage</t>
        </is>
      </c>
      <c r="V24" t="inlineStr">
        <is>
          <t>Renewal</t>
        </is>
      </c>
      <c r="W24" t="inlineStr">
        <is>
          <t>Fresh water</t>
        </is>
      </c>
      <c r="X24" t="inlineStr">
        <is>
          <t>Lab</t>
        </is>
      </c>
      <c r="Y24" t="n">
        <v>3.0</v>
      </c>
      <c r="Z24" t="inlineStr">
        <is>
          <t>Active ingredient</t>
        </is>
      </c>
      <c r="AA24"/>
      <c r="AB24"/>
      <c r="AC24"/>
      <c r="AD24" t="n">
        <v>0.61075</v>
      </c>
      <c r="AE24"/>
      <c r="AF24" t="n">
        <v>0.77152</v>
      </c>
      <c r="AG24" t="inlineStr">
        <is>
          <t>AI mg/L</t>
        </is>
      </c>
      <c r="AH24"/>
      <c r="AI24"/>
      <c r="AJ24"/>
      <c r="AK24"/>
      <c r="AL24"/>
      <c r="AM24"/>
      <c r="AN24"/>
      <c r="AO24"/>
      <c r="AP24"/>
      <c r="AQ24"/>
      <c r="AR24"/>
      <c r="AS24"/>
      <c r="AT24"/>
      <c r="AU24"/>
      <c r="AV24"/>
      <c r="AW24"/>
      <c r="AX24" t="inlineStr">
        <is>
          <t>Accumulation</t>
        </is>
      </c>
      <c r="AY24" t="inlineStr">
        <is>
          <t>Residue</t>
        </is>
      </c>
      <c r="AZ24" t="inlineStr">
        <is>
          <t>BCF</t>
        </is>
      </c>
      <c r="BA24" t="inlineStr">
        <is>
          <t>Whole organism</t>
        </is>
      </c>
      <c r="BB24"/>
      <c r="BC24" t="n">
        <v>10.0</v>
      </c>
      <c r="BD24"/>
      <c r="BE24"/>
      <c r="BF24"/>
      <c r="BG24"/>
      <c r="BH24" t="inlineStr">
        <is>
          <t>Day(s)</t>
        </is>
      </c>
      <c r="BI24"/>
      <c r="BJ24" t="n">
        <v>65.0</v>
      </c>
      <c r="BK24"/>
      <c r="BL24"/>
      <c r="BM24"/>
      <c r="BN24"/>
      <c r="BO24" t="inlineStr">
        <is>
          <t>RA</t>
        </is>
      </c>
      <c r="BP24"/>
      <c r="BQ24"/>
      <c r="BR24"/>
      <c r="BS24"/>
      <c r="BT24"/>
      <c r="BU24"/>
      <c r="BV24"/>
      <c r="BW24"/>
      <c r="BX24"/>
      <c r="BY24"/>
      <c r="BZ24"/>
      <c r="CA24"/>
      <c r="CB24"/>
      <c r="CC24"/>
      <c r="CD24" t="inlineStr">
        <is>
          <t>Abercrombie,S.A., C. De Perre, Y.J. Choi, B.J. Tornabene, M.S. Sepulveda, L.S. Lee, and J.T. Hoverman</t>
        </is>
      </c>
      <c r="CE24" t="n">
        <v>179520.0</v>
      </c>
      <c r="CF24" t="inlineStr">
        <is>
          <t>Larval Amphibians Rapidly Bioaccumulate Poly- and Perfluoroalkyl Substances</t>
        </is>
      </c>
      <c r="CG24" t="inlineStr">
        <is>
          <t>Ecotoxicol. Environ. Saf.178:137-145</t>
        </is>
      </c>
      <c r="CH24" t="n">
        <v>2019.0</v>
      </c>
      <c r="CI24" t="inlineStr">
        <is>
          <t>Abercrombie,S.A., C. De Perre, Y.J. Choi, B.J. Tornabene, M.S. Sepulveda, L.S. Lee, and J.T. Hoverman (2019). Larval Amphibians Rapidly Bioaccumulate Poly- and Perfluoroalkyl Substances. Ecotoxicol. Environ. Saf., 178, 137-145. doi:10.1016/j.ecoenv.2019.04.022. ECOREF#:179520</t>
        </is>
      </c>
    </row>
    <row r="25">
      <c r="A25" t="n">
        <v>1763231.0</v>
      </c>
      <c r="B25" t="inlineStr">
        <is>
          <t>1,1,2,2,3,3,4,4,5,5,6,6,7,7,8,8,8-Heptadecafluoro-1-octanesulfonic acid</t>
        </is>
      </c>
      <c r="C25"/>
      <c r="D25" t="inlineStr">
        <is>
          <t>Measured</t>
        </is>
      </c>
      <c r="E25" t="inlineStr">
        <is>
          <t>&gt;=</t>
        </is>
      </c>
      <c r="F25" t="n">
        <v>98.0</v>
      </c>
      <c r="G25"/>
      <c r="H25"/>
      <c r="I25"/>
      <c r="J25"/>
      <c r="K25" t="inlineStr">
        <is>
          <t>Ambystoma tigrinum</t>
        </is>
      </c>
      <c r="L25" t="inlineStr">
        <is>
          <t>Tiger Salamander</t>
        </is>
      </c>
      <c r="M25" t="inlineStr">
        <is>
          <t>Amphibians</t>
        </is>
      </c>
      <c r="N25" t="inlineStr">
        <is>
          <t>Larva</t>
        </is>
      </c>
      <c r="O25"/>
      <c r="P25" t="n">
        <v>46.0</v>
      </c>
      <c r="Q25"/>
      <c r="R25"/>
      <c r="S25"/>
      <c r="T25"/>
      <c r="U25" t="inlineStr">
        <is>
          <t>Harrison stage</t>
        </is>
      </c>
      <c r="V25" t="inlineStr">
        <is>
          <t>Renewal</t>
        </is>
      </c>
      <c r="W25" t="inlineStr">
        <is>
          <t>Fresh water</t>
        </is>
      </c>
      <c r="X25" t="inlineStr">
        <is>
          <t>Lab</t>
        </is>
      </c>
      <c r="Y25" t="n">
        <v>3.0</v>
      </c>
      <c r="Z25" t="inlineStr">
        <is>
          <t>Active ingredient</t>
        </is>
      </c>
      <c r="AA25"/>
      <c r="AB25"/>
      <c r="AC25"/>
      <c r="AD25" t="n">
        <v>0.00343</v>
      </c>
      <c r="AE25"/>
      <c r="AF25" t="n">
        <v>0.00372</v>
      </c>
      <c r="AG25" t="inlineStr">
        <is>
          <t>AI mg/L</t>
        </is>
      </c>
      <c r="AH25"/>
      <c r="AI25"/>
      <c r="AJ25"/>
      <c r="AK25"/>
      <c r="AL25"/>
      <c r="AM25"/>
      <c r="AN25"/>
      <c r="AO25"/>
      <c r="AP25"/>
      <c r="AQ25"/>
      <c r="AR25"/>
      <c r="AS25"/>
      <c r="AT25"/>
      <c r="AU25"/>
      <c r="AV25"/>
      <c r="AW25"/>
      <c r="AX25" t="inlineStr">
        <is>
          <t>Accumulation</t>
        </is>
      </c>
      <c r="AY25" t="inlineStr">
        <is>
          <t>Residue</t>
        </is>
      </c>
      <c r="AZ25" t="inlineStr">
        <is>
          <t>BCF</t>
        </is>
      </c>
      <c r="BA25" t="inlineStr">
        <is>
          <t>Whole organism</t>
        </is>
      </c>
      <c r="BB25"/>
      <c r="BC25" t="n">
        <v>10.0</v>
      </c>
      <c r="BD25"/>
      <c r="BE25"/>
      <c r="BF25"/>
      <c r="BG25"/>
      <c r="BH25" t="inlineStr">
        <is>
          <t>Day(s)</t>
        </is>
      </c>
      <c r="BI25"/>
      <c r="BJ25" t="n">
        <v>230.0</v>
      </c>
      <c r="BK25"/>
      <c r="BL25"/>
      <c r="BM25"/>
      <c r="BN25"/>
      <c r="BO25" t="inlineStr">
        <is>
          <t>RA</t>
        </is>
      </c>
      <c r="BP25"/>
      <c r="BQ25"/>
      <c r="BR25"/>
      <c r="BS25"/>
      <c r="BT25"/>
      <c r="BU25"/>
      <c r="BV25"/>
      <c r="BW25"/>
      <c r="BX25"/>
      <c r="BY25"/>
      <c r="BZ25"/>
      <c r="CA25"/>
      <c r="CB25"/>
      <c r="CC25"/>
      <c r="CD25" t="inlineStr">
        <is>
          <t>Abercrombie,S.A., C. De Perre, Y.J. Choi, B.J. Tornabene, M.S. Sepulveda, L.S. Lee, and J.T. Hoverman</t>
        </is>
      </c>
      <c r="CE25" t="n">
        <v>179520.0</v>
      </c>
      <c r="CF25" t="inlineStr">
        <is>
          <t>Larval Amphibians Rapidly Bioaccumulate Poly- and Perfluoroalkyl Substances</t>
        </is>
      </c>
      <c r="CG25" t="inlineStr">
        <is>
          <t>Ecotoxicol. Environ. Saf.178:137-145</t>
        </is>
      </c>
      <c r="CH25" t="n">
        <v>2019.0</v>
      </c>
      <c r="CI25" t="inlineStr">
        <is>
          <t>Abercrombie,S.A., C. De Perre, Y.J. Choi, B.J. Tornabene, M.S. Sepulveda, L.S. Lee, and J.T. Hoverman (2019). Larval Amphibians Rapidly Bioaccumulate Poly- and Perfluoroalkyl Substances. Ecotoxicol. Environ. Saf., 178, 137-145. doi:10.1016/j.ecoenv.2019.04.022. ECOREF#:179520</t>
        </is>
      </c>
    </row>
    <row r="26">
      <c r="A26" t="n">
        <v>1763231.0</v>
      </c>
      <c r="B26" t="inlineStr">
        <is>
          <t>1,1,2,2,3,3,4,4,5,5,6,6,7,7,8,8,8-Heptadecafluoro-1-octanesulfonic acid</t>
        </is>
      </c>
      <c r="C26"/>
      <c r="D26" t="inlineStr">
        <is>
          <t>Measured</t>
        </is>
      </c>
      <c r="E26" t="inlineStr">
        <is>
          <t>&gt;=</t>
        </is>
      </c>
      <c r="F26" t="n">
        <v>98.0</v>
      </c>
      <c r="G26"/>
      <c r="H26"/>
      <c r="I26"/>
      <c r="J26"/>
      <c r="K26" t="inlineStr">
        <is>
          <t>Anaxyrus americanus</t>
        </is>
      </c>
      <c r="L26" t="inlineStr">
        <is>
          <t xml:space="preserve">American Toad </t>
        </is>
      </c>
      <c r="M26" t="inlineStr">
        <is>
          <t>Amphibians</t>
        </is>
      </c>
      <c r="N26" t="inlineStr">
        <is>
          <t>Tadpole</t>
        </is>
      </c>
      <c r="O26"/>
      <c r="P26"/>
      <c r="Q26"/>
      <c r="R26" t="n">
        <v>26.0</v>
      </c>
      <c r="S26"/>
      <c r="T26" t="n">
        <v>28.0</v>
      </c>
      <c r="U26" t="inlineStr">
        <is>
          <t>Gosner stage</t>
        </is>
      </c>
      <c r="V26" t="inlineStr">
        <is>
          <t>Renewal</t>
        </is>
      </c>
      <c r="W26" t="inlineStr">
        <is>
          <t>Fresh water</t>
        </is>
      </c>
      <c r="X26" t="inlineStr">
        <is>
          <t>Lab</t>
        </is>
      </c>
      <c r="Y26" t="n">
        <v>3.0</v>
      </c>
      <c r="Z26" t="inlineStr">
        <is>
          <t>Active ingredient</t>
        </is>
      </c>
      <c r="AA26"/>
      <c r="AB26"/>
      <c r="AC26"/>
      <c r="AD26" t="n">
        <v>0.00428</v>
      </c>
      <c r="AE26"/>
      <c r="AF26" t="n">
        <v>0.00454</v>
      </c>
      <c r="AG26" t="inlineStr">
        <is>
          <t>AI mg/L</t>
        </is>
      </c>
      <c r="AH26"/>
      <c r="AI26"/>
      <c r="AJ26"/>
      <c r="AK26"/>
      <c r="AL26"/>
      <c r="AM26"/>
      <c r="AN26"/>
      <c r="AO26"/>
      <c r="AP26"/>
      <c r="AQ26"/>
      <c r="AR26"/>
      <c r="AS26"/>
      <c r="AT26"/>
      <c r="AU26"/>
      <c r="AV26"/>
      <c r="AW26"/>
      <c r="AX26" t="inlineStr">
        <is>
          <t>Accumulation</t>
        </is>
      </c>
      <c r="AY26" t="inlineStr">
        <is>
          <t>Residue</t>
        </is>
      </c>
      <c r="AZ26" t="inlineStr">
        <is>
          <t>BCF</t>
        </is>
      </c>
      <c r="BA26" t="inlineStr">
        <is>
          <t>Whole organism</t>
        </is>
      </c>
      <c r="BB26"/>
      <c r="BC26" t="n">
        <v>10.0</v>
      </c>
      <c r="BD26"/>
      <c r="BE26"/>
      <c r="BF26"/>
      <c r="BG26"/>
      <c r="BH26" t="inlineStr">
        <is>
          <t>Day(s)</t>
        </is>
      </c>
      <c r="BI26"/>
      <c r="BJ26" t="n">
        <v>259.0</v>
      </c>
      <c r="BK26"/>
      <c r="BL26"/>
      <c r="BM26"/>
      <c r="BN26"/>
      <c r="BO26" t="inlineStr">
        <is>
          <t>RA</t>
        </is>
      </c>
      <c r="BP26"/>
      <c r="BQ26"/>
      <c r="BR26"/>
      <c r="BS26"/>
      <c r="BT26"/>
      <c r="BU26"/>
      <c r="BV26"/>
      <c r="BW26"/>
      <c r="BX26"/>
      <c r="BY26"/>
      <c r="BZ26"/>
      <c r="CA26"/>
      <c r="CB26"/>
      <c r="CC26"/>
      <c r="CD26" t="inlineStr">
        <is>
          <t>Abercrombie,S.A., C. De Perre, Y.J. Choi, B.J. Tornabene, M.S. Sepulveda, L.S. Lee, and J.T. Hoverman</t>
        </is>
      </c>
      <c r="CE26" t="n">
        <v>179520.0</v>
      </c>
      <c r="CF26" t="inlineStr">
        <is>
          <t>Larval Amphibians Rapidly Bioaccumulate Poly- and Perfluoroalkyl Substances</t>
        </is>
      </c>
      <c r="CG26" t="inlineStr">
        <is>
          <t>Ecotoxicol. Environ. Saf.178:137-145</t>
        </is>
      </c>
      <c r="CH26" t="n">
        <v>2019.0</v>
      </c>
      <c r="CI26" t="inlineStr">
        <is>
          <t>Abercrombie,S.A., C. De Perre, Y.J. Choi, B.J. Tornabene, M.S. Sepulveda, L.S. Lee, and J.T. Hoverman (2019). Larval Amphibians Rapidly Bioaccumulate Poly- and Perfluoroalkyl Substances. Ecotoxicol. Environ. Saf., 178, 137-145. doi:10.1016/j.ecoenv.2019.04.022. ECOREF#:179520</t>
        </is>
      </c>
    </row>
    <row r="27">
      <c r="A27" t="n">
        <v>1763231.0</v>
      </c>
      <c r="B27" t="inlineStr">
        <is>
          <t>1,1,2,2,3,3,4,4,5,5,6,6,7,7,8,8,8-Heptadecafluoro-1-octanesulfonic acid</t>
        </is>
      </c>
      <c r="C27"/>
      <c r="D27" t="inlineStr">
        <is>
          <t>Measured</t>
        </is>
      </c>
      <c r="E27" t="inlineStr">
        <is>
          <t>&gt;</t>
        </is>
      </c>
      <c r="F27" t="n">
        <v>98.0</v>
      </c>
      <c r="G27"/>
      <c r="H27"/>
      <c r="I27"/>
      <c r="J27"/>
      <c r="K27" t="inlineStr">
        <is>
          <t>Pelophylax nigromaculatus</t>
        </is>
      </c>
      <c r="L27" t="inlineStr">
        <is>
          <t>Black-Spotted Frog</t>
        </is>
      </c>
      <c r="M27" t="inlineStr">
        <is>
          <t>Amphibians</t>
        </is>
      </c>
      <c r="N27"/>
      <c r="O27"/>
      <c r="P27"/>
      <c r="Q27"/>
      <c r="R27"/>
      <c r="S27"/>
      <c r="T27"/>
      <c r="U27"/>
      <c r="V27" t="inlineStr">
        <is>
          <t>Renewal</t>
        </is>
      </c>
      <c r="W27" t="inlineStr">
        <is>
          <t>Fresh water</t>
        </is>
      </c>
      <c r="X27" t="inlineStr">
        <is>
          <t>Lab</t>
        </is>
      </c>
      <c r="Y27" t="n">
        <v>3.0</v>
      </c>
      <c r="Z27" t="inlineStr">
        <is>
          <t>Active ingredient</t>
        </is>
      </c>
      <c r="AA27"/>
      <c r="AB27"/>
      <c r="AC27" t="inlineStr">
        <is>
          <t>&gt;</t>
        </is>
      </c>
      <c r="AD27" t="n">
        <v>0.0</v>
      </c>
      <c r="AE27" t="inlineStr">
        <is>
          <t>&lt;</t>
        </is>
      </c>
      <c r="AF27" t="n">
        <v>0.015</v>
      </c>
      <c r="AG27" t="inlineStr">
        <is>
          <t>AI mg/L</t>
        </is>
      </c>
      <c r="AH27"/>
      <c r="AI27"/>
      <c r="AJ27"/>
      <c r="AK27"/>
      <c r="AL27"/>
      <c r="AM27"/>
      <c r="AN27"/>
      <c r="AO27"/>
      <c r="AP27"/>
      <c r="AQ27"/>
      <c r="AR27"/>
      <c r="AS27"/>
      <c r="AT27"/>
      <c r="AU27"/>
      <c r="AV27"/>
      <c r="AW27"/>
      <c r="AX27" t="inlineStr">
        <is>
          <t>Accumulation</t>
        </is>
      </c>
      <c r="AY27" t="inlineStr">
        <is>
          <t>Residue</t>
        </is>
      </c>
      <c r="AZ27"/>
      <c r="BA27" t="inlineStr">
        <is>
          <t>Liver</t>
        </is>
      </c>
      <c r="BB27"/>
      <c r="BC27" t="n">
        <v>21.0</v>
      </c>
      <c r="BD27"/>
      <c r="BE27"/>
      <c r="BF27"/>
      <c r="BG27"/>
      <c r="BH27" t="inlineStr">
        <is>
          <t>Day(s)</t>
        </is>
      </c>
      <c r="BI27"/>
      <c r="BJ27"/>
      <c r="BK27"/>
      <c r="BL27"/>
      <c r="BM27"/>
      <c r="BN27"/>
      <c r="BO27" t="inlineStr">
        <is>
          <t>--</t>
        </is>
      </c>
      <c r="BP27"/>
      <c r="BQ27"/>
      <c r="BR27"/>
      <c r="BS27"/>
      <c r="BT27"/>
      <c r="BU27"/>
      <c r="BV27"/>
      <c r="BW27"/>
      <c r="BX27"/>
      <c r="BY27"/>
      <c r="BZ27"/>
      <c r="CA27"/>
      <c r="CB27"/>
      <c r="CC27"/>
      <c r="CD27" t="inlineStr">
        <is>
          <t>Lin,H., Z. Liu, H. Yang, L. Lu, R. Chen, X. Zhang, Y. Zhong, and H. Zhang</t>
        </is>
      </c>
      <c r="CE27" t="n">
        <v>191161.0</v>
      </c>
      <c r="CF27" t="inlineStr">
        <is>
          <t>Per- and Polyfluoroalkyl Substances (PFASs) Impair Lipid Metabolism in Rana nigromaculata: A Field Investigation and Laboratory Study</t>
        </is>
      </c>
      <c r="CG27" t="inlineStr">
        <is>
          <t>Environ. Sci. Technol.56(18): 13222-13232</t>
        </is>
      </c>
      <c r="CH27" t="n">
        <v>2022.0</v>
      </c>
      <c r="CI27" t="inlineStr">
        <is>
          <t>Lin,H., Z. Liu, H. Yang, L. Lu, R. Chen, X. Zhang, Y. Zhong, and H. Zhang (2022). Per- and Polyfluoroalkyl Substances (PFASs) Impair Lipid Metabolism in Rana nigromaculata: A Field Investigation and Laboratory Study. Environ. Sci. Technol., 56, (18), 13222-13232. doi:10.1021/acs.est.2c03452. ECOREF#:191161</t>
        </is>
      </c>
    </row>
    <row r="28">
      <c r="A28" t="n">
        <v>1763231.0</v>
      </c>
      <c r="B28" t="inlineStr">
        <is>
          <t>1,1,2,2,3,3,4,4,5,5,6,6,7,7,8,8,8-Heptadecafluoro-1-octanesulfonic acid</t>
        </is>
      </c>
      <c r="C28"/>
      <c r="D28" t="inlineStr">
        <is>
          <t>Unmeasured values (some measured values reported in article)</t>
        </is>
      </c>
      <c r="E28"/>
      <c r="F28"/>
      <c r="G28"/>
      <c r="H28"/>
      <c r="I28"/>
      <c r="J28"/>
      <c r="K28" t="inlineStr">
        <is>
          <t>Ambystoma tigrinum</t>
        </is>
      </c>
      <c r="L28" t="inlineStr">
        <is>
          <t>Tiger Salamander</t>
        </is>
      </c>
      <c r="M28" t="inlineStr">
        <is>
          <t>Amphibians</t>
        </is>
      </c>
      <c r="N28" t="inlineStr">
        <is>
          <t>Larva</t>
        </is>
      </c>
      <c r="O28"/>
      <c r="P28"/>
      <c r="Q28"/>
      <c r="R28"/>
      <c r="S28"/>
      <c r="T28"/>
      <c r="U28"/>
      <c r="V28" t="inlineStr">
        <is>
          <t>Renewal</t>
        </is>
      </c>
      <c r="W28" t="inlineStr">
        <is>
          <t>Fresh water</t>
        </is>
      </c>
      <c r="X28" t="inlineStr">
        <is>
          <t>Lab</t>
        </is>
      </c>
      <c r="Y28" t="n">
        <v>4.0</v>
      </c>
      <c r="Z28" t="inlineStr">
        <is>
          <t>Active ingredient</t>
        </is>
      </c>
      <c r="AA28"/>
      <c r="AB28"/>
      <c r="AC28"/>
      <c r="AD28" t="n">
        <v>0.01</v>
      </c>
      <c r="AE28"/>
      <c r="AF28" t="n">
        <v>1.0</v>
      </c>
      <c r="AG28" t="inlineStr">
        <is>
          <t>AI mg/L</t>
        </is>
      </c>
      <c r="AH28"/>
      <c r="AI28"/>
      <c r="AJ28"/>
      <c r="AK28"/>
      <c r="AL28"/>
      <c r="AM28"/>
      <c r="AN28"/>
      <c r="AO28"/>
      <c r="AP28"/>
      <c r="AQ28"/>
      <c r="AR28"/>
      <c r="AS28"/>
      <c r="AT28"/>
      <c r="AU28"/>
      <c r="AV28"/>
      <c r="AW28"/>
      <c r="AX28" t="inlineStr">
        <is>
          <t>Accumulation</t>
        </is>
      </c>
      <c r="AY28" t="inlineStr">
        <is>
          <t>Residue</t>
        </is>
      </c>
      <c r="AZ28"/>
      <c r="BA28" t="inlineStr">
        <is>
          <t>Whole organism</t>
        </is>
      </c>
      <c r="BB28"/>
      <c r="BC28"/>
      <c r="BD28"/>
      <c r="BE28" t="n">
        <v>10.0</v>
      </c>
      <c r="BF28"/>
      <c r="BG28" t="n">
        <v>40.0</v>
      </c>
      <c r="BH28" t="inlineStr">
        <is>
          <t>Day(s)</t>
        </is>
      </c>
      <c r="BI28"/>
      <c r="BJ28"/>
      <c r="BK28"/>
      <c r="BL28"/>
      <c r="BM28"/>
      <c r="BN28"/>
      <c r="BO28" t="inlineStr">
        <is>
          <t>--</t>
        </is>
      </c>
      <c r="BP28"/>
      <c r="BQ28"/>
      <c r="BR28"/>
      <c r="BS28"/>
      <c r="BT28"/>
      <c r="BU28"/>
      <c r="BV28"/>
      <c r="BW28"/>
      <c r="BX28"/>
      <c r="BY28"/>
      <c r="BZ28"/>
      <c r="CA28"/>
      <c r="CB28"/>
      <c r="CC28"/>
      <c r="CD28" t="inlineStr">
        <is>
          <t>Hoover,G.M.</t>
        </is>
      </c>
      <c r="CE28" t="n">
        <v>180874.0</v>
      </c>
      <c r="CF28" t="inlineStr">
        <is>
          <t>Effects of Per/Polyfluoroalkyl Substance Exposure on Larval Amphibians</t>
        </is>
      </c>
      <c r="CG28" t="inlineStr">
        <is>
          <t>Ph.D.Thesis, Purdue University, West Lafayette, IN:119 p.</t>
        </is>
      </c>
      <c r="CH28" t="n">
        <v>2018.0</v>
      </c>
      <c r="CI28" t="inlineStr">
        <is>
          <t>Hoover,G.M. (2018). Effects of Per/Polyfluoroalkyl Substance Exposure on Larval Amphibians. Ph.D.Thesis, Purdue University, West Lafayette, IN, 119 p. ECOREF#:180874</t>
        </is>
      </c>
    </row>
    <row r="29">
      <c r="A29" t="n">
        <v>1763231.0</v>
      </c>
      <c r="B29" t="inlineStr">
        <is>
          <t>1,1,2,2,3,3,4,4,5,5,6,6,7,7,8,8,8-Heptadecafluoro-1-octanesulfonic acid</t>
        </is>
      </c>
      <c r="C29"/>
      <c r="D29" t="inlineStr">
        <is>
          <t>Unmeasured values (some measured values reported in article)</t>
        </is>
      </c>
      <c r="E29"/>
      <c r="F29"/>
      <c r="G29"/>
      <c r="H29"/>
      <c r="I29"/>
      <c r="J29"/>
      <c r="K29" t="inlineStr">
        <is>
          <t>Anaxyrus americanus</t>
        </is>
      </c>
      <c r="L29" t="inlineStr">
        <is>
          <t xml:space="preserve">American Toad </t>
        </is>
      </c>
      <c r="M29" t="inlineStr">
        <is>
          <t>Amphibians</t>
        </is>
      </c>
      <c r="N29" t="inlineStr">
        <is>
          <t>Tadpole</t>
        </is>
      </c>
      <c r="O29"/>
      <c r="P29"/>
      <c r="Q29"/>
      <c r="R29"/>
      <c r="S29"/>
      <c r="T29"/>
      <c r="U29"/>
      <c r="V29" t="inlineStr">
        <is>
          <t>Renewal</t>
        </is>
      </c>
      <c r="W29" t="inlineStr">
        <is>
          <t>Fresh water</t>
        </is>
      </c>
      <c r="X29" t="inlineStr">
        <is>
          <t>Lab</t>
        </is>
      </c>
      <c r="Y29" t="n">
        <v>4.0</v>
      </c>
      <c r="Z29" t="inlineStr">
        <is>
          <t>Active ingredient</t>
        </is>
      </c>
      <c r="AA29"/>
      <c r="AB29"/>
      <c r="AC29"/>
      <c r="AD29" t="n">
        <v>0.01</v>
      </c>
      <c r="AE29"/>
      <c r="AF29" t="n">
        <v>1.0</v>
      </c>
      <c r="AG29" t="inlineStr">
        <is>
          <t>AI mg/L</t>
        </is>
      </c>
      <c r="AH29"/>
      <c r="AI29"/>
      <c r="AJ29"/>
      <c r="AK29"/>
      <c r="AL29"/>
      <c r="AM29"/>
      <c r="AN29"/>
      <c r="AO29"/>
      <c r="AP29"/>
      <c r="AQ29"/>
      <c r="AR29"/>
      <c r="AS29"/>
      <c r="AT29"/>
      <c r="AU29"/>
      <c r="AV29"/>
      <c r="AW29"/>
      <c r="AX29" t="inlineStr">
        <is>
          <t>Accumulation</t>
        </is>
      </c>
      <c r="AY29" t="inlineStr">
        <is>
          <t>Residue</t>
        </is>
      </c>
      <c r="AZ29"/>
      <c r="BA29" t="inlineStr">
        <is>
          <t>Whole organism</t>
        </is>
      </c>
      <c r="BB29"/>
      <c r="BC29"/>
      <c r="BD29"/>
      <c r="BE29" t="n">
        <v>10.0</v>
      </c>
      <c r="BF29"/>
      <c r="BG29" t="n">
        <v>35.0</v>
      </c>
      <c r="BH29" t="inlineStr">
        <is>
          <t>Day(s)</t>
        </is>
      </c>
      <c r="BI29"/>
      <c r="BJ29"/>
      <c r="BK29"/>
      <c r="BL29"/>
      <c r="BM29"/>
      <c r="BN29"/>
      <c r="BO29" t="inlineStr">
        <is>
          <t>--</t>
        </is>
      </c>
      <c r="BP29"/>
      <c r="BQ29"/>
      <c r="BR29"/>
      <c r="BS29"/>
      <c r="BT29"/>
      <c r="BU29"/>
      <c r="BV29"/>
      <c r="BW29"/>
      <c r="BX29"/>
      <c r="BY29"/>
      <c r="BZ29"/>
      <c r="CA29"/>
      <c r="CB29"/>
      <c r="CC29"/>
      <c r="CD29" t="inlineStr">
        <is>
          <t>Hoover,G.M.</t>
        </is>
      </c>
      <c r="CE29" t="n">
        <v>180874.0</v>
      </c>
      <c r="CF29" t="inlineStr">
        <is>
          <t>Effects of Per/Polyfluoroalkyl Substance Exposure on Larval Amphibians</t>
        </is>
      </c>
      <c r="CG29" t="inlineStr">
        <is>
          <t>Ph.D.Thesis, Purdue University, West Lafayette, IN:119 p.</t>
        </is>
      </c>
      <c r="CH29" t="n">
        <v>2018.0</v>
      </c>
      <c r="CI29" t="inlineStr">
        <is>
          <t>Hoover,G.M. (2018). Effects of Per/Polyfluoroalkyl Substance Exposure on Larval Amphibians. Ph.D.Thesis, Purdue University, West Lafayette, IN, 119 p. ECOREF#:180874</t>
        </is>
      </c>
    </row>
    <row r="30">
      <c r="A30" t="n">
        <v>1763231.0</v>
      </c>
      <c r="B30" t="inlineStr">
        <is>
          <t>1,1,2,2,3,3,4,4,5,5,6,6,7,7,8,8,8-Heptadecafluoro-1-octanesulfonic acid</t>
        </is>
      </c>
      <c r="C30"/>
      <c r="D30" t="inlineStr">
        <is>
          <t>Measured</t>
        </is>
      </c>
      <c r="E30" t="inlineStr">
        <is>
          <t>&gt;=</t>
        </is>
      </c>
      <c r="F30" t="n">
        <v>96.0</v>
      </c>
      <c r="G30"/>
      <c r="H30"/>
      <c r="I30"/>
      <c r="J30"/>
      <c r="K30" t="inlineStr">
        <is>
          <t>Lithobates pipiens</t>
        </is>
      </c>
      <c r="L30" t="inlineStr">
        <is>
          <t>Leopard Frog</t>
        </is>
      </c>
      <c r="M30" t="inlineStr">
        <is>
          <t>Amphibians; Standard Test Species</t>
        </is>
      </c>
      <c r="N30" t="inlineStr">
        <is>
          <t>Larva</t>
        </is>
      </c>
      <c r="O30"/>
      <c r="P30" t="n">
        <v>25.0</v>
      </c>
      <c r="Q30"/>
      <c r="R30"/>
      <c r="S30"/>
      <c r="T30"/>
      <c r="U30" t="inlineStr">
        <is>
          <t>Gosner stage</t>
        </is>
      </c>
      <c r="V30" t="inlineStr">
        <is>
          <t xml:space="preserve">Lentic </t>
        </is>
      </c>
      <c r="W30" t="inlineStr">
        <is>
          <t>Fresh water</t>
        </is>
      </c>
      <c r="X30" t="inlineStr">
        <is>
          <t>Field artificial</t>
        </is>
      </c>
      <c r="Y30" t="n">
        <v>4.0</v>
      </c>
      <c r="Z30" t="inlineStr">
        <is>
          <t>Active ingredient</t>
        </is>
      </c>
      <c r="AA30"/>
      <c r="AB30" t="n">
        <v>0.016</v>
      </c>
      <c r="AC30"/>
      <c r="AD30"/>
      <c r="AE30"/>
      <c r="AF30"/>
      <c r="AG30" t="inlineStr">
        <is>
          <t>AI mg/L</t>
        </is>
      </c>
      <c r="AH30"/>
      <c r="AI30"/>
      <c r="AJ30"/>
      <c r="AK30"/>
      <c r="AL30"/>
      <c r="AM30"/>
      <c r="AN30"/>
      <c r="AO30"/>
      <c r="AP30"/>
      <c r="AQ30"/>
      <c r="AR30"/>
      <c r="AS30"/>
      <c r="AT30"/>
      <c r="AU30"/>
      <c r="AV30"/>
      <c r="AW30"/>
      <c r="AX30" t="inlineStr">
        <is>
          <t>Accumulation</t>
        </is>
      </c>
      <c r="AY30" t="inlineStr">
        <is>
          <t>Residue</t>
        </is>
      </c>
      <c r="AZ30" t="inlineStr">
        <is>
          <t>BAF</t>
        </is>
      </c>
      <c r="BA30" t="inlineStr">
        <is>
          <t>Whole organism</t>
        </is>
      </c>
      <c r="BB30"/>
      <c r="BC30" t="n">
        <v>30.0</v>
      </c>
      <c r="BD30"/>
      <c r="BE30"/>
      <c r="BF30"/>
      <c r="BG30"/>
      <c r="BH30" t="inlineStr">
        <is>
          <t>Day(s)</t>
        </is>
      </c>
      <c r="BI30"/>
      <c r="BJ30" t="n">
        <v>28.5</v>
      </c>
      <c r="BK30"/>
      <c r="BL30"/>
      <c r="BM30"/>
      <c r="BN30"/>
      <c r="BO30" t="inlineStr">
        <is>
          <t>RA</t>
        </is>
      </c>
      <c r="BP30"/>
      <c r="BQ30"/>
      <c r="BR30"/>
      <c r="BS30"/>
      <c r="BT30"/>
      <c r="BU30"/>
      <c r="BV30"/>
      <c r="BW30"/>
      <c r="BX30"/>
      <c r="BY30"/>
      <c r="BZ30"/>
      <c r="CA30"/>
      <c r="CB30"/>
      <c r="CC30"/>
      <c r="CD30" t="inlineStr">
        <is>
          <t>Flynn,R.W., M. Iacchetta, C. De Perre, L. Lee, M.S. Sepulveda, and J.T. Hoverman</t>
        </is>
      </c>
      <c r="CE30" t="n">
        <v>182596.0</v>
      </c>
      <c r="CF30" t="inlineStr">
        <is>
          <t>Chronic Per-/Polyfluoroalkyl Substance Exposure Under Environmentally Relevant Conditions Delays Development in Northern Leopard Frog (Rana pipiens) Larvae</t>
        </is>
      </c>
      <c r="CG30" t="inlineStr">
        <is>
          <t>Environ. Toxicol. Chem.40(3): 711-716</t>
        </is>
      </c>
      <c r="CH30" t="n">
        <v>2021.0</v>
      </c>
      <c r="CI30" t="inlineStr">
        <is>
          <t>Flynn,R.W., M. Iacchetta, C. De Perre, L. Lee, M.S. Sepulveda, and J.T. Hoverman (2021). Chronic Per-/Polyfluoroalkyl Substance Exposure Under Environmentally Relevant Conditions Delays Development in Northern Leopard Frog (Rana pipiens) Larvae. Environ. Toxicol. Chem., 40, (3), 711-716. doi:10.1002/etc.4690. ECOREF#:182596</t>
        </is>
      </c>
    </row>
    <row r="31">
      <c r="A31" t="n">
        <v>1763231.0</v>
      </c>
      <c r="B31" t="inlineStr">
        <is>
          <t>1,1,2,2,3,3,4,4,5,5,6,6,7,7,8,8,8-Heptadecafluoro-1-octanesulfonic acid</t>
        </is>
      </c>
      <c r="C31"/>
      <c r="D31" t="inlineStr">
        <is>
          <t>Measured</t>
        </is>
      </c>
      <c r="E31" t="inlineStr">
        <is>
          <t>&gt;=</t>
        </is>
      </c>
      <c r="F31" t="n">
        <v>96.0</v>
      </c>
      <c r="G31"/>
      <c r="H31"/>
      <c r="I31"/>
      <c r="J31"/>
      <c r="K31" t="inlineStr">
        <is>
          <t>Lithobates pipiens</t>
        </is>
      </c>
      <c r="L31" t="inlineStr">
        <is>
          <t>Leopard Frog</t>
        </is>
      </c>
      <c r="M31" t="inlineStr">
        <is>
          <t>Amphibians; Standard Test Species</t>
        </is>
      </c>
      <c r="N31" t="inlineStr">
        <is>
          <t>Larva</t>
        </is>
      </c>
      <c r="O31"/>
      <c r="P31" t="n">
        <v>25.0</v>
      </c>
      <c r="Q31"/>
      <c r="R31"/>
      <c r="S31"/>
      <c r="T31"/>
      <c r="U31" t="inlineStr">
        <is>
          <t>Gosner stage</t>
        </is>
      </c>
      <c r="V31" t="inlineStr">
        <is>
          <t xml:space="preserve">Lentic </t>
        </is>
      </c>
      <c r="W31" t="inlineStr">
        <is>
          <t>Fresh water</t>
        </is>
      </c>
      <c r="X31" t="inlineStr">
        <is>
          <t>Field artificial</t>
        </is>
      </c>
      <c r="Y31" t="n">
        <v>4.0</v>
      </c>
      <c r="Z31" t="inlineStr">
        <is>
          <t>Active ingredient</t>
        </is>
      </c>
      <c r="AA31" t="inlineStr">
        <is>
          <t>~</t>
        </is>
      </c>
      <c r="AB31" t="n">
        <v>0.001</v>
      </c>
      <c r="AC31"/>
      <c r="AD31"/>
      <c r="AE31"/>
      <c r="AF31"/>
      <c r="AG31" t="inlineStr">
        <is>
          <t>AI mg/L</t>
        </is>
      </c>
      <c r="AH31"/>
      <c r="AI31"/>
      <c r="AJ31"/>
      <c r="AK31"/>
      <c r="AL31"/>
      <c r="AM31"/>
      <c r="AN31"/>
      <c r="AO31"/>
      <c r="AP31"/>
      <c r="AQ31"/>
      <c r="AR31"/>
      <c r="AS31"/>
      <c r="AT31"/>
      <c r="AU31"/>
      <c r="AV31"/>
      <c r="AW31"/>
      <c r="AX31" t="inlineStr">
        <is>
          <t>Accumulation</t>
        </is>
      </c>
      <c r="AY31" t="inlineStr">
        <is>
          <t>Residue</t>
        </is>
      </c>
      <c r="AZ31" t="inlineStr">
        <is>
          <t>BAF</t>
        </is>
      </c>
      <c r="BA31" t="inlineStr">
        <is>
          <t>Whole organism</t>
        </is>
      </c>
      <c r="BB31"/>
      <c r="BC31" t="n">
        <v>30.0</v>
      </c>
      <c r="BD31"/>
      <c r="BE31"/>
      <c r="BF31"/>
      <c r="BG31"/>
      <c r="BH31" t="inlineStr">
        <is>
          <t>Day(s)</t>
        </is>
      </c>
      <c r="BI31"/>
      <c r="BJ31" t="n">
        <v>91.2</v>
      </c>
      <c r="BK31"/>
      <c r="BL31"/>
      <c r="BM31"/>
      <c r="BN31"/>
      <c r="BO31" t="inlineStr">
        <is>
          <t>RA</t>
        </is>
      </c>
      <c r="BP31"/>
      <c r="BQ31"/>
      <c r="BR31"/>
      <c r="BS31"/>
      <c r="BT31"/>
      <c r="BU31"/>
      <c r="BV31"/>
      <c r="BW31"/>
      <c r="BX31"/>
      <c r="BY31"/>
      <c r="BZ31"/>
      <c r="CA31"/>
      <c r="CB31"/>
      <c r="CC31"/>
      <c r="CD31" t="inlineStr">
        <is>
          <t>Flynn,R.W., M. Iacchetta, C. De Perre, L. Lee, M.S. Sepulveda, and J.T. Hoverman</t>
        </is>
      </c>
      <c r="CE31" t="n">
        <v>182596.0</v>
      </c>
      <c r="CF31" t="inlineStr">
        <is>
          <t>Chronic Per-/Polyfluoroalkyl Substance Exposure Under Environmentally Relevant Conditions Delays Development in Northern Leopard Frog (Rana pipiens) Larvae</t>
        </is>
      </c>
      <c r="CG31" t="inlineStr">
        <is>
          <t>Environ. Toxicol. Chem.40(3): 711-716</t>
        </is>
      </c>
      <c r="CH31" t="n">
        <v>2021.0</v>
      </c>
      <c r="CI31" t="inlineStr">
        <is>
          <t>Flynn,R.W., M. Iacchetta, C. De Perre, L. Lee, M.S. Sepulveda, and J.T. Hoverman (2021). Chronic Per-/Polyfluoroalkyl Substance Exposure Under Environmentally Relevant Conditions Delays Development in Northern Leopard Frog (Rana pipiens) Larvae. Environ. Toxicol. Chem., 40, (3), 711-716. doi:10.1002/etc.4690. ECOREF#:182596</t>
        </is>
      </c>
    </row>
    <row r="32">
      <c r="A32" t="n">
        <v>1763231.0</v>
      </c>
      <c r="B32" t="inlineStr">
        <is>
          <t>1,1,2,2,3,3,4,4,5,5,6,6,7,7,8,8,8-Heptadecafluoro-1-octanesulfonic acid</t>
        </is>
      </c>
      <c r="C32"/>
      <c r="D32" t="inlineStr">
        <is>
          <t>Measured</t>
        </is>
      </c>
      <c r="E32" t="inlineStr">
        <is>
          <t>&gt;=</t>
        </is>
      </c>
      <c r="F32" t="n">
        <v>96.0</v>
      </c>
      <c r="G32"/>
      <c r="H32"/>
      <c r="I32"/>
      <c r="J32"/>
      <c r="K32" t="inlineStr">
        <is>
          <t>Lithobates pipiens</t>
        </is>
      </c>
      <c r="L32" t="inlineStr">
        <is>
          <t>Leopard Frog</t>
        </is>
      </c>
      <c r="M32" t="inlineStr">
        <is>
          <t>Amphibians; Standard Test Species</t>
        </is>
      </c>
      <c r="N32" t="inlineStr">
        <is>
          <t>Larva</t>
        </is>
      </c>
      <c r="O32"/>
      <c r="P32" t="n">
        <v>25.0</v>
      </c>
      <c r="Q32"/>
      <c r="R32"/>
      <c r="S32"/>
      <c r="T32"/>
      <c r="U32" t="inlineStr">
        <is>
          <t>Gosner stage</t>
        </is>
      </c>
      <c r="V32" t="inlineStr">
        <is>
          <t xml:space="preserve">Lentic </t>
        </is>
      </c>
      <c r="W32" t="inlineStr">
        <is>
          <t>Fresh water</t>
        </is>
      </c>
      <c r="X32" t="inlineStr">
        <is>
          <t>Field artificial</t>
        </is>
      </c>
      <c r="Y32" t="n">
        <v>4.0</v>
      </c>
      <c r="Z32" t="inlineStr">
        <is>
          <t>Active ingredient</t>
        </is>
      </c>
      <c r="AA32"/>
      <c r="AB32" t="n">
        <v>6.0E-5</v>
      </c>
      <c r="AC32"/>
      <c r="AD32"/>
      <c r="AE32"/>
      <c r="AF32"/>
      <c r="AG32" t="inlineStr">
        <is>
          <t>AI mg/L</t>
        </is>
      </c>
      <c r="AH32"/>
      <c r="AI32"/>
      <c r="AJ32"/>
      <c r="AK32"/>
      <c r="AL32"/>
      <c r="AM32"/>
      <c r="AN32"/>
      <c r="AO32"/>
      <c r="AP32"/>
      <c r="AQ32"/>
      <c r="AR32"/>
      <c r="AS32"/>
      <c r="AT32"/>
      <c r="AU32"/>
      <c r="AV32"/>
      <c r="AW32"/>
      <c r="AX32" t="inlineStr">
        <is>
          <t>Accumulation</t>
        </is>
      </c>
      <c r="AY32" t="inlineStr">
        <is>
          <t>Residue</t>
        </is>
      </c>
      <c r="AZ32" t="inlineStr">
        <is>
          <t>BAF</t>
        </is>
      </c>
      <c r="BA32" t="inlineStr">
        <is>
          <t>Whole organism</t>
        </is>
      </c>
      <c r="BB32"/>
      <c r="BC32" t="n">
        <v>30.0</v>
      </c>
      <c r="BD32"/>
      <c r="BE32"/>
      <c r="BF32"/>
      <c r="BG32"/>
      <c r="BH32" t="inlineStr">
        <is>
          <t>Day(s)</t>
        </is>
      </c>
      <c r="BI32"/>
      <c r="BJ32" t="n">
        <v>246.0</v>
      </c>
      <c r="BK32"/>
      <c r="BL32"/>
      <c r="BM32"/>
      <c r="BN32"/>
      <c r="BO32" t="inlineStr">
        <is>
          <t>RA</t>
        </is>
      </c>
      <c r="BP32"/>
      <c r="BQ32"/>
      <c r="BR32"/>
      <c r="BS32"/>
      <c r="BT32"/>
      <c r="BU32"/>
      <c r="BV32"/>
      <c r="BW32"/>
      <c r="BX32"/>
      <c r="BY32"/>
      <c r="BZ32"/>
      <c r="CA32"/>
      <c r="CB32"/>
      <c r="CC32"/>
      <c r="CD32" t="inlineStr">
        <is>
          <t>Flynn,R.W., M. Iacchetta, C. De Perre, L. Lee, M.S. Sepulveda, and J.T. Hoverman</t>
        </is>
      </c>
      <c r="CE32" t="n">
        <v>182596.0</v>
      </c>
      <c r="CF32" t="inlineStr">
        <is>
          <t>Chronic Per-/Polyfluoroalkyl Substance Exposure Under Environmentally Relevant Conditions Delays Development in Northern Leopard Frog (Rana pipiens) Larvae</t>
        </is>
      </c>
      <c r="CG32" t="inlineStr">
        <is>
          <t>Environ. Toxicol. Chem.40(3): 711-716</t>
        </is>
      </c>
      <c r="CH32" t="n">
        <v>2021.0</v>
      </c>
      <c r="CI32" t="inlineStr">
        <is>
          <t>Flynn,R.W., M. Iacchetta, C. De Perre, L. Lee, M.S. Sepulveda, and J.T. Hoverman (2021). Chronic Per-/Polyfluoroalkyl Substance Exposure Under Environmentally Relevant Conditions Delays Development in Northern Leopard Frog (Rana pipiens) Larvae. Environ. Toxicol. Chem., 40, (3), 711-716. doi:10.1002/etc.4690. ECOREF#:182596</t>
        </is>
      </c>
    </row>
    <row r="33">
      <c r="A33" t="n">
        <v>1763231.0</v>
      </c>
      <c r="B33" t="inlineStr">
        <is>
          <t>1,1,2,2,3,3,4,4,5,5,6,6,7,7,8,8,8-Heptadecafluoro-1-octanesulfonic acid</t>
        </is>
      </c>
      <c r="C33" t="inlineStr">
        <is>
          <t>Technical grade, technical product, technical formulation</t>
        </is>
      </c>
      <c r="D33" t="inlineStr">
        <is>
          <t>Measured</t>
        </is>
      </c>
      <c r="E33" t="inlineStr">
        <is>
          <t>&gt;=</t>
        </is>
      </c>
      <c r="F33" t="n">
        <v>98.0</v>
      </c>
      <c r="G33"/>
      <c r="H33"/>
      <c r="I33"/>
      <c r="J33"/>
      <c r="K33" t="inlineStr">
        <is>
          <t>Lithobates pipiens</t>
        </is>
      </c>
      <c r="L33" t="inlineStr">
        <is>
          <t>Leopard Frog</t>
        </is>
      </c>
      <c r="M33" t="inlineStr">
        <is>
          <t>Amphibians; Standard Test Species</t>
        </is>
      </c>
      <c r="N33" t="inlineStr">
        <is>
          <t>Tadpole</t>
        </is>
      </c>
      <c r="O33"/>
      <c r="P33" t="n">
        <v>25.0</v>
      </c>
      <c r="Q33"/>
      <c r="R33"/>
      <c r="S33"/>
      <c r="T33"/>
      <c r="U33" t="inlineStr">
        <is>
          <t>Gosner stage</t>
        </is>
      </c>
      <c r="V33" t="inlineStr">
        <is>
          <t>Renewal</t>
        </is>
      </c>
      <c r="W33" t="inlineStr">
        <is>
          <t>Fresh water</t>
        </is>
      </c>
      <c r="X33" t="inlineStr">
        <is>
          <t>Lab</t>
        </is>
      </c>
      <c r="Y33" t="n">
        <v>3.0</v>
      </c>
      <c r="Z33" t="inlineStr">
        <is>
          <t>Active ingredient</t>
        </is>
      </c>
      <c r="AA33"/>
      <c r="AB33" t="n">
        <v>5.57E-4</v>
      </c>
      <c r="AC33"/>
      <c r="AD33" t="n">
        <v>4.02E-4</v>
      </c>
      <c r="AE33"/>
      <c r="AF33" t="n">
        <v>8.29E-4</v>
      </c>
      <c r="AG33" t="inlineStr">
        <is>
          <t>AI mg/L</t>
        </is>
      </c>
      <c r="AH33"/>
      <c r="AI33"/>
      <c r="AJ33"/>
      <c r="AK33"/>
      <c r="AL33"/>
      <c r="AM33"/>
      <c r="AN33"/>
      <c r="AO33"/>
      <c r="AP33"/>
      <c r="AQ33"/>
      <c r="AR33"/>
      <c r="AS33"/>
      <c r="AT33"/>
      <c r="AU33"/>
      <c r="AV33"/>
      <c r="AW33"/>
      <c r="AX33" t="inlineStr">
        <is>
          <t>Accumulation</t>
        </is>
      </c>
      <c r="AY33" t="inlineStr">
        <is>
          <t>Residue</t>
        </is>
      </c>
      <c r="AZ33" t="inlineStr">
        <is>
          <t>BCF</t>
        </is>
      </c>
      <c r="BA33" t="inlineStr">
        <is>
          <t>Whole organism</t>
        </is>
      </c>
      <c r="BB33"/>
      <c r="BC33" t="n">
        <v>46.0</v>
      </c>
      <c r="BD33"/>
      <c r="BE33"/>
      <c r="BF33"/>
      <c r="BG33"/>
      <c r="BH33" t="inlineStr">
        <is>
          <t>Gosner stage</t>
        </is>
      </c>
      <c r="BI33"/>
      <c r="BJ33" t="n">
        <v>2.88</v>
      </c>
      <c r="BK33"/>
      <c r="BL33"/>
      <c r="BM33"/>
      <c r="BN33"/>
      <c r="BO33" t="inlineStr">
        <is>
          <t>RA</t>
        </is>
      </c>
      <c r="BP33"/>
      <c r="BQ33"/>
      <c r="BR33"/>
      <c r="BS33"/>
      <c r="BT33"/>
      <c r="BU33"/>
      <c r="BV33"/>
      <c r="BW33"/>
      <c r="BX33"/>
      <c r="BY33"/>
      <c r="BZ33"/>
      <c r="CA33"/>
      <c r="CB33"/>
      <c r="CC33"/>
      <c r="CD33" t="inlineStr">
        <is>
          <t>Hoskins,T.D., E.B. Allmon, R.W. Flynn, L.S. Lee, Y. Choi, J.T. Hoverman, and M.S. Sepulveda</t>
        </is>
      </c>
      <c r="CE33" t="n">
        <v>189935.0</v>
      </c>
      <c r="CF33" t="inlineStr">
        <is>
          <t>An Environmentally Relevant Mixture of Perfluorooctanesulfonic Acid and Perfluorohexanesulfonic Acid Does Not Conform to Additivity in Northern Leopard Frogs Exposed Through Metamorphosis</t>
        </is>
      </c>
      <c r="CG33" t="inlineStr">
        <is>
          <t>Environ. Toxicol. Chem.41(12): 3007-3016</t>
        </is>
      </c>
      <c r="CH33" t="n">
        <v>2022.0</v>
      </c>
      <c r="CI33"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34">
      <c r="A34" t="n">
        <v>1763231.0</v>
      </c>
      <c r="B34" t="inlineStr">
        <is>
          <t>1,1,2,2,3,3,4,4,5,5,6,6,7,7,8,8,8-Heptadecafluoro-1-octanesulfonic acid</t>
        </is>
      </c>
      <c r="C34" t="inlineStr">
        <is>
          <t>Technical grade, technical product, technical formulation</t>
        </is>
      </c>
      <c r="D34" t="inlineStr">
        <is>
          <t>Measured</t>
        </is>
      </c>
      <c r="E34" t="inlineStr">
        <is>
          <t>&gt;=</t>
        </is>
      </c>
      <c r="F34" t="n">
        <v>98.0</v>
      </c>
      <c r="G34"/>
      <c r="H34"/>
      <c r="I34"/>
      <c r="J34"/>
      <c r="K34" t="inlineStr">
        <is>
          <t>Lithobates pipiens</t>
        </is>
      </c>
      <c r="L34" t="inlineStr">
        <is>
          <t>Leopard Frog</t>
        </is>
      </c>
      <c r="M34" t="inlineStr">
        <is>
          <t>Amphibians; Standard Test Species</t>
        </is>
      </c>
      <c r="N34" t="inlineStr">
        <is>
          <t>Tadpole</t>
        </is>
      </c>
      <c r="O34"/>
      <c r="P34" t="n">
        <v>25.0</v>
      </c>
      <c r="Q34"/>
      <c r="R34"/>
      <c r="S34"/>
      <c r="T34"/>
      <c r="U34" t="inlineStr">
        <is>
          <t>Gosner stage</t>
        </is>
      </c>
      <c r="V34" t="inlineStr">
        <is>
          <t>Renewal</t>
        </is>
      </c>
      <c r="W34" t="inlineStr">
        <is>
          <t>Fresh water</t>
        </is>
      </c>
      <c r="X34" t="inlineStr">
        <is>
          <t>Lab</t>
        </is>
      </c>
      <c r="Y34" t="n">
        <v>3.0</v>
      </c>
      <c r="Z34" t="inlineStr">
        <is>
          <t>Active ingredient</t>
        </is>
      </c>
      <c r="AA34"/>
      <c r="AB34" t="n">
        <v>9.34E-4</v>
      </c>
      <c r="AC34"/>
      <c r="AD34" t="n">
        <v>8.66E-4</v>
      </c>
      <c r="AE34"/>
      <c r="AF34" t="n">
        <v>9.87E-4</v>
      </c>
      <c r="AG34" t="inlineStr">
        <is>
          <t>AI mg/L</t>
        </is>
      </c>
      <c r="AH34"/>
      <c r="AI34"/>
      <c r="AJ34"/>
      <c r="AK34"/>
      <c r="AL34"/>
      <c r="AM34"/>
      <c r="AN34"/>
      <c r="AO34"/>
      <c r="AP34"/>
      <c r="AQ34"/>
      <c r="AR34"/>
      <c r="AS34"/>
      <c r="AT34"/>
      <c r="AU34"/>
      <c r="AV34"/>
      <c r="AW34"/>
      <c r="AX34" t="inlineStr">
        <is>
          <t>Accumulation</t>
        </is>
      </c>
      <c r="AY34" t="inlineStr">
        <is>
          <t>Residue</t>
        </is>
      </c>
      <c r="AZ34" t="inlineStr">
        <is>
          <t>BCF</t>
        </is>
      </c>
      <c r="BA34" t="inlineStr">
        <is>
          <t>Whole organism</t>
        </is>
      </c>
      <c r="BB34"/>
      <c r="BC34" t="n">
        <v>46.0</v>
      </c>
      <c r="BD34"/>
      <c r="BE34"/>
      <c r="BF34"/>
      <c r="BG34"/>
      <c r="BH34" t="inlineStr">
        <is>
          <t>Gosner stage</t>
        </is>
      </c>
      <c r="BI34"/>
      <c r="BJ34" t="n">
        <v>3.09</v>
      </c>
      <c r="BK34"/>
      <c r="BL34"/>
      <c r="BM34"/>
      <c r="BN34"/>
      <c r="BO34" t="inlineStr">
        <is>
          <t>RA</t>
        </is>
      </c>
      <c r="BP34"/>
      <c r="BQ34"/>
      <c r="BR34"/>
      <c r="BS34"/>
      <c r="BT34"/>
      <c r="BU34"/>
      <c r="BV34"/>
      <c r="BW34"/>
      <c r="BX34"/>
      <c r="BY34"/>
      <c r="BZ34"/>
      <c r="CA34"/>
      <c r="CB34"/>
      <c r="CC34"/>
      <c r="CD34" t="inlineStr">
        <is>
          <t>Hoskins,T.D., E.B. Allmon, R.W. Flynn, L.S. Lee, Y. Choi, J.T. Hoverman, and M.S. Sepulveda</t>
        </is>
      </c>
      <c r="CE34" t="n">
        <v>189935.0</v>
      </c>
      <c r="CF34" t="inlineStr">
        <is>
          <t>An Environmentally Relevant Mixture of Perfluorooctanesulfonic Acid and Perfluorohexanesulfonic Acid Does Not Conform to Additivity in Northern Leopard Frogs Exposed Through Metamorphosis</t>
        </is>
      </c>
      <c r="CG34" t="inlineStr">
        <is>
          <t>Environ. Toxicol. Chem.41(12): 3007-3016</t>
        </is>
      </c>
      <c r="CH34" t="n">
        <v>2022.0</v>
      </c>
      <c r="CI34"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35">
      <c r="A35" t="n">
        <v>1763231.0</v>
      </c>
      <c r="B35" t="inlineStr">
        <is>
          <t>1,1,2,2,3,3,4,4,5,5,6,6,7,7,8,8,8-Heptadecafluoro-1-octanesulfonic acid</t>
        </is>
      </c>
      <c r="C35"/>
      <c r="D35" t="inlineStr">
        <is>
          <t>Chemical analysis reported</t>
        </is>
      </c>
      <c r="E35" t="inlineStr">
        <is>
          <t>&gt;=</t>
        </is>
      </c>
      <c r="F35" t="n">
        <v>98.0</v>
      </c>
      <c r="G35"/>
      <c r="H35"/>
      <c r="I35"/>
      <c r="J35"/>
      <c r="K35" t="inlineStr">
        <is>
          <t>Lithobates pipiens</t>
        </is>
      </c>
      <c r="L35" t="inlineStr">
        <is>
          <t>Leopard Frog</t>
        </is>
      </c>
      <c r="M35" t="inlineStr">
        <is>
          <t>Amphibians; Standard Test Species</t>
        </is>
      </c>
      <c r="N35" t="inlineStr">
        <is>
          <t>Tadpole</t>
        </is>
      </c>
      <c r="O35"/>
      <c r="P35" t="n">
        <v>26.0</v>
      </c>
      <c r="Q35"/>
      <c r="R35"/>
      <c r="S35"/>
      <c r="T35"/>
      <c r="U35" t="inlineStr">
        <is>
          <t>Gosner stage</t>
        </is>
      </c>
      <c r="V35" t="inlineStr">
        <is>
          <t>Renewal</t>
        </is>
      </c>
      <c r="W35" t="inlineStr">
        <is>
          <t>Fresh water</t>
        </is>
      </c>
      <c r="X35" t="inlineStr">
        <is>
          <t>Lab</t>
        </is>
      </c>
      <c r="Y35" t="n">
        <v>4.0</v>
      </c>
      <c r="Z35" t="inlineStr">
        <is>
          <t>Active ingredient</t>
        </is>
      </c>
      <c r="AA35"/>
      <c r="AB35" t="n">
        <v>0.1</v>
      </c>
      <c r="AC35"/>
      <c r="AD35"/>
      <c r="AE35"/>
      <c r="AF35"/>
      <c r="AG35" t="inlineStr">
        <is>
          <t>AI mg/L</t>
        </is>
      </c>
      <c r="AH35"/>
      <c r="AI35"/>
      <c r="AJ35"/>
      <c r="AK35"/>
      <c r="AL35"/>
      <c r="AM35"/>
      <c r="AN35"/>
      <c r="AO35"/>
      <c r="AP35"/>
      <c r="AQ35"/>
      <c r="AR35"/>
      <c r="AS35"/>
      <c r="AT35"/>
      <c r="AU35"/>
      <c r="AV35"/>
      <c r="AW35"/>
      <c r="AX35" t="inlineStr">
        <is>
          <t>Accumulation</t>
        </is>
      </c>
      <c r="AY35" t="inlineStr">
        <is>
          <t>Residue</t>
        </is>
      </c>
      <c r="AZ35" t="inlineStr">
        <is>
          <t>BCF</t>
        </is>
      </c>
      <c r="BA35" t="inlineStr">
        <is>
          <t>Whole organism</t>
        </is>
      </c>
      <c r="BB35"/>
      <c r="BC35" t="n">
        <v>20.0</v>
      </c>
      <c r="BD35"/>
      <c r="BE35"/>
      <c r="BF35"/>
      <c r="BG35"/>
      <c r="BH35" t="inlineStr">
        <is>
          <t>Day(s)</t>
        </is>
      </c>
      <c r="BI35"/>
      <c r="BJ35"/>
      <c r="BK35" t="inlineStr">
        <is>
          <t>&gt;</t>
        </is>
      </c>
      <c r="BL35" t="n">
        <v>10.0</v>
      </c>
      <c r="BM35" t="inlineStr">
        <is>
          <t>&lt;</t>
        </is>
      </c>
      <c r="BN35" t="n">
        <v>100.0</v>
      </c>
      <c r="BO35" t="inlineStr">
        <is>
          <t>RA</t>
        </is>
      </c>
      <c r="BP35"/>
      <c r="BQ35"/>
      <c r="BR35"/>
      <c r="BS35"/>
      <c r="BT35"/>
      <c r="BU35"/>
      <c r="BV35"/>
      <c r="BW35"/>
      <c r="BX35"/>
      <c r="BY35"/>
      <c r="BZ35"/>
      <c r="CA35"/>
      <c r="CB35"/>
      <c r="CC35"/>
      <c r="CD35" t="inlineStr">
        <is>
          <t>Hoover,G.M., M.F. Chislock, B.J. Tornabene, S.C. Guffey, Y.J. Choi, C. De Perre, J.T. Hoverman, L.S. Lee, and M.S. Sepu</t>
        </is>
      </c>
      <c r="CE35" t="n">
        <v>176982.0</v>
      </c>
      <c r="CF35" t="inlineStr">
        <is>
          <t>Uptake and Depuration of Four Per/Polyfluoroalkyl Substances (PFASs) in Northern Leopard Frog Rana pipiens Tadpoles</t>
        </is>
      </c>
      <c r="CG35" t="inlineStr">
        <is>
          <t>Environ. Sci. Technol. Lett.4(10): 399-403</t>
        </is>
      </c>
      <c r="CH35" t="n">
        <v>2017.0</v>
      </c>
      <c r="CI35"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6">
      <c r="A36" t="n">
        <v>1763231.0</v>
      </c>
      <c r="B36" t="inlineStr">
        <is>
          <t>1,1,2,2,3,3,4,4,5,5,6,6,7,7,8,8,8-Heptadecafluoro-1-octanesulfonic acid</t>
        </is>
      </c>
      <c r="C36"/>
      <c r="D36" t="inlineStr">
        <is>
          <t>Chemical analysis reported</t>
        </is>
      </c>
      <c r="E36" t="inlineStr">
        <is>
          <t>&gt;=</t>
        </is>
      </c>
      <c r="F36" t="n">
        <v>98.0</v>
      </c>
      <c r="G36"/>
      <c r="H36"/>
      <c r="I36"/>
      <c r="J36"/>
      <c r="K36" t="inlineStr">
        <is>
          <t>Lithobates pipiens</t>
        </is>
      </c>
      <c r="L36" t="inlineStr">
        <is>
          <t>Leopard Frog</t>
        </is>
      </c>
      <c r="M36" t="inlineStr">
        <is>
          <t>Amphibians; Standard Test Species</t>
        </is>
      </c>
      <c r="N36" t="inlineStr">
        <is>
          <t>Tadpole</t>
        </is>
      </c>
      <c r="O36"/>
      <c r="P36" t="n">
        <v>26.0</v>
      </c>
      <c r="Q36"/>
      <c r="R36"/>
      <c r="S36"/>
      <c r="T36"/>
      <c r="U36" t="inlineStr">
        <is>
          <t>Gosner stage</t>
        </is>
      </c>
      <c r="V36" t="inlineStr">
        <is>
          <t>Renewal</t>
        </is>
      </c>
      <c r="W36" t="inlineStr">
        <is>
          <t>Fresh water</t>
        </is>
      </c>
      <c r="X36" t="inlineStr">
        <is>
          <t>Lab</t>
        </is>
      </c>
      <c r="Y36" t="n">
        <v>4.0</v>
      </c>
      <c r="Z36" t="inlineStr">
        <is>
          <t>Active ingredient</t>
        </is>
      </c>
      <c r="AA36"/>
      <c r="AB36" t="n">
        <v>1.0</v>
      </c>
      <c r="AC36"/>
      <c r="AD36"/>
      <c r="AE36"/>
      <c r="AF36"/>
      <c r="AG36" t="inlineStr">
        <is>
          <t>AI mg/L</t>
        </is>
      </c>
      <c r="AH36"/>
      <c r="AI36"/>
      <c r="AJ36"/>
      <c r="AK36"/>
      <c r="AL36"/>
      <c r="AM36"/>
      <c r="AN36"/>
      <c r="AO36"/>
      <c r="AP36"/>
      <c r="AQ36"/>
      <c r="AR36"/>
      <c r="AS36"/>
      <c r="AT36"/>
      <c r="AU36"/>
      <c r="AV36"/>
      <c r="AW36"/>
      <c r="AX36" t="inlineStr">
        <is>
          <t>Accumulation</t>
        </is>
      </c>
      <c r="AY36" t="inlineStr">
        <is>
          <t>Residue</t>
        </is>
      </c>
      <c r="AZ36" t="inlineStr">
        <is>
          <t>BCF</t>
        </is>
      </c>
      <c r="BA36" t="inlineStr">
        <is>
          <t>Whole organism</t>
        </is>
      </c>
      <c r="BB36"/>
      <c r="BC36" t="n">
        <v>40.0</v>
      </c>
      <c r="BD36"/>
      <c r="BE36"/>
      <c r="BF36"/>
      <c r="BG36"/>
      <c r="BH36" t="inlineStr">
        <is>
          <t>Day(s)</t>
        </is>
      </c>
      <c r="BI36"/>
      <c r="BJ36"/>
      <c r="BK36" t="inlineStr">
        <is>
          <t>&gt;</t>
        </is>
      </c>
      <c r="BL36" t="n">
        <v>10.0</v>
      </c>
      <c r="BM36" t="inlineStr">
        <is>
          <t>&lt;</t>
        </is>
      </c>
      <c r="BN36" t="n">
        <v>100.0</v>
      </c>
      <c r="BO36" t="inlineStr">
        <is>
          <t>RA</t>
        </is>
      </c>
      <c r="BP36"/>
      <c r="BQ36"/>
      <c r="BR36"/>
      <c r="BS36"/>
      <c r="BT36"/>
      <c r="BU36"/>
      <c r="BV36"/>
      <c r="BW36"/>
      <c r="BX36"/>
      <c r="BY36"/>
      <c r="BZ36"/>
      <c r="CA36"/>
      <c r="CB36"/>
      <c r="CC36"/>
      <c r="CD36" t="inlineStr">
        <is>
          <t>Hoover,G.M., M.F. Chislock, B.J. Tornabene, S.C. Guffey, Y.J. Choi, C. De Perre, J.T. Hoverman, L.S. Lee, and M.S. Sepu</t>
        </is>
      </c>
      <c r="CE36" t="n">
        <v>176982.0</v>
      </c>
      <c r="CF36" t="inlineStr">
        <is>
          <t>Uptake and Depuration of Four Per/Polyfluoroalkyl Substances (PFASs) in Northern Leopard Frog Rana pipiens Tadpoles</t>
        </is>
      </c>
      <c r="CG36" t="inlineStr">
        <is>
          <t>Environ. Sci. Technol. Lett.4(10): 399-403</t>
        </is>
      </c>
      <c r="CH36" t="n">
        <v>2017.0</v>
      </c>
      <c r="CI36"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7">
      <c r="A37" t="n">
        <v>1763231.0</v>
      </c>
      <c r="B37" t="inlineStr">
        <is>
          <t>1,1,2,2,3,3,4,4,5,5,6,6,7,7,8,8,8-Heptadecafluoro-1-octanesulfonic acid</t>
        </is>
      </c>
      <c r="C37"/>
      <c r="D37" t="inlineStr">
        <is>
          <t>Chemical analysis reported</t>
        </is>
      </c>
      <c r="E37" t="inlineStr">
        <is>
          <t>&gt;=</t>
        </is>
      </c>
      <c r="F37" t="n">
        <v>98.0</v>
      </c>
      <c r="G37"/>
      <c r="H37"/>
      <c r="I37"/>
      <c r="J37"/>
      <c r="K37" t="inlineStr">
        <is>
          <t>Lithobates pipiens</t>
        </is>
      </c>
      <c r="L37" t="inlineStr">
        <is>
          <t>Leopard Frog</t>
        </is>
      </c>
      <c r="M37" t="inlineStr">
        <is>
          <t>Amphibians; Standard Test Species</t>
        </is>
      </c>
      <c r="N37" t="inlineStr">
        <is>
          <t>Tadpole</t>
        </is>
      </c>
      <c r="O37"/>
      <c r="P37" t="n">
        <v>26.0</v>
      </c>
      <c r="Q37"/>
      <c r="R37"/>
      <c r="S37"/>
      <c r="T37"/>
      <c r="U37" t="inlineStr">
        <is>
          <t>Gosner stage</t>
        </is>
      </c>
      <c r="V37" t="inlineStr">
        <is>
          <t>Renewal</t>
        </is>
      </c>
      <c r="W37" t="inlineStr">
        <is>
          <t>Fresh water</t>
        </is>
      </c>
      <c r="X37" t="inlineStr">
        <is>
          <t>Lab</t>
        </is>
      </c>
      <c r="Y37" t="n">
        <v>4.0</v>
      </c>
      <c r="Z37" t="inlineStr">
        <is>
          <t>Active ingredient</t>
        </is>
      </c>
      <c r="AA37"/>
      <c r="AB37" t="n">
        <v>1.0</v>
      </c>
      <c r="AC37"/>
      <c r="AD37"/>
      <c r="AE37"/>
      <c r="AF37"/>
      <c r="AG37" t="inlineStr">
        <is>
          <t>AI mg/L</t>
        </is>
      </c>
      <c r="AH37"/>
      <c r="AI37"/>
      <c r="AJ37"/>
      <c r="AK37"/>
      <c r="AL37"/>
      <c r="AM37"/>
      <c r="AN37"/>
      <c r="AO37"/>
      <c r="AP37"/>
      <c r="AQ37"/>
      <c r="AR37"/>
      <c r="AS37"/>
      <c r="AT37"/>
      <c r="AU37"/>
      <c r="AV37"/>
      <c r="AW37"/>
      <c r="AX37" t="inlineStr">
        <is>
          <t>Accumulation</t>
        </is>
      </c>
      <c r="AY37" t="inlineStr">
        <is>
          <t>Residue</t>
        </is>
      </c>
      <c r="AZ37" t="inlineStr">
        <is>
          <t>BCF</t>
        </is>
      </c>
      <c r="BA37" t="inlineStr">
        <is>
          <t>Whole organism</t>
        </is>
      </c>
      <c r="BB37"/>
      <c r="BC37" t="n">
        <v>20.0</v>
      </c>
      <c r="BD37"/>
      <c r="BE37"/>
      <c r="BF37"/>
      <c r="BG37"/>
      <c r="BH37" t="inlineStr">
        <is>
          <t>Day(s)</t>
        </is>
      </c>
      <c r="BI37"/>
      <c r="BJ37"/>
      <c r="BK37" t="inlineStr">
        <is>
          <t>&gt;</t>
        </is>
      </c>
      <c r="BL37" t="n">
        <v>10.0</v>
      </c>
      <c r="BM37" t="inlineStr">
        <is>
          <t>&lt;</t>
        </is>
      </c>
      <c r="BN37" t="n">
        <v>100.0</v>
      </c>
      <c r="BO37" t="inlineStr">
        <is>
          <t>RA</t>
        </is>
      </c>
      <c r="BP37"/>
      <c r="BQ37"/>
      <c r="BR37"/>
      <c r="BS37"/>
      <c r="BT37"/>
      <c r="BU37"/>
      <c r="BV37"/>
      <c r="BW37"/>
      <c r="BX37"/>
      <c r="BY37"/>
      <c r="BZ37"/>
      <c r="CA37"/>
      <c r="CB37"/>
      <c r="CC37"/>
      <c r="CD37" t="inlineStr">
        <is>
          <t>Hoover,G.M., M.F. Chislock, B.J. Tornabene, S.C. Guffey, Y.J. Choi, C. De Perre, J.T. Hoverman, L.S. Lee, and M.S. Sepu</t>
        </is>
      </c>
      <c r="CE37" t="n">
        <v>176982.0</v>
      </c>
      <c r="CF37" t="inlineStr">
        <is>
          <t>Uptake and Depuration of Four Per/Polyfluoroalkyl Substances (PFASs) in Northern Leopard Frog Rana pipiens Tadpoles</t>
        </is>
      </c>
      <c r="CG37" t="inlineStr">
        <is>
          <t>Environ. Sci. Technol. Lett.4(10): 399-403</t>
        </is>
      </c>
      <c r="CH37" t="n">
        <v>2017.0</v>
      </c>
      <c r="CI37"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8">
      <c r="A38" t="n">
        <v>1763231.0</v>
      </c>
      <c r="B38" t="inlineStr">
        <is>
          <t>1,1,2,2,3,3,4,4,5,5,6,6,7,7,8,8,8-Heptadecafluoro-1-octanesulfonic acid</t>
        </is>
      </c>
      <c r="C38"/>
      <c r="D38" t="inlineStr">
        <is>
          <t>Chemical analysis reported</t>
        </is>
      </c>
      <c r="E38" t="inlineStr">
        <is>
          <t>&gt;=</t>
        </is>
      </c>
      <c r="F38" t="n">
        <v>98.0</v>
      </c>
      <c r="G38"/>
      <c r="H38"/>
      <c r="I38"/>
      <c r="J38"/>
      <c r="K38" t="inlineStr">
        <is>
          <t>Lithobates pipiens</t>
        </is>
      </c>
      <c r="L38" t="inlineStr">
        <is>
          <t>Leopard Frog</t>
        </is>
      </c>
      <c r="M38" t="inlineStr">
        <is>
          <t>Amphibians; Standard Test Species</t>
        </is>
      </c>
      <c r="N38" t="inlineStr">
        <is>
          <t>Tadpole</t>
        </is>
      </c>
      <c r="O38"/>
      <c r="P38" t="n">
        <v>26.0</v>
      </c>
      <c r="Q38"/>
      <c r="R38"/>
      <c r="S38"/>
      <c r="T38"/>
      <c r="U38" t="inlineStr">
        <is>
          <t>Gosner stage</t>
        </is>
      </c>
      <c r="V38" t="inlineStr">
        <is>
          <t>Renewal</t>
        </is>
      </c>
      <c r="W38" t="inlineStr">
        <is>
          <t>Fresh water</t>
        </is>
      </c>
      <c r="X38" t="inlineStr">
        <is>
          <t>Lab</t>
        </is>
      </c>
      <c r="Y38" t="n">
        <v>4.0</v>
      </c>
      <c r="Z38" t="inlineStr">
        <is>
          <t>Active ingredient</t>
        </is>
      </c>
      <c r="AA38"/>
      <c r="AB38" t="n">
        <v>0.1</v>
      </c>
      <c r="AC38"/>
      <c r="AD38"/>
      <c r="AE38"/>
      <c r="AF38"/>
      <c r="AG38" t="inlineStr">
        <is>
          <t>AI mg/L</t>
        </is>
      </c>
      <c r="AH38"/>
      <c r="AI38"/>
      <c r="AJ38"/>
      <c r="AK38"/>
      <c r="AL38"/>
      <c r="AM38"/>
      <c r="AN38"/>
      <c r="AO38"/>
      <c r="AP38"/>
      <c r="AQ38"/>
      <c r="AR38"/>
      <c r="AS38"/>
      <c r="AT38"/>
      <c r="AU38"/>
      <c r="AV38"/>
      <c r="AW38"/>
      <c r="AX38" t="inlineStr">
        <is>
          <t>Accumulation</t>
        </is>
      </c>
      <c r="AY38" t="inlineStr">
        <is>
          <t>Residue</t>
        </is>
      </c>
      <c r="AZ38" t="inlineStr">
        <is>
          <t>BCF</t>
        </is>
      </c>
      <c r="BA38" t="inlineStr">
        <is>
          <t>Whole organism</t>
        </is>
      </c>
      <c r="BB38"/>
      <c r="BC38" t="n">
        <v>30.0</v>
      </c>
      <c r="BD38"/>
      <c r="BE38"/>
      <c r="BF38"/>
      <c r="BG38"/>
      <c r="BH38" t="inlineStr">
        <is>
          <t>Day(s)</t>
        </is>
      </c>
      <c r="BI38"/>
      <c r="BJ38"/>
      <c r="BK38" t="inlineStr">
        <is>
          <t>&gt;</t>
        </is>
      </c>
      <c r="BL38" t="n">
        <v>10.0</v>
      </c>
      <c r="BM38" t="inlineStr">
        <is>
          <t>&lt;</t>
        </is>
      </c>
      <c r="BN38" t="n">
        <v>100.0</v>
      </c>
      <c r="BO38" t="inlineStr">
        <is>
          <t>RA</t>
        </is>
      </c>
      <c r="BP38"/>
      <c r="BQ38"/>
      <c r="BR38"/>
      <c r="BS38"/>
      <c r="BT38"/>
      <c r="BU38"/>
      <c r="BV38"/>
      <c r="BW38"/>
      <c r="BX38"/>
      <c r="BY38"/>
      <c r="BZ38"/>
      <c r="CA38"/>
      <c r="CB38"/>
      <c r="CC38"/>
      <c r="CD38" t="inlineStr">
        <is>
          <t>Hoover,G.M., M.F. Chislock, B.J. Tornabene, S.C. Guffey, Y.J. Choi, C. De Perre, J.T. Hoverman, L.S. Lee, and M.S. Sepu</t>
        </is>
      </c>
      <c r="CE38" t="n">
        <v>176982.0</v>
      </c>
      <c r="CF38" t="inlineStr">
        <is>
          <t>Uptake and Depuration of Four Per/Polyfluoroalkyl Substances (PFASs) in Northern Leopard Frog Rana pipiens Tadpoles</t>
        </is>
      </c>
      <c r="CG38" t="inlineStr">
        <is>
          <t>Environ. Sci. Technol. Lett.4(10): 399-403</t>
        </is>
      </c>
      <c r="CH38" t="n">
        <v>2017.0</v>
      </c>
      <c r="CI38"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9">
      <c r="A39" t="n">
        <v>1763231.0</v>
      </c>
      <c r="B39" t="inlineStr">
        <is>
          <t>1,1,2,2,3,3,4,4,5,5,6,6,7,7,8,8,8-Heptadecafluoro-1-octanesulfonic acid</t>
        </is>
      </c>
      <c r="C39"/>
      <c r="D39" t="inlineStr">
        <is>
          <t>Chemical analysis reported</t>
        </is>
      </c>
      <c r="E39" t="inlineStr">
        <is>
          <t>&gt;=</t>
        </is>
      </c>
      <c r="F39" t="n">
        <v>98.0</v>
      </c>
      <c r="G39"/>
      <c r="H39"/>
      <c r="I39"/>
      <c r="J39"/>
      <c r="K39" t="inlineStr">
        <is>
          <t>Lithobates pipiens</t>
        </is>
      </c>
      <c r="L39" t="inlineStr">
        <is>
          <t>Leopard Frog</t>
        </is>
      </c>
      <c r="M39" t="inlineStr">
        <is>
          <t>Amphibians; Standard Test Species</t>
        </is>
      </c>
      <c r="N39" t="inlineStr">
        <is>
          <t>Tadpole</t>
        </is>
      </c>
      <c r="O39"/>
      <c r="P39" t="n">
        <v>26.0</v>
      </c>
      <c r="Q39"/>
      <c r="R39"/>
      <c r="S39"/>
      <c r="T39"/>
      <c r="U39" t="inlineStr">
        <is>
          <t>Gosner stage</t>
        </is>
      </c>
      <c r="V39" t="inlineStr">
        <is>
          <t>Renewal</t>
        </is>
      </c>
      <c r="W39" t="inlineStr">
        <is>
          <t>Fresh water</t>
        </is>
      </c>
      <c r="X39" t="inlineStr">
        <is>
          <t>Lab</t>
        </is>
      </c>
      <c r="Y39" t="n">
        <v>4.0</v>
      </c>
      <c r="Z39" t="inlineStr">
        <is>
          <t>Active ingredient</t>
        </is>
      </c>
      <c r="AA39"/>
      <c r="AB39" t="n">
        <v>0.1</v>
      </c>
      <c r="AC39"/>
      <c r="AD39"/>
      <c r="AE39"/>
      <c r="AF39"/>
      <c r="AG39" t="inlineStr">
        <is>
          <t>AI mg/L</t>
        </is>
      </c>
      <c r="AH39"/>
      <c r="AI39"/>
      <c r="AJ39"/>
      <c r="AK39"/>
      <c r="AL39"/>
      <c r="AM39"/>
      <c r="AN39"/>
      <c r="AO39"/>
      <c r="AP39"/>
      <c r="AQ39"/>
      <c r="AR39"/>
      <c r="AS39"/>
      <c r="AT39"/>
      <c r="AU39"/>
      <c r="AV39"/>
      <c r="AW39"/>
      <c r="AX39" t="inlineStr">
        <is>
          <t>Accumulation</t>
        </is>
      </c>
      <c r="AY39" t="inlineStr">
        <is>
          <t>Residue</t>
        </is>
      </c>
      <c r="AZ39" t="inlineStr">
        <is>
          <t>BCF</t>
        </is>
      </c>
      <c r="BA39" t="inlineStr">
        <is>
          <t>Whole organism</t>
        </is>
      </c>
      <c r="BB39"/>
      <c r="BC39" t="n">
        <v>40.0</v>
      </c>
      <c r="BD39"/>
      <c r="BE39"/>
      <c r="BF39"/>
      <c r="BG39"/>
      <c r="BH39" t="inlineStr">
        <is>
          <t>Day(s)</t>
        </is>
      </c>
      <c r="BI39"/>
      <c r="BJ39"/>
      <c r="BK39" t="inlineStr">
        <is>
          <t>&gt;</t>
        </is>
      </c>
      <c r="BL39" t="n">
        <v>10.0</v>
      </c>
      <c r="BM39" t="inlineStr">
        <is>
          <t>&lt;</t>
        </is>
      </c>
      <c r="BN39" t="n">
        <v>100.0</v>
      </c>
      <c r="BO39" t="inlineStr">
        <is>
          <t>RA</t>
        </is>
      </c>
      <c r="BP39"/>
      <c r="BQ39"/>
      <c r="BR39"/>
      <c r="BS39"/>
      <c r="BT39"/>
      <c r="BU39"/>
      <c r="BV39"/>
      <c r="BW39"/>
      <c r="BX39"/>
      <c r="BY39"/>
      <c r="BZ39"/>
      <c r="CA39"/>
      <c r="CB39"/>
      <c r="CC39"/>
      <c r="CD39" t="inlineStr">
        <is>
          <t>Hoover,G.M., M.F. Chislock, B.J. Tornabene, S.C. Guffey, Y.J. Choi, C. De Perre, J.T. Hoverman, L.S. Lee, and M.S. Sepu</t>
        </is>
      </c>
      <c r="CE39" t="n">
        <v>176982.0</v>
      </c>
      <c r="CF39" t="inlineStr">
        <is>
          <t>Uptake and Depuration of Four Per/Polyfluoroalkyl Substances (PFASs) in Northern Leopard Frog Rana pipiens Tadpoles</t>
        </is>
      </c>
      <c r="CG39" t="inlineStr">
        <is>
          <t>Environ. Sci. Technol. Lett.4(10): 399-403</t>
        </is>
      </c>
      <c r="CH39" t="n">
        <v>2017.0</v>
      </c>
      <c r="CI39"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0">
      <c r="A40" t="n">
        <v>1763231.0</v>
      </c>
      <c r="B40" t="inlineStr">
        <is>
          <t>1,1,2,2,3,3,4,4,5,5,6,6,7,7,8,8,8-Heptadecafluoro-1-octanesulfonic acid</t>
        </is>
      </c>
      <c r="C40"/>
      <c r="D40" t="inlineStr">
        <is>
          <t>Chemical analysis reported</t>
        </is>
      </c>
      <c r="E40" t="inlineStr">
        <is>
          <t>&gt;=</t>
        </is>
      </c>
      <c r="F40" t="n">
        <v>98.0</v>
      </c>
      <c r="G40"/>
      <c r="H40"/>
      <c r="I40"/>
      <c r="J40"/>
      <c r="K40" t="inlineStr">
        <is>
          <t>Lithobates pipiens</t>
        </is>
      </c>
      <c r="L40" t="inlineStr">
        <is>
          <t>Leopard Frog</t>
        </is>
      </c>
      <c r="M40" t="inlineStr">
        <is>
          <t>Amphibians; Standard Test Species</t>
        </is>
      </c>
      <c r="N40" t="inlineStr">
        <is>
          <t>Tadpole</t>
        </is>
      </c>
      <c r="O40"/>
      <c r="P40" t="n">
        <v>26.0</v>
      </c>
      <c r="Q40"/>
      <c r="R40"/>
      <c r="S40"/>
      <c r="T40"/>
      <c r="U40" t="inlineStr">
        <is>
          <t>Gosner stage</t>
        </is>
      </c>
      <c r="V40" t="inlineStr">
        <is>
          <t>Renewal</t>
        </is>
      </c>
      <c r="W40" t="inlineStr">
        <is>
          <t>Fresh water</t>
        </is>
      </c>
      <c r="X40" t="inlineStr">
        <is>
          <t>Lab</t>
        </is>
      </c>
      <c r="Y40" t="n">
        <v>4.0</v>
      </c>
      <c r="Z40" t="inlineStr">
        <is>
          <t>Active ingredient</t>
        </is>
      </c>
      <c r="AA40"/>
      <c r="AB40" t="n">
        <v>1.0</v>
      </c>
      <c r="AC40"/>
      <c r="AD40"/>
      <c r="AE40"/>
      <c r="AF40"/>
      <c r="AG40" t="inlineStr">
        <is>
          <t>AI mg/L</t>
        </is>
      </c>
      <c r="AH40"/>
      <c r="AI40"/>
      <c r="AJ40"/>
      <c r="AK40"/>
      <c r="AL40"/>
      <c r="AM40"/>
      <c r="AN40"/>
      <c r="AO40"/>
      <c r="AP40"/>
      <c r="AQ40"/>
      <c r="AR40"/>
      <c r="AS40"/>
      <c r="AT40"/>
      <c r="AU40"/>
      <c r="AV40"/>
      <c r="AW40"/>
      <c r="AX40" t="inlineStr">
        <is>
          <t>Accumulation</t>
        </is>
      </c>
      <c r="AY40" t="inlineStr">
        <is>
          <t>Residue</t>
        </is>
      </c>
      <c r="AZ40" t="inlineStr">
        <is>
          <t>BCF</t>
        </is>
      </c>
      <c r="BA40" t="inlineStr">
        <is>
          <t>Whole organism</t>
        </is>
      </c>
      <c r="BB40"/>
      <c r="BC40" t="n">
        <v>30.0</v>
      </c>
      <c r="BD40"/>
      <c r="BE40"/>
      <c r="BF40"/>
      <c r="BG40"/>
      <c r="BH40" t="inlineStr">
        <is>
          <t>Day(s)</t>
        </is>
      </c>
      <c r="BI40"/>
      <c r="BJ40"/>
      <c r="BK40" t="inlineStr">
        <is>
          <t>&gt;</t>
        </is>
      </c>
      <c r="BL40" t="n">
        <v>10.0</v>
      </c>
      <c r="BM40" t="inlineStr">
        <is>
          <t>&lt;</t>
        </is>
      </c>
      <c r="BN40" t="n">
        <v>100.0</v>
      </c>
      <c r="BO40" t="inlineStr">
        <is>
          <t>RA</t>
        </is>
      </c>
      <c r="BP40"/>
      <c r="BQ40"/>
      <c r="BR40"/>
      <c r="BS40"/>
      <c r="BT40"/>
      <c r="BU40"/>
      <c r="BV40"/>
      <c r="BW40"/>
      <c r="BX40"/>
      <c r="BY40"/>
      <c r="BZ40"/>
      <c r="CA40"/>
      <c r="CB40"/>
      <c r="CC40"/>
      <c r="CD40" t="inlineStr">
        <is>
          <t>Hoover,G.M., M.F. Chislock, B.J. Tornabene, S.C. Guffey, Y.J. Choi, C. De Perre, J.T. Hoverman, L.S. Lee, and M.S. Sepu</t>
        </is>
      </c>
      <c r="CE40" t="n">
        <v>176982.0</v>
      </c>
      <c r="CF40" t="inlineStr">
        <is>
          <t>Uptake and Depuration of Four Per/Polyfluoroalkyl Substances (PFASs) in Northern Leopard Frog Rana pipiens Tadpoles</t>
        </is>
      </c>
      <c r="CG40" t="inlineStr">
        <is>
          <t>Environ. Sci. Technol. Lett.4(10): 399-403</t>
        </is>
      </c>
      <c r="CH40" t="n">
        <v>2017.0</v>
      </c>
      <c r="CI40"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1">
      <c r="A41" t="n">
        <v>1763231.0</v>
      </c>
      <c r="B41" t="inlineStr">
        <is>
          <t>1,1,2,2,3,3,4,4,5,5,6,6,7,7,8,8,8-Heptadecafluoro-1-octanesulfonic acid</t>
        </is>
      </c>
      <c r="C41"/>
      <c r="D41" t="inlineStr">
        <is>
          <t>Measured</t>
        </is>
      </c>
      <c r="E41" t="inlineStr">
        <is>
          <t>&gt;=</t>
        </is>
      </c>
      <c r="F41" t="n">
        <v>98.0</v>
      </c>
      <c r="G41"/>
      <c r="H41"/>
      <c r="I41"/>
      <c r="J41"/>
      <c r="K41" t="inlineStr">
        <is>
          <t>Lithobates pipiens</t>
        </is>
      </c>
      <c r="L41" t="inlineStr">
        <is>
          <t>Leopard Frog</t>
        </is>
      </c>
      <c r="M41" t="inlineStr">
        <is>
          <t>Amphibians; Standard Test Species</t>
        </is>
      </c>
      <c r="N41" t="inlineStr">
        <is>
          <t>Tadpole</t>
        </is>
      </c>
      <c r="O41"/>
      <c r="P41"/>
      <c r="Q41"/>
      <c r="R41" t="n">
        <v>26.0</v>
      </c>
      <c r="S41"/>
      <c r="T41" t="n">
        <v>28.0</v>
      </c>
      <c r="U41" t="inlineStr">
        <is>
          <t>Gosner stage</t>
        </is>
      </c>
      <c r="V41" t="inlineStr">
        <is>
          <t>Renewal</t>
        </is>
      </c>
      <c r="W41" t="inlineStr">
        <is>
          <t>Fresh water</t>
        </is>
      </c>
      <c r="X41" t="inlineStr">
        <is>
          <t>Lab</t>
        </is>
      </c>
      <c r="Y41" t="n">
        <v>3.0</v>
      </c>
      <c r="Z41" t="inlineStr">
        <is>
          <t>Active ingredient</t>
        </is>
      </c>
      <c r="AA41"/>
      <c r="AB41"/>
      <c r="AC41"/>
      <c r="AD41" t="n">
        <v>0.69159</v>
      </c>
      <c r="AE41"/>
      <c r="AF41" t="n">
        <v>0.70351</v>
      </c>
      <c r="AG41" t="inlineStr">
        <is>
          <t>AI mg/L</t>
        </is>
      </c>
      <c r="AH41"/>
      <c r="AI41"/>
      <c r="AJ41"/>
      <c r="AK41"/>
      <c r="AL41"/>
      <c r="AM41"/>
      <c r="AN41"/>
      <c r="AO41"/>
      <c r="AP41"/>
      <c r="AQ41"/>
      <c r="AR41"/>
      <c r="AS41"/>
      <c r="AT41"/>
      <c r="AU41"/>
      <c r="AV41"/>
      <c r="AW41"/>
      <c r="AX41" t="inlineStr">
        <is>
          <t>Accumulation</t>
        </is>
      </c>
      <c r="AY41" t="inlineStr">
        <is>
          <t>Residue</t>
        </is>
      </c>
      <c r="AZ41" t="inlineStr">
        <is>
          <t>BCF</t>
        </is>
      </c>
      <c r="BA41" t="inlineStr">
        <is>
          <t>Whole organism</t>
        </is>
      </c>
      <c r="BB41"/>
      <c r="BC41" t="n">
        <v>10.0</v>
      </c>
      <c r="BD41"/>
      <c r="BE41"/>
      <c r="BF41"/>
      <c r="BG41"/>
      <c r="BH41" t="inlineStr">
        <is>
          <t>Day(s)</t>
        </is>
      </c>
      <c r="BI41"/>
      <c r="BJ41" t="n">
        <v>70.0</v>
      </c>
      <c r="BK41"/>
      <c r="BL41"/>
      <c r="BM41"/>
      <c r="BN41"/>
      <c r="BO41" t="inlineStr">
        <is>
          <t>RA</t>
        </is>
      </c>
      <c r="BP41"/>
      <c r="BQ41"/>
      <c r="BR41"/>
      <c r="BS41"/>
      <c r="BT41"/>
      <c r="BU41"/>
      <c r="BV41"/>
      <c r="BW41"/>
      <c r="BX41"/>
      <c r="BY41"/>
      <c r="BZ41"/>
      <c r="CA41"/>
      <c r="CB41"/>
      <c r="CC41"/>
      <c r="CD41" t="inlineStr">
        <is>
          <t>Abercrombie,S.A., C. De Perre, Y.J. Choi, B.J. Tornabene, M.S. Sepulveda, L.S. Lee, and J.T. Hoverman</t>
        </is>
      </c>
      <c r="CE41" t="n">
        <v>179520.0</v>
      </c>
      <c r="CF41" t="inlineStr">
        <is>
          <t>Larval Amphibians Rapidly Bioaccumulate Poly- and Perfluoroalkyl Substances</t>
        </is>
      </c>
      <c r="CG41" t="inlineStr">
        <is>
          <t>Ecotoxicol. Environ. Saf.178:137-145</t>
        </is>
      </c>
      <c r="CH41" t="n">
        <v>2019.0</v>
      </c>
      <c r="CI41" t="inlineStr">
        <is>
          <t>Abercrombie,S.A., C. De Perre, Y.J. Choi, B.J. Tornabene, M.S. Sepulveda, L.S. Lee, and J.T. Hoverman (2019). Larval Amphibians Rapidly Bioaccumulate Poly- and Perfluoroalkyl Substances. Ecotoxicol. Environ. Saf., 178, 137-145. doi:10.1016/j.ecoenv.2019.04.022. ECOREF#:179520</t>
        </is>
      </c>
    </row>
    <row r="42">
      <c r="A42" t="n">
        <v>1763231.0</v>
      </c>
      <c r="B42" t="inlineStr">
        <is>
          <t>1,1,2,2,3,3,4,4,5,5,6,6,7,7,8,8,8-Heptadecafluoro-1-octanesulfonic acid</t>
        </is>
      </c>
      <c r="C42"/>
      <c r="D42" t="inlineStr">
        <is>
          <t>Chemical analysis reported</t>
        </is>
      </c>
      <c r="E42" t="inlineStr">
        <is>
          <t>&gt;=</t>
        </is>
      </c>
      <c r="F42" t="n">
        <v>98.0</v>
      </c>
      <c r="G42"/>
      <c r="H42"/>
      <c r="I42"/>
      <c r="J42"/>
      <c r="K42" t="inlineStr">
        <is>
          <t>Lithobates pipiens</t>
        </is>
      </c>
      <c r="L42" t="inlineStr">
        <is>
          <t>Leopard Frog</t>
        </is>
      </c>
      <c r="M42" t="inlineStr">
        <is>
          <t>Amphibians; Standard Test Species</t>
        </is>
      </c>
      <c r="N42" t="inlineStr">
        <is>
          <t>Tadpole</t>
        </is>
      </c>
      <c r="O42"/>
      <c r="P42" t="n">
        <v>26.0</v>
      </c>
      <c r="Q42"/>
      <c r="R42"/>
      <c r="S42"/>
      <c r="T42"/>
      <c r="U42" t="inlineStr">
        <is>
          <t>Gosner stage</t>
        </is>
      </c>
      <c r="V42" t="inlineStr">
        <is>
          <t>Renewal</t>
        </is>
      </c>
      <c r="W42" t="inlineStr">
        <is>
          <t>Fresh water</t>
        </is>
      </c>
      <c r="X42" t="inlineStr">
        <is>
          <t>Lab</t>
        </is>
      </c>
      <c r="Y42" t="n">
        <v>4.0</v>
      </c>
      <c r="Z42" t="inlineStr">
        <is>
          <t>Active ingredient</t>
        </is>
      </c>
      <c r="AA42"/>
      <c r="AB42" t="n">
        <v>0.01</v>
      </c>
      <c r="AC42"/>
      <c r="AD42"/>
      <c r="AE42"/>
      <c r="AF42"/>
      <c r="AG42" t="inlineStr">
        <is>
          <t>AI mg/L</t>
        </is>
      </c>
      <c r="AH42"/>
      <c r="AI42"/>
      <c r="AJ42"/>
      <c r="AK42"/>
      <c r="AL42"/>
      <c r="AM42"/>
      <c r="AN42"/>
      <c r="AO42"/>
      <c r="AP42"/>
      <c r="AQ42"/>
      <c r="AR42"/>
      <c r="AS42"/>
      <c r="AT42"/>
      <c r="AU42"/>
      <c r="AV42"/>
      <c r="AW42"/>
      <c r="AX42" t="inlineStr">
        <is>
          <t>Accumulation</t>
        </is>
      </c>
      <c r="AY42" t="inlineStr">
        <is>
          <t>Residue</t>
        </is>
      </c>
      <c r="AZ42" t="inlineStr">
        <is>
          <t>BCF</t>
        </is>
      </c>
      <c r="BA42" t="inlineStr">
        <is>
          <t>Whole organism</t>
        </is>
      </c>
      <c r="BB42"/>
      <c r="BC42" t="n">
        <v>10.0</v>
      </c>
      <c r="BD42"/>
      <c r="BE42"/>
      <c r="BF42"/>
      <c r="BG42"/>
      <c r="BH42" t="inlineStr">
        <is>
          <t>Day(s)</t>
        </is>
      </c>
      <c r="BI42" t="inlineStr">
        <is>
          <t>~</t>
        </is>
      </c>
      <c r="BJ42" t="n">
        <v>100.0</v>
      </c>
      <c r="BK42"/>
      <c r="BL42"/>
      <c r="BM42"/>
      <c r="BN42"/>
      <c r="BO42" t="inlineStr">
        <is>
          <t>RA</t>
        </is>
      </c>
      <c r="BP42"/>
      <c r="BQ42"/>
      <c r="BR42"/>
      <c r="BS42"/>
      <c r="BT42"/>
      <c r="BU42"/>
      <c r="BV42"/>
      <c r="BW42"/>
      <c r="BX42"/>
      <c r="BY42"/>
      <c r="BZ42"/>
      <c r="CA42"/>
      <c r="CB42"/>
      <c r="CC42"/>
      <c r="CD42" t="inlineStr">
        <is>
          <t>Hoover,G.M., M.F. Chislock, B.J. Tornabene, S.C. Guffey, Y.J. Choi, C. De Perre, J.T. Hoverman, L.S. Lee, and M.S. Sepu</t>
        </is>
      </c>
      <c r="CE42" t="n">
        <v>176982.0</v>
      </c>
      <c r="CF42" t="inlineStr">
        <is>
          <t>Uptake and Depuration of Four Per/Polyfluoroalkyl Substances (PFASs) in Northern Leopard Frog Rana pipiens Tadpoles</t>
        </is>
      </c>
      <c r="CG42" t="inlineStr">
        <is>
          <t>Environ. Sci. Technol. Lett.4(10): 399-403</t>
        </is>
      </c>
      <c r="CH42" t="n">
        <v>2017.0</v>
      </c>
      <c r="CI42"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3">
      <c r="A43" t="n">
        <v>1763231.0</v>
      </c>
      <c r="B43" t="inlineStr">
        <is>
          <t>1,1,2,2,3,3,4,4,5,5,6,6,7,7,8,8,8-Heptadecafluoro-1-octanesulfonic acid</t>
        </is>
      </c>
      <c r="C43"/>
      <c r="D43" t="inlineStr">
        <is>
          <t>Chemical analysis reported</t>
        </is>
      </c>
      <c r="E43" t="inlineStr">
        <is>
          <t>&gt;=</t>
        </is>
      </c>
      <c r="F43" t="n">
        <v>98.0</v>
      </c>
      <c r="G43"/>
      <c r="H43"/>
      <c r="I43"/>
      <c r="J43"/>
      <c r="K43" t="inlineStr">
        <is>
          <t>Lithobates pipiens</t>
        </is>
      </c>
      <c r="L43" t="inlineStr">
        <is>
          <t>Leopard Frog</t>
        </is>
      </c>
      <c r="M43" t="inlineStr">
        <is>
          <t>Amphibians; Standard Test Species</t>
        </is>
      </c>
      <c r="N43" t="inlineStr">
        <is>
          <t>Tadpole</t>
        </is>
      </c>
      <c r="O43"/>
      <c r="P43" t="n">
        <v>26.0</v>
      </c>
      <c r="Q43"/>
      <c r="R43"/>
      <c r="S43"/>
      <c r="T43"/>
      <c r="U43" t="inlineStr">
        <is>
          <t>Gosner stage</t>
        </is>
      </c>
      <c r="V43" t="inlineStr">
        <is>
          <t>Renewal</t>
        </is>
      </c>
      <c r="W43" t="inlineStr">
        <is>
          <t>Fresh water</t>
        </is>
      </c>
      <c r="X43" t="inlineStr">
        <is>
          <t>Lab</t>
        </is>
      </c>
      <c r="Y43" t="n">
        <v>4.0</v>
      </c>
      <c r="Z43" t="inlineStr">
        <is>
          <t>Active ingredient</t>
        </is>
      </c>
      <c r="AA43"/>
      <c r="AB43" t="n">
        <v>1.0</v>
      </c>
      <c r="AC43"/>
      <c r="AD43"/>
      <c r="AE43"/>
      <c r="AF43"/>
      <c r="AG43" t="inlineStr">
        <is>
          <t>AI mg/L</t>
        </is>
      </c>
      <c r="AH43"/>
      <c r="AI43"/>
      <c r="AJ43"/>
      <c r="AK43"/>
      <c r="AL43"/>
      <c r="AM43"/>
      <c r="AN43"/>
      <c r="AO43"/>
      <c r="AP43"/>
      <c r="AQ43"/>
      <c r="AR43"/>
      <c r="AS43"/>
      <c r="AT43"/>
      <c r="AU43"/>
      <c r="AV43"/>
      <c r="AW43"/>
      <c r="AX43" t="inlineStr">
        <is>
          <t>Accumulation</t>
        </is>
      </c>
      <c r="AY43" t="inlineStr">
        <is>
          <t>Residue</t>
        </is>
      </c>
      <c r="AZ43" t="inlineStr">
        <is>
          <t>BCF</t>
        </is>
      </c>
      <c r="BA43" t="inlineStr">
        <is>
          <t>Whole organism</t>
        </is>
      </c>
      <c r="BB43"/>
      <c r="BC43" t="n">
        <v>10.0</v>
      </c>
      <c r="BD43"/>
      <c r="BE43"/>
      <c r="BF43"/>
      <c r="BG43"/>
      <c r="BH43" t="inlineStr">
        <is>
          <t>Day(s)</t>
        </is>
      </c>
      <c r="BI43" t="inlineStr">
        <is>
          <t>~</t>
        </is>
      </c>
      <c r="BJ43" t="n">
        <v>100.0</v>
      </c>
      <c r="BK43"/>
      <c r="BL43"/>
      <c r="BM43"/>
      <c r="BN43"/>
      <c r="BO43" t="inlineStr">
        <is>
          <t>RA</t>
        </is>
      </c>
      <c r="BP43"/>
      <c r="BQ43"/>
      <c r="BR43"/>
      <c r="BS43"/>
      <c r="BT43"/>
      <c r="BU43"/>
      <c r="BV43"/>
      <c r="BW43"/>
      <c r="BX43"/>
      <c r="BY43"/>
      <c r="BZ43"/>
      <c r="CA43"/>
      <c r="CB43"/>
      <c r="CC43"/>
      <c r="CD43" t="inlineStr">
        <is>
          <t>Hoover,G.M., M.F. Chislock, B.J. Tornabene, S.C. Guffey, Y.J. Choi, C. De Perre, J.T. Hoverman, L.S. Lee, and M.S. Sepu</t>
        </is>
      </c>
      <c r="CE43" t="n">
        <v>176982.0</v>
      </c>
      <c r="CF43" t="inlineStr">
        <is>
          <t>Uptake and Depuration of Four Per/Polyfluoroalkyl Substances (PFASs) in Northern Leopard Frog Rana pipiens Tadpoles</t>
        </is>
      </c>
      <c r="CG43" t="inlineStr">
        <is>
          <t>Environ. Sci. Technol. Lett.4(10): 399-403</t>
        </is>
      </c>
      <c r="CH43" t="n">
        <v>2017.0</v>
      </c>
      <c r="CI43"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4">
      <c r="A44" t="n">
        <v>1763231.0</v>
      </c>
      <c r="B44" t="inlineStr">
        <is>
          <t>1,1,2,2,3,3,4,4,5,5,6,6,7,7,8,8,8-Heptadecafluoro-1-octanesulfonic acid</t>
        </is>
      </c>
      <c r="C44"/>
      <c r="D44" t="inlineStr">
        <is>
          <t>Chemical analysis reported</t>
        </is>
      </c>
      <c r="E44" t="inlineStr">
        <is>
          <t>&gt;=</t>
        </is>
      </c>
      <c r="F44" t="n">
        <v>98.0</v>
      </c>
      <c r="G44"/>
      <c r="H44"/>
      <c r="I44"/>
      <c r="J44"/>
      <c r="K44" t="inlineStr">
        <is>
          <t>Lithobates pipiens</t>
        </is>
      </c>
      <c r="L44" t="inlineStr">
        <is>
          <t>Leopard Frog</t>
        </is>
      </c>
      <c r="M44" t="inlineStr">
        <is>
          <t>Amphibians; Standard Test Species</t>
        </is>
      </c>
      <c r="N44" t="inlineStr">
        <is>
          <t>Tadpole</t>
        </is>
      </c>
      <c r="O44"/>
      <c r="P44" t="n">
        <v>26.0</v>
      </c>
      <c r="Q44"/>
      <c r="R44"/>
      <c r="S44"/>
      <c r="T44"/>
      <c r="U44" t="inlineStr">
        <is>
          <t>Gosner stage</t>
        </is>
      </c>
      <c r="V44" t="inlineStr">
        <is>
          <t>Renewal</t>
        </is>
      </c>
      <c r="W44" t="inlineStr">
        <is>
          <t>Fresh water</t>
        </is>
      </c>
      <c r="X44" t="inlineStr">
        <is>
          <t>Lab</t>
        </is>
      </c>
      <c r="Y44" t="n">
        <v>4.0</v>
      </c>
      <c r="Z44" t="inlineStr">
        <is>
          <t>Active ingredient</t>
        </is>
      </c>
      <c r="AA44"/>
      <c r="AB44" t="n">
        <v>0.01</v>
      </c>
      <c r="AC44"/>
      <c r="AD44"/>
      <c r="AE44"/>
      <c r="AF44"/>
      <c r="AG44" t="inlineStr">
        <is>
          <t>AI mg/L</t>
        </is>
      </c>
      <c r="AH44"/>
      <c r="AI44"/>
      <c r="AJ44"/>
      <c r="AK44"/>
      <c r="AL44"/>
      <c r="AM44"/>
      <c r="AN44"/>
      <c r="AO44"/>
      <c r="AP44"/>
      <c r="AQ44"/>
      <c r="AR44"/>
      <c r="AS44"/>
      <c r="AT44"/>
      <c r="AU44"/>
      <c r="AV44"/>
      <c r="AW44"/>
      <c r="AX44" t="inlineStr">
        <is>
          <t>Accumulation</t>
        </is>
      </c>
      <c r="AY44" t="inlineStr">
        <is>
          <t>Residue</t>
        </is>
      </c>
      <c r="AZ44" t="inlineStr">
        <is>
          <t>BCF</t>
        </is>
      </c>
      <c r="BA44" t="inlineStr">
        <is>
          <t>Whole organism</t>
        </is>
      </c>
      <c r="BB44"/>
      <c r="BC44" t="n">
        <v>20.0</v>
      </c>
      <c r="BD44"/>
      <c r="BE44"/>
      <c r="BF44"/>
      <c r="BG44"/>
      <c r="BH44" t="inlineStr">
        <is>
          <t>Day(s)</t>
        </is>
      </c>
      <c r="BI44" t="inlineStr">
        <is>
          <t>~</t>
        </is>
      </c>
      <c r="BJ44" t="n">
        <v>100.0</v>
      </c>
      <c r="BK44"/>
      <c r="BL44"/>
      <c r="BM44"/>
      <c r="BN44"/>
      <c r="BO44" t="inlineStr">
        <is>
          <t>RA</t>
        </is>
      </c>
      <c r="BP44"/>
      <c r="BQ44"/>
      <c r="BR44"/>
      <c r="BS44"/>
      <c r="BT44"/>
      <c r="BU44"/>
      <c r="BV44"/>
      <c r="BW44"/>
      <c r="BX44"/>
      <c r="BY44"/>
      <c r="BZ44"/>
      <c r="CA44"/>
      <c r="CB44"/>
      <c r="CC44"/>
      <c r="CD44" t="inlineStr">
        <is>
          <t>Hoover,G.M., M.F. Chislock, B.J. Tornabene, S.C. Guffey, Y.J. Choi, C. De Perre, J.T. Hoverman, L.S. Lee, and M.S. Sepu</t>
        </is>
      </c>
      <c r="CE44" t="n">
        <v>176982.0</v>
      </c>
      <c r="CF44" t="inlineStr">
        <is>
          <t>Uptake and Depuration of Four Per/Polyfluoroalkyl Substances (PFASs) in Northern Leopard Frog Rana pipiens Tadpoles</t>
        </is>
      </c>
      <c r="CG44" t="inlineStr">
        <is>
          <t>Environ. Sci. Technol. Lett.4(10): 399-403</t>
        </is>
      </c>
      <c r="CH44" t="n">
        <v>2017.0</v>
      </c>
      <c r="CI44"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5">
      <c r="A45" t="n">
        <v>1763231.0</v>
      </c>
      <c r="B45" t="inlineStr">
        <is>
          <t>1,1,2,2,3,3,4,4,5,5,6,6,7,7,8,8,8-Heptadecafluoro-1-octanesulfonic acid</t>
        </is>
      </c>
      <c r="C45"/>
      <c r="D45" t="inlineStr">
        <is>
          <t>Chemical analysis reported</t>
        </is>
      </c>
      <c r="E45" t="inlineStr">
        <is>
          <t>&gt;=</t>
        </is>
      </c>
      <c r="F45" t="n">
        <v>98.0</v>
      </c>
      <c r="G45"/>
      <c r="H45"/>
      <c r="I45"/>
      <c r="J45"/>
      <c r="K45" t="inlineStr">
        <is>
          <t>Lithobates pipiens</t>
        </is>
      </c>
      <c r="L45" t="inlineStr">
        <is>
          <t>Leopard Frog</t>
        </is>
      </c>
      <c r="M45" t="inlineStr">
        <is>
          <t>Amphibians; Standard Test Species</t>
        </is>
      </c>
      <c r="N45" t="inlineStr">
        <is>
          <t>Tadpole</t>
        </is>
      </c>
      <c r="O45"/>
      <c r="P45" t="n">
        <v>26.0</v>
      </c>
      <c r="Q45"/>
      <c r="R45"/>
      <c r="S45"/>
      <c r="T45"/>
      <c r="U45" t="inlineStr">
        <is>
          <t>Gosner stage</t>
        </is>
      </c>
      <c r="V45" t="inlineStr">
        <is>
          <t>Renewal</t>
        </is>
      </c>
      <c r="W45" t="inlineStr">
        <is>
          <t>Fresh water</t>
        </is>
      </c>
      <c r="X45" t="inlineStr">
        <is>
          <t>Lab</t>
        </is>
      </c>
      <c r="Y45" t="n">
        <v>4.0</v>
      </c>
      <c r="Z45" t="inlineStr">
        <is>
          <t>Active ingredient</t>
        </is>
      </c>
      <c r="AA45"/>
      <c r="AB45" t="n">
        <v>0.01</v>
      </c>
      <c r="AC45"/>
      <c r="AD45"/>
      <c r="AE45"/>
      <c r="AF45"/>
      <c r="AG45" t="inlineStr">
        <is>
          <t>AI mg/L</t>
        </is>
      </c>
      <c r="AH45"/>
      <c r="AI45"/>
      <c r="AJ45"/>
      <c r="AK45"/>
      <c r="AL45"/>
      <c r="AM45"/>
      <c r="AN45"/>
      <c r="AO45"/>
      <c r="AP45"/>
      <c r="AQ45"/>
      <c r="AR45"/>
      <c r="AS45"/>
      <c r="AT45"/>
      <c r="AU45"/>
      <c r="AV45"/>
      <c r="AW45"/>
      <c r="AX45" t="inlineStr">
        <is>
          <t>Accumulation</t>
        </is>
      </c>
      <c r="AY45" t="inlineStr">
        <is>
          <t>Residue</t>
        </is>
      </c>
      <c r="AZ45" t="inlineStr">
        <is>
          <t>BCF</t>
        </is>
      </c>
      <c r="BA45" t="inlineStr">
        <is>
          <t>Whole organism</t>
        </is>
      </c>
      <c r="BB45"/>
      <c r="BC45" t="n">
        <v>40.0</v>
      </c>
      <c r="BD45"/>
      <c r="BE45"/>
      <c r="BF45"/>
      <c r="BG45"/>
      <c r="BH45" t="inlineStr">
        <is>
          <t>Day(s)</t>
        </is>
      </c>
      <c r="BI45" t="inlineStr">
        <is>
          <t>~</t>
        </is>
      </c>
      <c r="BJ45" t="n">
        <v>100.0</v>
      </c>
      <c r="BK45"/>
      <c r="BL45"/>
      <c r="BM45"/>
      <c r="BN45"/>
      <c r="BO45" t="inlineStr">
        <is>
          <t>RA</t>
        </is>
      </c>
      <c r="BP45"/>
      <c r="BQ45"/>
      <c r="BR45"/>
      <c r="BS45"/>
      <c r="BT45"/>
      <c r="BU45"/>
      <c r="BV45"/>
      <c r="BW45"/>
      <c r="BX45"/>
      <c r="BY45"/>
      <c r="BZ45"/>
      <c r="CA45"/>
      <c r="CB45"/>
      <c r="CC45"/>
      <c r="CD45" t="inlineStr">
        <is>
          <t>Hoover,G.M., M.F. Chislock, B.J. Tornabene, S.C. Guffey, Y.J. Choi, C. De Perre, J.T. Hoverman, L.S. Lee, and M.S. Sepu</t>
        </is>
      </c>
      <c r="CE45" t="n">
        <v>176982.0</v>
      </c>
      <c r="CF45" t="inlineStr">
        <is>
          <t>Uptake and Depuration of Four Per/Polyfluoroalkyl Substances (PFASs) in Northern Leopard Frog Rana pipiens Tadpoles</t>
        </is>
      </c>
      <c r="CG45" t="inlineStr">
        <is>
          <t>Environ. Sci. Technol. Lett.4(10): 399-403</t>
        </is>
      </c>
      <c r="CH45" t="n">
        <v>2017.0</v>
      </c>
      <c r="CI45"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6">
      <c r="A46" t="n">
        <v>1763231.0</v>
      </c>
      <c r="B46" t="inlineStr">
        <is>
          <t>1,1,2,2,3,3,4,4,5,5,6,6,7,7,8,8,8-Heptadecafluoro-1-octanesulfonic acid</t>
        </is>
      </c>
      <c r="C46"/>
      <c r="D46" t="inlineStr">
        <is>
          <t>Chemical analysis reported</t>
        </is>
      </c>
      <c r="E46" t="inlineStr">
        <is>
          <t>&gt;=</t>
        </is>
      </c>
      <c r="F46" t="n">
        <v>98.0</v>
      </c>
      <c r="G46"/>
      <c r="H46"/>
      <c r="I46"/>
      <c r="J46"/>
      <c r="K46" t="inlineStr">
        <is>
          <t>Lithobates pipiens</t>
        </is>
      </c>
      <c r="L46" t="inlineStr">
        <is>
          <t>Leopard Frog</t>
        </is>
      </c>
      <c r="M46" t="inlineStr">
        <is>
          <t>Amphibians; Standard Test Species</t>
        </is>
      </c>
      <c r="N46" t="inlineStr">
        <is>
          <t>Tadpole</t>
        </is>
      </c>
      <c r="O46"/>
      <c r="P46" t="n">
        <v>26.0</v>
      </c>
      <c r="Q46"/>
      <c r="R46"/>
      <c r="S46"/>
      <c r="T46"/>
      <c r="U46" t="inlineStr">
        <is>
          <t>Gosner stage</t>
        </is>
      </c>
      <c r="V46" t="inlineStr">
        <is>
          <t>Renewal</t>
        </is>
      </c>
      <c r="W46" t="inlineStr">
        <is>
          <t>Fresh water</t>
        </is>
      </c>
      <c r="X46" t="inlineStr">
        <is>
          <t>Lab</t>
        </is>
      </c>
      <c r="Y46" t="n">
        <v>4.0</v>
      </c>
      <c r="Z46" t="inlineStr">
        <is>
          <t>Active ingredient</t>
        </is>
      </c>
      <c r="AA46"/>
      <c r="AB46" t="n">
        <v>0.1</v>
      </c>
      <c r="AC46"/>
      <c r="AD46"/>
      <c r="AE46"/>
      <c r="AF46"/>
      <c r="AG46" t="inlineStr">
        <is>
          <t>AI mg/L</t>
        </is>
      </c>
      <c r="AH46"/>
      <c r="AI46"/>
      <c r="AJ46"/>
      <c r="AK46"/>
      <c r="AL46"/>
      <c r="AM46"/>
      <c r="AN46"/>
      <c r="AO46"/>
      <c r="AP46"/>
      <c r="AQ46"/>
      <c r="AR46"/>
      <c r="AS46"/>
      <c r="AT46"/>
      <c r="AU46"/>
      <c r="AV46"/>
      <c r="AW46"/>
      <c r="AX46" t="inlineStr">
        <is>
          <t>Accumulation</t>
        </is>
      </c>
      <c r="AY46" t="inlineStr">
        <is>
          <t>Residue</t>
        </is>
      </c>
      <c r="AZ46" t="inlineStr">
        <is>
          <t>BCF</t>
        </is>
      </c>
      <c r="BA46" t="inlineStr">
        <is>
          <t>Whole organism</t>
        </is>
      </c>
      <c r="BB46"/>
      <c r="BC46" t="n">
        <v>10.0</v>
      </c>
      <c r="BD46"/>
      <c r="BE46"/>
      <c r="BF46"/>
      <c r="BG46"/>
      <c r="BH46" t="inlineStr">
        <is>
          <t>Day(s)</t>
        </is>
      </c>
      <c r="BI46" t="inlineStr">
        <is>
          <t>~</t>
        </is>
      </c>
      <c r="BJ46" t="n">
        <v>100.0</v>
      </c>
      <c r="BK46"/>
      <c r="BL46"/>
      <c r="BM46"/>
      <c r="BN46"/>
      <c r="BO46" t="inlineStr">
        <is>
          <t>RA</t>
        </is>
      </c>
      <c r="BP46"/>
      <c r="BQ46"/>
      <c r="BR46"/>
      <c r="BS46"/>
      <c r="BT46"/>
      <c r="BU46"/>
      <c r="BV46"/>
      <c r="BW46"/>
      <c r="BX46"/>
      <c r="BY46"/>
      <c r="BZ46"/>
      <c r="CA46"/>
      <c r="CB46"/>
      <c r="CC46"/>
      <c r="CD46" t="inlineStr">
        <is>
          <t>Hoover,G.M., M.F. Chislock, B.J. Tornabene, S.C. Guffey, Y.J. Choi, C. De Perre, J.T. Hoverman, L.S. Lee, and M.S. Sepu</t>
        </is>
      </c>
      <c r="CE46" t="n">
        <v>176982.0</v>
      </c>
      <c r="CF46" t="inlineStr">
        <is>
          <t>Uptake and Depuration of Four Per/Polyfluoroalkyl Substances (PFASs) in Northern Leopard Frog Rana pipiens Tadpoles</t>
        </is>
      </c>
      <c r="CG46" t="inlineStr">
        <is>
          <t>Environ. Sci. Technol. Lett.4(10): 399-403</t>
        </is>
      </c>
      <c r="CH46" t="n">
        <v>2017.0</v>
      </c>
      <c r="CI46"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7">
      <c r="A47" t="n">
        <v>1763231.0</v>
      </c>
      <c r="B47" t="inlineStr">
        <is>
          <t>1,1,2,2,3,3,4,4,5,5,6,6,7,7,8,8,8-Heptadecafluoro-1-octanesulfonic acid</t>
        </is>
      </c>
      <c r="C47"/>
      <c r="D47" t="inlineStr">
        <is>
          <t>Chemical analysis reported</t>
        </is>
      </c>
      <c r="E47" t="inlineStr">
        <is>
          <t>&gt;=</t>
        </is>
      </c>
      <c r="F47" t="n">
        <v>98.0</v>
      </c>
      <c r="G47"/>
      <c r="H47"/>
      <c r="I47"/>
      <c r="J47"/>
      <c r="K47" t="inlineStr">
        <is>
          <t>Lithobates pipiens</t>
        </is>
      </c>
      <c r="L47" t="inlineStr">
        <is>
          <t>Leopard Frog</t>
        </is>
      </c>
      <c r="M47" t="inlineStr">
        <is>
          <t>Amphibians; Standard Test Species</t>
        </is>
      </c>
      <c r="N47" t="inlineStr">
        <is>
          <t>Tadpole</t>
        </is>
      </c>
      <c r="O47"/>
      <c r="P47" t="n">
        <v>26.0</v>
      </c>
      <c r="Q47"/>
      <c r="R47"/>
      <c r="S47"/>
      <c r="T47"/>
      <c r="U47" t="inlineStr">
        <is>
          <t>Gosner stage</t>
        </is>
      </c>
      <c r="V47" t="inlineStr">
        <is>
          <t>Renewal</t>
        </is>
      </c>
      <c r="W47" t="inlineStr">
        <is>
          <t>Fresh water</t>
        </is>
      </c>
      <c r="X47" t="inlineStr">
        <is>
          <t>Lab</t>
        </is>
      </c>
      <c r="Y47" t="n">
        <v>4.0</v>
      </c>
      <c r="Z47" t="inlineStr">
        <is>
          <t>Active ingredient</t>
        </is>
      </c>
      <c r="AA47"/>
      <c r="AB47" t="n">
        <v>0.01</v>
      </c>
      <c r="AC47"/>
      <c r="AD47"/>
      <c r="AE47"/>
      <c r="AF47"/>
      <c r="AG47" t="inlineStr">
        <is>
          <t>AI mg/L</t>
        </is>
      </c>
      <c r="AH47"/>
      <c r="AI47"/>
      <c r="AJ47"/>
      <c r="AK47"/>
      <c r="AL47"/>
      <c r="AM47"/>
      <c r="AN47"/>
      <c r="AO47"/>
      <c r="AP47"/>
      <c r="AQ47"/>
      <c r="AR47"/>
      <c r="AS47"/>
      <c r="AT47"/>
      <c r="AU47"/>
      <c r="AV47"/>
      <c r="AW47"/>
      <c r="AX47" t="inlineStr">
        <is>
          <t>Accumulation</t>
        </is>
      </c>
      <c r="AY47" t="inlineStr">
        <is>
          <t>Residue</t>
        </is>
      </c>
      <c r="AZ47" t="inlineStr">
        <is>
          <t>BCF</t>
        </is>
      </c>
      <c r="BA47" t="inlineStr">
        <is>
          <t>Whole organism</t>
        </is>
      </c>
      <c r="BB47"/>
      <c r="BC47" t="n">
        <v>30.0</v>
      </c>
      <c r="BD47"/>
      <c r="BE47"/>
      <c r="BF47"/>
      <c r="BG47"/>
      <c r="BH47" t="inlineStr">
        <is>
          <t>Day(s)</t>
        </is>
      </c>
      <c r="BI47" t="inlineStr">
        <is>
          <t>~</t>
        </is>
      </c>
      <c r="BJ47" t="n">
        <v>100.0</v>
      </c>
      <c r="BK47"/>
      <c r="BL47"/>
      <c r="BM47"/>
      <c r="BN47"/>
      <c r="BO47" t="inlineStr">
        <is>
          <t>RA</t>
        </is>
      </c>
      <c r="BP47"/>
      <c r="BQ47"/>
      <c r="BR47"/>
      <c r="BS47"/>
      <c r="BT47"/>
      <c r="BU47"/>
      <c r="BV47"/>
      <c r="BW47"/>
      <c r="BX47"/>
      <c r="BY47"/>
      <c r="BZ47"/>
      <c r="CA47"/>
      <c r="CB47"/>
      <c r="CC47"/>
      <c r="CD47" t="inlineStr">
        <is>
          <t>Hoover,G.M., M.F. Chislock, B.J. Tornabene, S.C. Guffey, Y.J. Choi, C. De Perre, J.T. Hoverman, L.S. Lee, and M.S. Sepu</t>
        </is>
      </c>
      <c r="CE47" t="n">
        <v>176982.0</v>
      </c>
      <c r="CF47" t="inlineStr">
        <is>
          <t>Uptake and Depuration of Four Per/Polyfluoroalkyl Substances (PFASs) in Northern Leopard Frog Rana pipiens Tadpoles</t>
        </is>
      </c>
      <c r="CG47" t="inlineStr">
        <is>
          <t>Environ. Sci. Technol. Lett.4(10): 399-403</t>
        </is>
      </c>
      <c r="CH47" t="n">
        <v>2017.0</v>
      </c>
      <c r="CI47"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8">
      <c r="A48" t="n">
        <v>1763231.0</v>
      </c>
      <c r="B48" t="inlineStr">
        <is>
          <t>1,1,2,2,3,3,4,4,5,5,6,6,7,7,8,8,8-Heptadecafluoro-1-octanesulfonic acid</t>
        </is>
      </c>
      <c r="C48"/>
      <c r="D48" t="inlineStr">
        <is>
          <t>Measured</t>
        </is>
      </c>
      <c r="E48" t="inlineStr">
        <is>
          <t>&gt;=</t>
        </is>
      </c>
      <c r="F48" t="n">
        <v>98.0</v>
      </c>
      <c r="G48"/>
      <c r="H48"/>
      <c r="I48"/>
      <c r="J48"/>
      <c r="K48" t="inlineStr">
        <is>
          <t>Lithobates pipiens</t>
        </is>
      </c>
      <c r="L48" t="inlineStr">
        <is>
          <t>Leopard Frog</t>
        </is>
      </c>
      <c r="M48" t="inlineStr">
        <is>
          <t>Amphibians; Standard Test Species</t>
        </is>
      </c>
      <c r="N48" t="inlineStr">
        <is>
          <t>Tadpole</t>
        </is>
      </c>
      <c r="O48"/>
      <c r="P48"/>
      <c r="Q48"/>
      <c r="R48" t="n">
        <v>26.0</v>
      </c>
      <c r="S48"/>
      <c r="T48" t="n">
        <v>28.0</v>
      </c>
      <c r="U48" t="inlineStr">
        <is>
          <t>Gosner stage</t>
        </is>
      </c>
      <c r="V48" t="inlineStr">
        <is>
          <t>Renewal</t>
        </is>
      </c>
      <c r="W48" t="inlineStr">
        <is>
          <t>Fresh water</t>
        </is>
      </c>
      <c r="X48" t="inlineStr">
        <is>
          <t>Lab</t>
        </is>
      </c>
      <c r="Y48" t="n">
        <v>3.0</v>
      </c>
      <c r="Z48" t="inlineStr">
        <is>
          <t>Active ingredient</t>
        </is>
      </c>
      <c r="AA48"/>
      <c r="AB48"/>
      <c r="AC48"/>
      <c r="AD48" t="n">
        <v>0.00584</v>
      </c>
      <c r="AE48"/>
      <c r="AF48" t="n">
        <v>0.00635</v>
      </c>
      <c r="AG48" t="inlineStr">
        <is>
          <t>AI mg/L</t>
        </is>
      </c>
      <c r="AH48"/>
      <c r="AI48"/>
      <c r="AJ48"/>
      <c r="AK48"/>
      <c r="AL48"/>
      <c r="AM48"/>
      <c r="AN48"/>
      <c r="AO48"/>
      <c r="AP48"/>
      <c r="AQ48"/>
      <c r="AR48"/>
      <c r="AS48"/>
      <c r="AT48"/>
      <c r="AU48"/>
      <c r="AV48"/>
      <c r="AW48"/>
      <c r="AX48" t="inlineStr">
        <is>
          <t>Accumulation</t>
        </is>
      </c>
      <c r="AY48" t="inlineStr">
        <is>
          <t>Residue</t>
        </is>
      </c>
      <c r="AZ48" t="inlineStr">
        <is>
          <t>BCF</t>
        </is>
      </c>
      <c r="BA48" t="inlineStr">
        <is>
          <t>Whole organism</t>
        </is>
      </c>
      <c r="BB48"/>
      <c r="BC48" t="n">
        <v>10.0</v>
      </c>
      <c r="BD48"/>
      <c r="BE48"/>
      <c r="BF48"/>
      <c r="BG48"/>
      <c r="BH48" t="inlineStr">
        <is>
          <t>Day(s)</t>
        </is>
      </c>
      <c r="BI48"/>
      <c r="BJ48" t="n">
        <v>114.0</v>
      </c>
      <c r="BK48"/>
      <c r="BL48"/>
      <c r="BM48"/>
      <c r="BN48"/>
      <c r="BO48" t="inlineStr">
        <is>
          <t>RA</t>
        </is>
      </c>
      <c r="BP48"/>
      <c r="BQ48"/>
      <c r="BR48"/>
      <c r="BS48"/>
      <c r="BT48"/>
      <c r="BU48"/>
      <c r="BV48"/>
      <c r="BW48"/>
      <c r="BX48"/>
      <c r="BY48"/>
      <c r="BZ48"/>
      <c r="CA48"/>
      <c r="CB48"/>
      <c r="CC48"/>
      <c r="CD48" t="inlineStr">
        <is>
          <t>Abercrombie,S.A., C. De Perre, Y.J. Choi, B.J. Tornabene, M.S. Sepulveda, L.S. Lee, and J.T. Hoverman</t>
        </is>
      </c>
      <c r="CE48" t="n">
        <v>179520.0</v>
      </c>
      <c r="CF48" t="inlineStr">
        <is>
          <t>Larval Amphibians Rapidly Bioaccumulate Poly- and Perfluoroalkyl Substances</t>
        </is>
      </c>
      <c r="CG48" t="inlineStr">
        <is>
          <t>Ecotoxicol. Environ. Saf.178:137-145</t>
        </is>
      </c>
      <c r="CH48" t="n">
        <v>2019.0</v>
      </c>
      <c r="CI48" t="inlineStr">
        <is>
          <t>Abercrombie,S.A., C. De Perre, Y.J. Choi, B.J. Tornabene, M.S. Sepulveda, L.S. Lee, and J.T. Hoverman (2019). Larval Amphibians Rapidly Bioaccumulate Poly- and Perfluoroalkyl Substances. Ecotoxicol. Environ. Saf., 178, 137-145. doi:10.1016/j.ecoenv.2019.04.022. ECOREF#:179520</t>
        </is>
      </c>
    </row>
    <row r="49">
      <c r="A49" t="n">
        <v>1763231.0</v>
      </c>
      <c r="B49" t="inlineStr">
        <is>
          <t>1,1,2,2,3,3,4,4,5,5,6,6,7,7,8,8,8-Heptadecafluoro-1-octanesulfonic acid</t>
        </is>
      </c>
      <c r="C49"/>
      <c r="D49" t="inlineStr">
        <is>
          <t>Measured</t>
        </is>
      </c>
      <c r="E49"/>
      <c r="F49"/>
      <c r="G49"/>
      <c r="H49"/>
      <c r="I49"/>
      <c r="J49"/>
      <c r="K49" t="inlineStr">
        <is>
          <t>Lithobates pipiens</t>
        </is>
      </c>
      <c r="L49" t="inlineStr">
        <is>
          <t>Leopard Frog</t>
        </is>
      </c>
      <c r="M49" t="inlineStr">
        <is>
          <t>Amphibians; Standard Test Species</t>
        </is>
      </c>
      <c r="N49" t="inlineStr">
        <is>
          <t>Larva</t>
        </is>
      </c>
      <c r="O49"/>
      <c r="P49" t="n">
        <v>25.0</v>
      </c>
      <c r="Q49"/>
      <c r="R49"/>
      <c r="S49"/>
      <c r="T49"/>
      <c r="U49" t="inlineStr">
        <is>
          <t>Growing season</t>
        </is>
      </c>
      <c r="V49" t="inlineStr">
        <is>
          <t xml:space="preserve">Lentic </t>
        </is>
      </c>
      <c r="W49" t="inlineStr">
        <is>
          <t>Fresh water</t>
        </is>
      </c>
      <c r="X49" t="inlineStr">
        <is>
          <t>Field artificial</t>
        </is>
      </c>
      <c r="Y49" t="n">
        <v>2.0</v>
      </c>
      <c r="Z49" t="inlineStr">
        <is>
          <t>Active ingredient</t>
        </is>
      </c>
      <c r="AA49"/>
      <c r="AB49" t="n">
        <v>0.0128</v>
      </c>
      <c r="AC49"/>
      <c r="AD49"/>
      <c r="AE49"/>
      <c r="AF49"/>
      <c r="AG49" t="inlineStr">
        <is>
          <t>AI mg/L</t>
        </is>
      </c>
      <c r="AH49"/>
      <c r="AI49"/>
      <c r="AJ49"/>
      <c r="AK49"/>
      <c r="AL49"/>
      <c r="AM49"/>
      <c r="AN49"/>
      <c r="AO49"/>
      <c r="AP49"/>
      <c r="AQ49"/>
      <c r="AR49"/>
      <c r="AS49"/>
      <c r="AT49"/>
      <c r="AU49"/>
      <c r="AV49"/>
      <c r="AW49"/>
      <c r="AX49" t="inlineStr">
        <is>
          <t>Accumulation</t>
        </is>
      </c>
      <c r="AY49" t="inlineStr">
        <is>
          <t>Residue</t>
        </is>
      </c>
      <c r="AZ49" t="inlineStr">
        <is>
          <t>LOEC</t>
        </is>
      </c>
      <c r="BA49" t="inlineStr">
        <is>
          <t>Brain</t>
        </is>
      </c>
      <c r="BB49"/>
      <c r="BC49" t="n">
        <v>30.0</v>
      </c>
      <c r="BD49"/>
      <c r="BE49"/>
      <c r="BF49"/>
      <c r="BG49"/>
      <c r="BH49" t="inlineStr">
        <is>
          <t>Day(s)</t>
        </is>
      </c>
      <c r="BI49"/>
      <c r="BJ49"/>
      <c r="BK49"/>
      <c r="BL49"/>
      <c r="BM49"/>
      <c r="BN49"/>
      <c r="BO49" t="inlineStr">
        <is>
          <t>--</t>
        </is>
      </c>
      <c r="BP49"/>
      <c r="BQ49"/>
      <c r="BR49"/>
      <c r="BS49"/>
      <c r="BT49"/>
      <c r="BU49"/>
      <c r="BV49"/>
      <c r="BW49"/>
      <c r="BX49"/>
      <c r="BY49"/>
      <c r="BZ49"/>
      <c r="CA49"/>
      <c r="CB49"/>
      <c r="CC49"/>
      <c r="CD49" t="inlineStr">
        <is>
          <t>Foguth,R.M., T.D. Hoskins, G.C. Clark, M. Nelson, R.W. Flynn, C. De Perre, J.T. Hoverman, L.S. Lee, M.S. Sepulveda, and</t>
        </is>
      </c>
      <c r="CE49" t="n">
        <v>184760.0</v>
      </c>
      <c r="CF49" t="inlineStr">
        <is>
          <t>Single and Mixture Per- and Polyfluoroalkyl Substances Accumulate in Developing Northern Leopard Frog Brains and Produce Complex Neurotransmission Alterations</t>
        </is>
      </c>
      <c r="CG49" t="inlineStr">
        <is>
          <t>Neurotoxicol. Teratol.81:</t>
        </is>
      </c>
      <c r="CH49" t="n">
        <v>2020.0</v>
      </c>
      <c r="CI49" t="inlineStr">
        <is>
          <t>Foguth,R.M., T.D. Hoskins, G.C. Clark, M. Nelson, R.W. Flynn, C. De Perre, J.T. Hoverman, L.S. Lee, M.S. Sepulveda, and (2020). Single and Mixture Per- and Polyfluoroalkyl Substances Accumulate in Developing Northern Leopard Frog Brains and Produce Complex Neurotransmission Alterations. Neurotoxicol. Teratol., 81, doi:10.1016/j.ntt.2020.106907. ECOREF#:184760</t>
        </is>
      </c>
    </row>
    <row r="50">
      <c r="A50" t="n">
        <v>1763231.0</v>
      </c>
      <c r="B50" t="inlineStr">
        <is>
          <t>1,1,2,2,3,3,4,4,5,5,6,6,7,7,8,8,8-Heptadecafluoro-1-octanesulfonic acid</t>
        </is>
      </c>
      <c r="C50" t="inlineStr">
        <is>
          <t>Technical grade, technical product, technical formulation</t>
        </is>
      </c>
      <c r="D50" t="inlineStr">
        <is>
          <t>Measured</t>
        </is>
      </c>
      <c r="E50" t="inlineStr">
        <is>
          <t>&gt;=</t>
        </is>
      </c>
      <c r="F50" t="n">
        <v>98.0</v>
      </c>
      <c r="G50"/>
      <c r="H50"/>
      <c r="I50"/>
      <c r="J50"/>
      <c r="K50" t="inlineStr">
        <is>
          <t>Lithobates pipiens</t>
        </is>
      </c>
      <c r="L50" t="inlineStr">
        <is>
          <t>Leopard Frog</t>
        </is>
      </c>
      <c r="M50" t="inlineStr">
        <is>
          <t>Amphibians; Standard Test Species</t>
        </is>
      </c>
      <c r="N50" t="inlineStr">
        <is>
          <t>Tadpole</t>
        </is>
      </c>
      <c r="O50"/>
      <c r="P50" t="n">
        <v>25.0</v>
      </c>
      <c r="Q50"/>
      <c r="R50"/>
      <c r="S50"/>
      <c r="T50"/>
      <c r="U50" t="inlineStr">
        <is>
          <t>Gosner stage</t>
        </is>
      </c>
      <c r="V50" t="inlineStr">
        <is>
          <t>Renewal</t>
        </is>
      </c>
      <c r="W50" t="inlineStr">
        <is>
          <t>Fresh water</t>
        </is>
      </c>
      <c r="X50" t="inlineStr">
        <is>
          <t>Lab</t>
        </is>
      </c>
      <c r="Y50" t="n">
        <v>3.0</v>
      </c>
      <c r="Z50" t="inlineStr">
        <is>
          <t>Active ingredient</t>
        </is>
      </c>
      <c r="AA50"/>
      <c r="AB50" t="n">
        <v>9.34E-4</v>
      </c>
      <c r="AC50"/>
      <c r="AD50" t="n">
        <v>8.66E-4</v>
      </c>
      <c r="AE50"/>
      <c r="AF50" t="n">
        <v>9.87E-4</v>
      </c>
      <c r="AG50" t="inlineStr">
        <is>
          <t>AI mg/L</t>
        </is>
      </c>
      <c r="AH50"/>
      <c r="AI50"/>
      <c r="AJ50"/>
      <c r="AK50"/>
      <c r="AL50"/>
      <c r="AM50"/>
      <c r="AN50"/>
      <c r="AO50"/>
      <c r="AP50"/>
      <c r="AQ50"/>
      <c r="AR50"/>
      <c r="AS50"/>
      <c r="AT50"/>
      <c r="AU50"/>
      <c r="AV50"/>
      <c r="AW50"/>
      <c r="AX50" t="inlineStr">
        <is>
          <t>Accumulation</t>
        </is>
      </c>
      <c r="AY50" t="inlineStr">
        <is>
          <t>Residue</t>
        </is>
      </c>
      <c r="AZ50" t="inlineStr">
        <is>
          <t>LOEC</t>
        </is>
      </c>
      <c r="BA50" t="inlineStr">
        <is>
          <t>Whole organism</t>
        </is>
      </c>
      <c r="BB50"/>
      <c r="BC50" t="n">
        <v>31.0</v>
      </c>
      <c r="BD50"/>
      <c r="BE50"/>
      <c r="BF50"/>
      <c r="BG50"/>
      <c r="BH50" t="inlineStr">
        <is>
          <t>Day(s)</t>
        </is>
      </c>
      <c r="BI50"/>
      <c r="BJ50"/>
      <c r="BK50"/>
      <c r="BL50"/>
      <c r="BM50"/>
      <c r="BN50"/>
      <c r="BO50" t="inlineStr">
        <is>
          <t>--</t>
        </is>
      </c>
      <c r="BP50"/>
      <c r="BQ50"/>
      <c r="BR50"/>
      <c r="BS50"/>
      <c r="BT50"/>
      <c r="BU50"/>
      <c r="BV50"/>
      <c r="BW50"/>
      <c r="BX50"/>
      <c r="BY50"/>
      <c r="BZ50"/>
      <c r="CA50"/>
      <c r="CB50"/>
      <c r="CC50"/>
      <c r="CD50" t="inlineStr">
        <is>
          <t>Hoskins,T.D., E.B. Allmon, R.W. Flynn, L.S. Lee, Y. Choi, J.T. Hoverman, and M.S. Sepulveda</t>
        </is>
      </c>
      <c r="CE50" t="n">
        <v>189935.0</v>
      </c>
      <c r="CF50" t="inlineStr">
        <is>
          <t>An Environmentally Relevant Mixture of Perfluorooctanesulfonic Acid and Perfluorohexanesulfonic Acid Does Not Conform to Additivity in Northern Leopard Frogs Exposed Through Metamorphosis</t>
        </is>
      </c>
      <c r="CG50" t="inlineStr">
        <is>
          <t>Environ. Toxicol. Chem.41(12): 3007-3016</t>
        </is>
      </c>
      <c r="CH50" t="n">
        <v>2022.0</v>
      </c>
      <c r="CI50"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51">
      <c r="A51" t="n">
        <v>1763231.0</v>
      </c>
      <c r="B51" t="inlineStr">
        <is>
          <t>1,1,2,2,3,3,4,4,5,5,6,6,7,7,8,8,8-Heptadecafluoro-1-octanesulfonic acid</t>
        </is>
      </c>
      <c r="C51"/>
      <c r="D51" t="inlineStr">
        <is>
          <t>Measured</t>
        </is>
      </c>
      <c r="E51"/>
      <c r="F51"/>
      <c r="G51"/>
      <c r="H51"/>
      <c r="I51"/>
      <c r="J51"/>
      <c r="K51" t="inlineStr">
        <is>
          <t>Lithobates pipiens</t>
        </is>
      </c>
      <c r="L51" t="inlineStr">
        <is>
          <t>Leopard Frog</t>
        </is>
      </c>
      <c r="M51" t="inlineStr">
        <is>
          <t>Amphibians; Standard Test Species</t>
        </is>
      </c>
      <c r="N51" t="inlineStr">
        <is>
          <t>Larva</t>
        </is>
      </c>
      <c r="O51"/>
      <c r="P51" t="n">
        <v>25.0</v>
      </c>
      <c r="Q51"/>
      <c r="R51"/>
      <c r="S51"/>
      <c r="T51"/>
      <c r="U51" t="inlineStr">
        <is>
          <t>Growing season</t>
        </is>
      </c>
      <c r="V51" t="inlineStr">
        <is>
          <t xml:space="preserve">Lentic </t>
        </is>
      </c>
      <c r="W51" t="inlineStr">
        <is>
          <t>Fresh water</t>
        </is>
      </c>
      <c r="X51" t="inlineStr">
        <is>
          <t>Field artificial</t>
        </is>
      </c>
      <c r="Y51" t="n">
        <v>2.0</v>
      </c>
      <c r="Z51" t="inlineStr">
        <is>
          <t>Active ingredient</t>
        </is>
      </c>
      <c r="AA51"/>
      <c r="AB51" t="n">
        <v>0.0128</v>
      </c>
      <c r="AC51"/>
      <c r="AD51"/>
      <c r="AE51"/>
      <c r="AF51"/>
      <c r="AG51" t="inlineStr">
        <is>
          <t>AI mg/L</t>
        </is>
      </c>
      <c r="AH51"/>
      <c r="AI51"/>
      <c r="AJ51"/>
      <c r="AK51"/>
      <c r="AL51"/>
      <c r="AM51"/>
      <c r="AN51"/>
      <c r="AO51"/>
      <c r="AP51"/>
      <c r="AQ51"/>
      <c r="AR51"/>
      <c r="AS51"/>
      <c r="AT51"/>
      <c r="AU51"/>
      <c r="AV51"/>
      <c r="AW51"/>
      <c r="AX51" t="inlineStr">
        <is>
          <t>Accumulation</t>
        </is>
      </c>
      <c r="AY51" t="inlineStr">
        <is>
          <t>Residue</t>
        </is>
      </c>
      <c r="AZ51" t="inlineStr">
        <is>
          <t>LOEC</t>
        </is>
      </c>
      <c r="BA51" t="inlineStr">
        <is>
          <t>Brain</t>
        </is>
      </c>
      <c r="BB51"/>
      <c r="BC51" t="n">
        <v>46.0</v>
      </c>
      <c r="BD51"/>
      <c r="BE51"/>
      <c r="BF51"/>
      <c r="BG51"/>
      <c r="BH51" t="inlineStr">
        <is>
          <t>Growing season</t>
        </is>
      </c>
      <c r="BI51"/>
      <c r="BJ51"/>
      <c r="BK51"/>
      <c r="BL51"/>
      <c r="BM51"/>
      <c r="BN51"/>
      <c r="BO51" t="inlineStr">
        <is>
          <t>--</t>
        </is>
      </c>
      <c r="BP51"/>
      <c r="BQ51"/>
      <c r="BR51"/>
      <c r="BS51"/>
      <c r="BT51"/>
      <c r="BU51"/>
      <c r="BV51"/>
      <c r="BW51"/>
      <c r="BX51"/>
      <c r="BY51"/>
      <c r="BZ51"/>
      <c r="CA51"/>
      <c r="CB51"/>
      <c r="CC51"/>
      <c r="CD51" t="inlineStr">
        <is>
          <t>Foguth,R.M., T.D. Hoskins, G.C. Clark, M. Nelson, R.W. Flynn, C. De Perre, J.T. Hoverman, L.S. Lee, M.S. Sepulveda, and</t>
        </is>
      </c>
      <c r="CE51" t="n">
        <v>184760.0</v>
      </c>
      <c r="CF51" t="inlineStr">
        <is>
          <t>Single and Mixture Per- and Polyfluoroalkyl Substances Accumulate in Developing Northern Leopard Frog Brains and Produce Complex Neurotransmission Alterations</t>
        </is>
      </c>
      <c r="CG51" t="inlineStr">
        <is>
          <t>Neurotoxicol. Teratol.81:</t>
        </is>
      </c>
      <c r="CH51" t="n">
        <v>2020.0</v>
      </c>
      <c r="CI51" t="inlineStr">
        <is>
          <t>Foguth,R.M., T.D. Hoskins, G.C. Clark, M. Nelson, R.W. Flynn, C. De Perre, J.T. Hoverman, L.S. Lee, M.S. Sepulveda, and (2020). Single and Mixture Per- and Polyfluoroalkyl Substances Accumulate in Developing Northern Leopard Frog Brains and Produce Complex Neurotransmission Alterations. Neurotoxicol. Teratol., 81, doi:10.1016/j.ntt.2020.106907. ECOREF#:184760</t>
        </is>
      </c>
    </row>
    <row r="52">
      <c r="A52" t="n">
        <v>1763231.0</v>
      </c>
      <c r="B52" t="inlineStr">
        <is>
          <t>1,1,2,2,3,3,4,4,5,5,6,6,7,7,8,8,8-Heptadecafluoro-1-octanesulfonic acid</t>
        </is>
      </c>
      <c r="C52" t="inlineStr">
        <is>
          <t>Technical grade, technical product, technical formulation</t>
        </is>
      </c>
      <c r="D52" t="inlineStr">
        <is>
          <t>Measured</t>
        </is>
      </c>
      <c r="E52" t="inlineStr">
        <is>
          <t>&gt;=</t>
        </is>
      </c>
      <c r="F52" t="n">
        <v>98.0</v>
      </c>
      <c r="G52"/>
      <c r="H52"/>
      <c r="I52"/>
      <c r="J52"/>
      <c r="K52" t="inlineStr">
        <is>
          <t>Lithobates pipiens</t>
        </is>
      </c>
      <c r="L52" t="inlineStr">
        <is>
          <t>Leopard Frog</t>
        </is>
      </c>
      <c r="M52" t="inlineStr">
        <is>
          <t>Amphibians; Standard Test Species</t>
        </is>
      </c>
      <c r="N52" t="inlineStr">
        <is>
          <t>Tadpole</t>
        </is>
      </c>
      <c r="O52"/>
      <c r="P52" t="n">
        <v>25.0</v>
      </c>
      <c r="Q52"/>
      <c r="R52"/>
      <c r="S52"/>
      <c r="T52"/>
      <c r="U52" t="inlineStr">
        <is>
          <t>Gosner stage</t>
        </is>
      </c>
      <c r="V52" t="inlineStr">
        <is>
          <t>Renewal</t>
        </is>
      </c>
      <c r="W52" t="inlineStr">
        <is>
          <t>Fresh water</t>
        </is>
      </c>
      <c r="X52" t="inlineStr">
        <is>
          <t>Lab</t>
        </is>
      </c>
      <c r="Y52" t="n">
        <v>3.0</v>
      </c>
      <c r="Z52" t="inlineStr">
        <is>
          <t>Active ingredient</t>
        </is>
      </c>
      <c r="AA52"/>
      <c r="AB52" t="n">
        <v>5.57E-4</v>
      </c>
      <c r="AC52"/>
      <c r="AD52" t="n">
        <v>4.02E-4</v>
      </c>
      <c r="AE52"/>
      <c r="AF52" t="n">
        <v>8.29E-4</v>
      </c>
      <c r="AG52" t="inlineStr">
        <is>
          <t>AI mg/L</t>
        </is>
      </c>
      <c r="AH52"/>
      <c r="AI52"/>
      <c r="AJ52"/>
      <c r="AK52"/>
      <c r="AL52"/>
      <c r="AM52"/>
      <c r="AN52"/>
      <c r="AO52"/>
      <c r="AP52"/>
      <c r="AQ52"/>
      <c r="AR52"/>
      <c r="AS52"/>
      <c r="AT52"/>
      <c r="AU52"/>
      <c r="AV52"/>
      <c r="AW52"/>
      <c r="AX52" t="inlineStr">
        <is>
          <t>Accumulation</t>
        </is>
      </c>
      <c r="AY52" t="inlineStr">
        <is>
          <t>Residue</t>
        </is>
      </c>
      <c r="AZ52" t="inlineStr">
        <is>
          <t>LOEC</t>
        </is>
      </c>
      <c r="BA52" t="inlineStr">
        <is>
          <t>Whole organism</t>
        </is>
      </c>
      <c r="BB52"/>
      <c r="BC52"/>
      <c r="BD52"/>
      <c r="BE52" t="n">
        <v>42.0</v>
      </c>
      <c r="BF52"/>
      <c r="BG52" t="n">
        <v>46.0</v>
      </c>
      <c r="BH52" t="inlineStr">
        <is>
          <t>Gosner stage</t>
        </is>
      </c>
      <c r="BI52"/>
      <c r="BJ52"/>
      <c r="BK52"/>
      <c r="BL52"/>
      <c r="BM52"/>
      <c r="BN52"/>
      <c r="BO52" t="inlineStr">
        <is>
          <t>--</t>
        </is>
      </c>
      <c r="BP52"/>
      <c r="BQ52"/>
      <c r="BR52"/>
      <c r="BS52"/>
      <c r="BT52"/>
      <c r="BU52"/>
      <c r="BV52"/>
      <c r="BW52"/>
      <c r="BX52"/>
      <c r="BY52"/>
      <c r="BZ52"/>
      <c r="CA52"/>
      <c r="CB52"/>
      <c r="CC52"/>
      <c r="CD52" t="inlineStr">
        <is>
          <t>Hoskins,T.D., E.B. Allmon, R.W. Flynn, L.S. Lee, Y. Choi, J.T. Hoverman, and M.S. Sepulveda</t>
        </is>
      </c>
      <c r="CE52" t="n">
        <v>189935.0</v>
      </c>
      <c r="CF52" t="inlineStr">
        <is>
          <t>An Environmentally Relevant Mixture of Perfluorooctanesulfonic Acid and Perfluorohexanesulfonic Acid Does Not Conform to Additivity in Northern Leopard Frogs Exposed Through Metamorphosis</t>
        </is>
      </c>
      <c r="CG52" t="inlineStr">
        <is>
          <t>Environ. Toxicol. Chem.41(12): 3007-3016</t>
        </is>
      </c>
      <c r="CH52" t="n">
        <v>2022.0</v>
      </c>
      <c r="CI52"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53">
      <c r="A53" t="n">
        <v>1763231.0</v>
      </c>
      <c r="B53" t="inlineStr">
        <is>
          <t>1,1,2,2,3,3,4,4,5,5,6,6,7,7,8,8,8-Heptadecafluoro-1-octanesulfonic acid</t>
        </is>
      </c>
      <c r="C53" t="inlineStr">
        <is>
          <t>Technical grade, technical product, technical formulation</t>
        </is>
      </c>
      <c r="D53" t="inlineStr">
        <is>
          <t>Measured</t>
        </is>
      </c>
      <c r="E53" t="inlineStr">
        <is>
          <t>&gt;=</t>
        </is>
      </c>
      <c r="F53" t="n">
        <v>98.0</v>
      </c>
      <c r="G53"/>
      <c r="H53"/>
      <c r="I53"/>
      <c r="J53"/>
      <c r="K53" t="inlineStr">
        <is>
          <t>Lithobates pipiens</t>
        </is>
      </c>
      <c r="L53" t="inlineStr">
        <is>
          <t>Leopard Frog</t>
        </is>
      </c>
      <c r="M53" t="inlineStr">
        <is>
          <t>Amphibians; Standard Test Species</t>
        </is>
      </c>
      <c r="N53" t="inlineStr">
        <is>
          <t>Tadpole</t>
        </is>
      </c>
      <c r="O53"/>
      <c r="P53" t="n">
        <v>25.0</v>
      </c>
      <c r="Q53"/>
      <c r="R53"/>
      <c r="S53"/>
      <c r="T53"/>
      <c r="U53" t="inlineStr">
        <is>
          <t>Gosner stage</t>
        </is>
      </c>
      <c r="V53" t="inlineStr">
        <is>
          <t>Renewal</t>
        </is>
      </c>
      <c r="W53" t="inlineStr">
        <is>
          <t>Fresh water</t>
        </is>
      </c>
      <c r="X53" t="inlineStr">
        <is>
          <t>Lab</t>
        </is>
      </c>
      <c r="Y53" t="n">
        <v>3.0</v>
      </c>
      <c r="Z53" t="inlineStr">
        <is>
          <t>Active ingredient</t>
        </is>
      </c>
      <c r="AA53"/>
      <c r="AB53" t="n">
        <v>5.57E-4</v>
      </c>
      <c r="AC53"/>
      <c r="AD53" t="n">
        <v>4.02E-4</v>
      </c>
      <c r="AE53"/>
      <c r="AF53" t="n">
        <v>8.29E-4</v>
      </c>
      <c r="AG53" t="inlineStr">
        <is>
          <t>AI mg/L</t>
        </is>
      </c>
      <c r="AH53"/>
      <c r="AI53"/>
      <c r="AJ53"/>
      <c r="AK53"/>
      <c r="AL53"/>
      <c r="AM53"/>
      <c r="AN53"/>
      <c r="AO53"/>
      <c r="AP53"/>
      <c r="AQ53"/>
      <c r="AR53"/>
      <c r="AS53"/>
      <c r="AT53"/>
      <c r="AU53"/>
      <c r="AV53"/>
      <c r="AW53"/>
      <c r="AX53" t="inlineStr">
        <is>
          <t>Accumulation</t>
        </is>
      </c>
      <c r="AY53" t="inlineStr">
        <is>
          <t>Residue</t>
        </is>
      </c>
      <c r="AZ53" t="inlineStr">
        <is>
          <t>NOEC</t>
        </is>
      </c>
      <c r="BA53" t="inlineStr">
        <is>
          <t>Whole organism</t>
        </is>
      </c>
      <c r="BB53"/>
      <c r="BC53" t="n">
        <v>31.0</v>
      </c>
      <c r="BD53"/>
      <c r="BE53"/>
      <c r="BF53"/>
      <c r="BG53"/>
      <c r="BH53" t="inlineStr">
        <is>
          <t>Day(s)</t>
        </is>
      </c>
      <c r="BI53"/>
      <c r="BJ53"/>
      <c r="BK53"/>
      <c r="BL53"/>
      <c r="BM53"/>
      <c r="BN53"/>
      <c r="BO53" t="inlineStr">
        <is>
          <t>--</t>
        </is>
      </c>
      <c r="BP53"/>
      <c r="BQ53"/>
      <c r="BR53"/>
      <c r="BS53"/>
      <c r="BT53"/>
      <c r="BU53"/>
      <c r="BV53"/>
      <c r="BW53"/>
      <c r="BX53"/>
      <c r="BY53"/>
      <c r="BZ53"/>
      <c r="CA53"/>
      <c r="CB53"/>
      <c r="CC53"/>
      <c r="CD53" t="inlineStr">
        <is>
          <t>Hoskins,T.D., E.B. Allmon, R.W. Flynn, L.S. Lee, Y. Choi, J.T. Hoverman, and M.S. Sepulveda</t>
        </is>
      </c>
      <c r="CE53" t="n">
        <v>189935.0</v>
      </c>
      <c r="CF53" t="inlineStr">
        <is>
          <t>An Environmentally Relevant Mixture of Perfluorooctanesulfonic Acid and Perfluorohexanesulfonic Acid Does Not Conform to Additivity in Northern Leopard Frogs Exposed Through Metamorphosis</t>
        </is>
      </c>
      <c r="CG53" t="inlineStr">
        <is>
          <t>Environ. Toxicol. Chem.41(12): 3007-3016</t>
        </is>
      </c>
      <c r="CH53" t="n">
        <v>2022.0</v>
      </c>
      <c r="CI53"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54">
      <c r="A54" t="n">
        <v>1763231.0</v>
      </c>
      <c r="B54" t="inlineStr">
        <is>
          <t>1,1,2,2,3,3,4,4,5,5,6,6,7,7,8,8,8-Heptadecafluoro-1-octanesulfonic acid</t>
        </is>
      </c>
      <c r="C54"/>
      <c r="D54" t="inlineStr">
        <is>
          <t>Measured</t>
        </is>
      </c>
      <c r="E54"/>
      <c r="F54"/>
      <c r="G54"/>
      <c r="H54"/>
      <c r="I54"/>
      <c r="J54"/>
      <c r="K54" t="inlineStr">
        <is>
          <t>Lithobates pipiens</t>
        </is>
      </c>
      <c r="L54" t="inlineStr">
        <is>
          <t>Leopard Frog</t>
        </is>
      </c>
      <c r="M54" t="inlineStr">
        <is>
          <t>Amphibians; Standard Test Species</t>
        </is>
      </c>
      <c r="N54" t="inlineStr">
        <is>
          <t>Tadpole</t>
        </is>
      </c>
      <c r="O54"/>
      <c r="P54" t="n">
        <v>25.0</v>
      </c>
      <c r="Q54"/>
      <c r="R54"/>
      <c r="S54"/>
      <c r="T54"/>
      <c r="U54" t="inlineStr">
        <is>
          <t>Growing season</t>
        </is>
      </c>
      <c r="V54" t="inlineStr">
        <is>
          <t>Static</t>
        </is>
      </c>
      <c r="W54" t="inlineStr">
        <is>
          <t>Fresh water</t>
        </is>
      </c>
      <c r="X54" t="inlineStr">
        <is>
          <t>Lab</t>
        </is>
      </c>
      <c r="Y54" t="n">
        <v>4.0</v>
      </c>
      <c r="Z54" t="inlineStr">
        <is>
          <t>Active ingredient</t>
        </is>
      </c>
      <c r="AA54"/>
      <c r="AB54"/>
      <c r="AC54"/>
      <c r="AD54" t="n">
        <v>3.26E-5</v>
      </c>
      <c r="AE54"/>
      <c r="AF54" t="n">
        <v>0.0164</v>
      </c>
      <c r="AG54" t="inlineStr">
        <is>
          <t>AI mg/L</t>
        </is>
      </c>
      <c r="AH54"/>
      <c r="AI54"/>
      <c r="AJ54"/>
      <c r="AK54"/>
      <c r="AL54"/>
      <c r="AM54"/>
      <c r="AN54"/>
      <c r="AO54"/>
      <c r="AP54"/>
      <c r="AQ54"/>
      <c r="AR54"/>
      <c r="AS54"/>
      <c r="AT54"/>
      <c r="AU54"/>
      <c r="AV54"/>
      <c r="AW54"/>
      <c r="AX54" t="inlineStr">
        <is>
          <t>Accumulation</t>
        </is>
      </c>
      <c r="AY54" t="inlineStr">
        <is>
          <t>Residue</t>
        </is>
      </c>
      <c r="AZ54"/>
      <c r="BA54" t="inlineStr">
        <is>
          <t>Whole organism</t>
        </is>
      </c>
      <c r="BB54"/>
      <c r="BC54" t="n">
        <v>30.0</v>
      </c>
      <c r="BD54"/>
      <c r="BE54"/>
      <c r="BF54"/>
      <c r="BG54"/>
      <c r="BH54" t="inlineStr">
        <is>
          <t>Day(s)</t>
        </is>
      </c>
      <c r="BI54"/>
      <c r="BJ54"/>
      <c r="BK54"/>
      <c r="BL54"/>
      <c r="BM54"/>
      <c r="BN54"/>
      <c r="BO54" t="inlineStr">
        <is>
          <t>--</t>
        </is>
      </c>
      <c r="BP54"/>
      <c r="BQ54"/>
      <c r="BR54"/>
      <c r="BS54"/>
      <c r="BT54"/>
      <c r="BU54"/>
      <c r="BV54"/>
      <c r="BW54"/>
      <c r="BX54"/>
      <c r="BY54"/>
      <c r="BZ54"/>
      <c r="CA54"/>
      <c r="CB54"/>
      <c r="CC54"/>
      <c r="CD54" t="inlineStr">
        <is>
          <t>Foguth,R.M., R.W. Flynn, C. De Perre, M. Iacchetta, L.S. Lee, M.S. Sepulveda, and J.R. Cannon</t>
        </is>
      </c>
      <c r="CE54" t="n">
        <v>182597.0</v>
      </c>
      <c r="CF54" t="inlineStr">
        <is>
          <t>Developmental Exposure to Perfluorooctane Sulfonate (PFOS) and Perfluorooctanoic Acid (PFOA) Selectively Decreases Brain Dopamine Levels in Northern Leopard Frogs</t>
        </is>
      </c>
      <c r="CG54" t="inlineStr">
        <is>
          <t>Toxicol. Appl. Pharmacol.377:6 p.</t>
        </is>
      </c>
      <c r="CH54" t="n">
        <v>2019.0</v>
      </c>
      <c r="CI54" t="inlineStr">
        <is>
          <t>Foguth,R.M., R.W. Flynn, C. De Perre, M. Iacchetta, L.S. Lee, M.S. Sepulveda, and J.R. Cannon (2019). Developmental Exposure to Perfluorooctane Sulfonate (PFOS) and Perfluorooctanoic Acid (PFOA) Selectively Decreases Brain Dopamine Levels in Northern Leopard Frogs. Toxicol. Appl. Pharmacol., 377, 6 p. doi:10.1016/j.taap.2019.114623. ECOREF#:182597</t>
        </is>
      </c>
    </row>
    <row r="55">
      <c r="A55" t="n">
        <v>1763231.0</v>
      </c>
      <c r="B55" t="inlineStr">
        <is>
          <t>1,1,2,2,3,3,4,4,5,5,6,6,7,7,8,8,8-Heptadecafluoro-1-octanesulfonic acid</t>
        </is>
      </c>
      <c r="C55"/>
      <c r="D55" t="inlineStr">
        <is>
          <t>Measured</t>
        </is>
      </c>
      <c r="E55" t="inlineStr">
        <is>
          <t>&gt;=</t>
        </is>
      </c>
      <c r="F55" t="n">
        <v>98.0</v>
      </c>
      <c r="G55"/>
      <c r="H55"/>
      <c r="I55"/>
      <c r="J55"/>
      <c r="K55" t="inlineStr">
        <is>
          <t>Xenopus tropicalis</t>
        </is>
      </c>
      <c r="L55" t="inlineStr">
        <is>
          <t>Clawed Frog</t>
        </is>
      </c>
      <c r="M55" t="inlineStr">
        <is>
          <t>Amphibians; Standard Test Species</t>
        </is>
      </c>
      <c r="N55" t="inlineStr">
        <is>
          <t>Embryo</t>
        </is>
      </c>
      <c r="O55"/>
      <c r="P55" t="n">
        <v>10.0</v>
      </c>
      <c r="Q55"/>
      <c r="R55"/>
      <c r="S55"/>
      <c r="T55"/>
      <c r="U55" t="inlineStr">
        <is>
          <t>Nieuwkoop-faber-stage</t>
        </is>
      </c>
      <c r="V55" t="inlineStr">
        <is>
          <t>Flow-through</t>
        </is>
      </c>
      <c r="W55" t="inlineStr">
        <is>
          <t>Fresh water</t>
        </is>
      </c>
      <c r="X55" t="inlineStr">
        <is>
          <t>Lab</t>
        </is>
      </c>
      <c r="Y55" t="n">
        <v>6.0</v>
      </c>
      <c r="Z55" t="inlineStr">
        <is>
          <t>Active ingredient</t>
        </is>
      </c>
      <c r="AA55"/>
      <c r="AB55"/>
      <c r="AC55"/>
      <c r="AD55" t="n">
        <v>0.05</v>
      </c>
      <c r="AE55"/>
      <c r="AF55" t="n">
        <v>1.1</v>
      </c>
      <c r="AG55" t="inlineStr">
        <is>
          <t>AI mg/L</t>
        </is>
      </c>
      <c r="AH55"/>
      <c r="AI55"/>
      <c r="AJ55"/>
      <c r="AK55"/>
      <c r="AL55"/>
      <c r="AM55"/>
      <c r="AN55"/>
      <c r="AO55"/>
      <c r="AP55"/>
      <c r="AQ55"/>
      <c r="AR55"/>
      <c r="AS55"/>
      <c r="AT55"/>
      <c r="AU55"/>
      <c r="AV55"/>
      <c r="AW55"/>
      <c r="AX55" t="inlineStr">
        <is>
          <t>Accumulation</t>
        </is>
      </c>
      <c r="AY55" t="inlineStr">
        <is>
          <t>Residue</t>
        </is>
      </c>
      <c r="AZ55"/>
      <c r="BA55" t="inlineStr">
        <is>
          <t>Multiple entries</t>
        </is>
      </c>
      <c r="BB55"/>
      <c r="BC55" t="n">
        <v>150.0</v>
      </c>
      <c r="BD55"/>
      <c r="BE55"/>
      <c r="BF55"/>
      <c r="BG55"/>
      <c r="BH55" t="inlineStr">
        <is>
          <t>Days post metamorphosis</t>
        </is>
      </c>
      <c r="BI55"/>
      <c r="BJ55"/>
      <c r="BK55"/>
      <c r="BL55"/>
      <c r="BM55"/>
      <c r="BN55"/>
      <c r="BO55" t="inlineStr">
        <is>
          <t>--</t>
        </is>
      </c>
      <c r="BP55"/>
      <c r="BQ55"/>
      <c r="BR55"/>
      <c r="BS55"/>
      <c r="BT55"/>
      <c r="BU55"/>
      <c r="BV55"/>
      <c r="BW55"/>
      <c r="BX55"/>
      <c r="BY55"/>
      <c r="BZ55"/>
      <c r="CA55"/>
      <c r="CB55"/>
      <c r="CC55"/>
      <c r="CD55" t="inlineStr">
        <is>
          <t>Fort,D.J., M.B. Mathis, P.D. Guiney, and J.A. Weeks</t>
        </is>
      </c>
      <c r="CE55" t="n">
        <v>179654.0</v>
      </c>
      <c r="CF55" t="inlineStr">
        <is>
          <t>Evaluation of the Developmental Toxicity of Perfluorooctanesulfonate in the Anuran, Silurana tropicalis</t>
        </is>
      </c>
      <c r="CG55" t="inlineStr">
        <is>
          <t>J. Appl. Toxicol.39(2): 365-374</t>
        </is>
      </c>
      <c r="CH55" t="n">
        <v>2019.0</v>
      </c>
      <c r="CI55" t="inlineStr">
        <is>
          <t>Fort,D.J., M.B. Mathis, P.D. Guiney, and J.A. Weeks (2019). Evaluation of the Developmental Toxicity of Perfluorooctanesulfonate in the Anuran, Silurana tropicalis. J. Appl. Toxicol., 39, (2), 365-374. doi:10.1002/jat.3727. ECOREF#:179654</t>
        </is>
      </c>
    </row>
    <row r="56">
      <c r="A56" t="n">
        <v>1763231.0</v>
      </c>
      <c r="B56" t="inlineStr">
        <is>
          <t>1,1,2,2,3,3,4,4,5,5,6,6,7,7,8,8,8-Heptadecafluoro-1-octanesulfonic acid</t>
        </is>
      </c>
      <c r="C56"/>
      <c r="D56" t="inlineStr">
        <is>
          <t>Measured</t>
        </is>
      </c>
      <c r="E56" t="inlineStr">
        <is>
          <t>&gt;=</t>
        </is>
      </c>
      <c r="F56" t="n">
        <v>98.0</v>
      </c>
      <c r="G56"/>
      <c r="H56"/>
      <c r="I56"/>
      <c r="J56"/>
      <c r="K56" t="inlineStr">
        <is>
          <t>Xenopus tropicalis</t>
        </is>
      </c>
      <c r="L56" t="inlineStr">
        <is>
          <t>Clawed Frog</t>
        </is>
      </c>
      <c r="M56" t="inlineStr">
        <is>
          <t>Amphibians; Standard Test Species</t>
        </is>
      </c>
      <c r="N56" t="inlineStr">
        <is>
          <t>Embryo</t>
        </is>
      </c>
      <c r="O56"/>
      <c r="P56" t="n">
        <v>10.0</v>
      </c>
      <c r="Q56"/>
      <c r="R56"/>
      <c r="S56"/>
      <c r="T56"/>
      <c r="U56" t="inlineStr">
        <is>
          <t>Nieuwkoop-faber-stage</t>
        </is>
      </c>
      <c r="V56" t="inlineStr">
        <is>
          <t>Flow-through</t>
        </is>
      </c>
      <c r="W56" t="inlineStr">
        <is>
          <t>Fresh water</t>
        </is>
      </c>
      <c r="X56" t="inlineStr">
        <is>
          <t>Lab</t>
        </is>
      </c>
      <c r="Y56" t="n">
        <v>6.0</v>
      </c>
      <c r="Z56" t="inlineStr">
        <is>
          <t>Active ingredient</t>
        </is>
      </c>
      <c r="AA56"/>
      <c r="AB56"/>
      <c r="AC56"/>
      <c r="AD56" t="n">
        <v>0.05</v>
      </c>
      <c r="AE56"/>
      <c r="AF56" t="n">
        <v>1.05</v>
      </c>
      <c r="AG56" t="inlineStr">
        <is>
          <t>AI mg/L</t>
        </is>
      </c>
      <c r="AH56"/>
      <c r="AI56"/>
      <c r="AJ56"/>
      <c r="AK56"/>
      <c r="AL56"/>
      <c r="AM56"/>
      <c r="AN56"/>
      <c r="AO56"/>
      <c r="AP56"/>
      <c r="AQ56"/>
      <c r="AR56"/>
      <c r="AS56"/>
      <c r="AT56"/>
      <c r="AU56"/>
      <c r="AV56"/>
      <c r="AW56"/>
      <c r="AX56" t="inlineStr">
        <is>
          <t>Accumulation</t>
        </is>
      </c>
      <c r="AY56" t="inlineStr">
        <is>
          <t>Residue</t>
        </is>
      </c>
      <c r="AZ56"/>
      <c r="BA56" t="inlineStr">
        <is>
          <t>Blood</t>
        </is>
      </c>
      <c r="BB56"/>
      <c r="BC56"/>
      <c r="BD56"/>
      <c r="BE56"/>
      <c r="BF56"/>
      <c r="BG56"/>
      <c r="BH56" t="inlineStr">
        <is>
          <t>Until metamorphosis</t>
        </is>
      </c>
      <c r="BI56"/>
      <c r="BJ56"/>
      <c r="BK56"/>
      <c r="BL56"/>
      <c r="BM56"/>
      <c r="BN56"/>
      <c r="BO56" t="inlineStr">
        <is>
          <t>--</t>
        </is>
      </c>
      <c r="BP56"/>
      <c r="BQ56"/>
      <c r="BR56"/>
      <c r="BS56"/>
      <c r="BT56"/>
      <c r="BU56"/>
      <c r="BV56"/>
      <c r="BW56"/>
      <c r="BX56"/>
      <c r="BY56"/>
      <c r="BZ56"/>
      <c r="CA56"/>
      <c r="CB56"/>
      <c r="CC56"/>
      <c r="CD56" t="inlineStr">
        <is>
          <t>Fort,D.J., M.B. Mathis, P.D. Guiney, and J.A. Weeks</t>
        </is>
      </c>
      <c r="CE56" t="n">
        <v>179654.0</v>
      </c>
      <c r="CF56" t="inlineStr">
        <is>
          <t>Evaluation of the Developmental Toxicity of Perfluorooctanesulfonate in the Anuran, Silurana tropicalis</t>
        </is>
      </c>
      <c r="CG56" t="inlineStr">
        <is>
          <t>J. Appl. Toxicol.39(2): 365-374</t>
        </is>
      </c>
      <c r="CH56" t="n">
        <v>2019.0</v>
      </c>
      <c r="CI56" t="inlineStr">
        <is>
          <t>Fort,D.J., M.B. Mathis, P.D. Guiney, and J.A. Weeks (2019). Evaluation of the Developmental Toxicity of Perfluorooctanesulfonate in the Anuran, Silurana tropicalis. J. Appl. Toxicol., 39, (2), 365-374. doi:10.1002/jat.3727. ECOREF#:179654</t>
        </is>
      </c>
    </row>
    <row r="57">
      <c r="A57" t="n">
        <v>1763231.0</v>
      </c>
      <c r="B57" t="inlineStr">
        <is>
          <t>1,1,2,2,3,3,4,4,5,5,6,6,7,7,8,8,8-Heptadecafluoro-1-octanesulfonic acid</t>
        </is>
      </c>
      <c r="C57" t="inlineStr">
        <is>
          <t>Analytical grade</t>
        </is>
      </c>
      <c r="D57" t="inlineStr">
        <is>
          <t>Measured</t>
        </is>
      </c>
      <c r="E57"/>
      <c r="F57"/>
      <c r="G57"/>
      <c r="H57"/>
      <c r="I57"/>
      <c r="J57"/>
      <c r="K57" t="inlineStr">
        <is>
          <t>Afrochiltonia subtenuis</t>
        </is>
      </c>
      <c r="L57" t="inlineStr">
        <is>
          <t>Scud</t>
        </is>
      </c>
      <c r="M57" t="inlineStr">
        <is>
          <t>Crustaceans</t>
        </is>
      </c>
      <c r="N57" t="inlineStr">
        <is>
          <t>Juvenile</t>
        </is>
      </c>
      <c r="O57"/>
      <c r="P57" t="n">
        <v>14.0</v>
      </c>
      <c r="Q57"/>
      <c r="R57"/>
      <c r="S57"/>
      <c r="T57"/>
      <c r="U57" t="inlineStr">
        <is>
          <t>Day(s)</t>
        </is>
      </c>
      <c r="V57" t="inlineStr">
        <is>
          <t>Static</t>
        </is>
      </c>
      <c r="W57" t="inlineStr">
        <is>
          <t>Fresh water</t>
        </is>
      </c>
      <c r="X57" t="inlineStr">
        <is>
          <t>Lab</t>
        </is>
      </c>
      <c r="Y57" t="n">
        <v>2.0</v>
      </c>
      <c r="Z57" t="inlineStr">
        <is>
          <t>Active ingredient</t>
        </is>
      </c>
      <c r="AA57"/>
      <c r="AB57" t="n">
        <v>1.1E-4</v>
      </c>
      <c r="AC57"/>
      <c r="AD57"/>
      <c r="AE57"/>
      <c r="AF57"/>
      <c r="AG57" t="inlineStr">
        <is>
          <t>AI mg/L</t>
        </is>
      </c>
      <c r="AH57"/>
      <c r="AI57"/>
      <c r="AJ57"/>
      <c r="AK57"/>
      <c r="AL57"/>
      <c r="AM57"/>
      <c r="AN57"/>
      <c r="AO57"/>
      <c r="AP57"/>
      <c r="AQ57"/>
      <c r="AR57"/>
      <c r="AS57"/>
      <c r="AT57"/>
      <c r="AU57"/>
      <c r="AV57"/>
      <c r="AW57"/>
      <c r="AX57" t="inlineStr">
        <is>
          <t>Accumulation</t>
        </is>
      </c>
      <c r="AY57" t="inlineStr">
        <is>
          <t>Residue</t>
        </is>
      </c>
      <c r="AZ57" t="inlineStr">
        <is>
          <t>BCF</t>
        </is>
      </c>
      <c r="BA57" t="inlineStr">
        <is>
          <t>Tissue</t>
        </is>
      </c>
      <c r="BB57"/>
      <c r="BC57" t="n">
        <v>7.0</v>
      </c>
      <c r="BD57"/>
      <c r="BE57"/>
      <c r="BF57"/>
      <c r="BG57"/>
      <c r="BH57" t="inlineStr">
        <is>
          <t>Day(s)</t>
        </is>
      </c>
      <c r="BI57"/>
      <c r="BJ57" t="n">
        <v>9.09</v>
      </c>
      <c r="BK57"/>
      <c r="BL57"/>
      <c r="BM57"/>
      <c r="BN57"/>
      <c r="BO57" t="inlineStr">
        <is>
          <t>L/g</t>
        </is>
      </c>
      <c r="BP57"/>
      <c r="BQ57"/>
      <c r="BR57"/>
      <c r="BS57"/>
      <c r="BT57"/>
      <c r="BU57"/>
      <c r="BV57"/>
      <c r="BW57"/>
      <c r="BX57"/>
      <c r="BY57"/>
      <c r="BZ57"/>
      <c r="CA57"/>
      <c r="CB57"/>
      <c r="CC57"/>
      <c r="CD57" t="inlineStr">
        <is>
          <t>Sinclair,G.M., S.M. Long, N. Singh, T.L. Coggan, M.P.J. Askeland, and O.A.H. Jones</t>
        </is>
      </c>
      <c r="CE57" t="n">
        <v>191156.0</v>
      </c>
      <c r="CF57" t="inlineStr">
        <is>
          <t>Exposure to Environmentally Relevant Levels of PFAS Causes Metabolic Changes in the Freshwater Amphipod Austrochiltonia subtenuis</t>
        </is>
      </c>
      <c r="CG57" t="inlineStr">
        <is>
          <t>Metabolites12(11): 19 p.</t>
        </is>
      </c>
      <c r="CH57" t="n">
        <v>2022.0</v>
      </c>
      <c r="CI57"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58">
      <c r="A58" t="n">
        <v>1763231.0</v>
      </c>
      <c r="B58" t="inlineStr">
        <is>
          <t>1,1,2,2,3,3,4,4,5,5,6,6,7,7,8,8,8-Heptadecafluoro-1-octanesulfonic acid</t>
        </is>
      </c>
      <c r="C58" t="inlineStr">
        <is>
          <t>Analytical grade</t>
        </is>
      </c>
      <c r="D58" t="inlineStr">
        <is>
          <t>Measured</t>
        </is>
      </c>
      <c r="E58"/>
      <c r="F58"/>
      <c r="G58"/>
      <c r="H58"/>
      <c r="I58"/>
      <c r="J58"/>
      <c r="K58" t="inlineStr">
        <is>
          <t>Afrochiltonia subtenuis</t>
        </is>
      </c>
      <c r="L58" t="inlineStr">
        <is>
          <t>Scud</t>
        </is>
      </c>
      <c r="M58" t="inlineStr">
        <is>
          <t>Crustaceans</t>
        </is>
      </c>
      <c r="N58" t="inlineStr">
        <is>
          <t>Juvenile</t>
        </is>
      </c>
      <c r="O58"/>
      <c r="P58" t="n">
        <v>14.0</v>
      </c>
      <c r="Q58"/>
      <c r="R58"/>
      <c r="S58"/>
      <c r="T58"/>
      <c r="U58" t="inlineStr">
        <is>
          <t>Day(s)</t>
        </is>
      </c>
      <c r="V58" t="inlineStr">
        <is>
          <t>Static</t>
        </is>
      </c>
      <c r="W58" t="inlineStr">
        <is>
          <t>Fresh water</t>
        </is>
      </c>
      <c r="X58" t="inlineStr">
        <is>
          <t>Lab</t>
        </is>
      </c>
      <c r="Y58" t="n">
        <v>2.0</v>
      </c>
      <c r="Z58" t="inlineStr">
        <is>
          <t>Active ingredient</t>
        </is>
      </c>
      <c r="AA58"/>
      <c r="AB58" t="n">
        <v>1.1E-4</v>
      </c>
      <c r="AC58"/>
      <c r="AD58"/>
      <c r="AE58"/>
      <c r="AF58"/>
      <c r="AG58" t="inlineStr">
        <is>
          <t>AI mg/L</t>
        </is>
      </c>
      <c r="AH58"/>
      <c r="AI58"/>
      <c r="AJ58"/>
      <c r="AK58"/>
      <c r="AL58"/>
      <c r="AM58"/>
      <c r="AN58"/>
      <c r="AO58"/>
      <c r="AP58"/>
      <c r="AQ58"/>
      <c r="AR58"/>
      <c r="AS58"/>
      <c r="AT58"/>
      <c r="AU58"/>
      <c r="AV58"/>
      <c r="AW58"/>
      <c r="AX58" t="inlineStr">
        <is>
          <t>Accumulation</t>
        </is>
      </c>
      <c r="AY58" t="inlineStr">
        <is>
          <t>Residue</t>
        </is>
      </c>
      <c r="AZ58" t="inlineStr">
        <is>
          <t>BCF</t>
        </is>
      </c>
      <c r="BA58" t="inlineStr">
        <is>
          <t>Tissue</t>
        </is>
      </c>
      <c r="BB58"/>
      <c r="BC58" t="n">
        <v>7.0</v>
      </c>
      <c r="BD58"/>
      <c r="BE58"/>
      <c r="BF58"/>
      <c r="BG58"/>
      <c r="BH58" t="inlineStr">
        <is>
          <t>Day(s)</t>
        </is>
      </c>
      <c r="BI58"/>
      <c r="BJ58" t="n">
        <v>18.18</v>
      </c>
      <c r="BK58"/>
      <c r="BL58"/>
      <c r="BM58"/>
      <c r="BN58"/>
      <c r="BO58" t="inlineStr">
        <is>
          <t>L/g</t>
        </is>
      </c>
      <c r="BP58"/>
      <c r="BQ58"/>
      <c r="BR58"/>
      <c r="BS58"/>
      <c r="BT58"/>
      <c r="BU58"/>
      <c r="BV58"/>
      <c r="BW58"/>
      <c r="BX58"/>
      <c r="BY58"/>
      <c r="BZ58"/>
      <c r="CA58"/>
      <c r="CB58"/>
      <c r="CC58"/>
      <c r="CD58" t="inlineStr">
        <is>
          <t>Sinclair,G.M., S.M. Long, N. Singh, T.L. Coggan, M.P.J. Askeland, and O.A.H. Jones</t>
        </is>
      </c>
      <c r="CE58" t="n">
        <v>191156.0</v>
      </c>
      <c r="CF58" t="inlineStr">
        <is>
          <t>Exposure to Environmentally Relevant Levels of PFAS Causes Metabolic Changes in the Freshwater Amphipod Austrochiltonia subtenuis</t>
        </is>
      </c>
      <c r="CG58" t="inlineStr">
        <is>
          <t>Metabolites12(11): 19 p.</t>
        </is>
      </c>
      <c r="CH58" t="n">
        <v>2022.0</v>
      </c>
      <c r="CI58"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59">
      <c r="A59" t="n">
        <v>1763231.0</v>
      </c>
      <c r="B59" t="inlineStr">
        <is>
          <t>1,1,2,2,3,3,4,4,5,5,6,6,7,7,8,8,8-Heptadecafluoro-1-octanesulfonic acid</t>
        </is>
      </c>
      <c r="C59" t="inlineStr">
        <is>
          <t>Analytical grade</t>
        </is>
      </c>
      <c r="D59" t="inlineStr">
        <is>
          <t>Measured</t>
        </is>
      </c>
      <c r="E59"/>
      <c r="F59"/>
      <c r="G59"/>
      <c r="H59"/>
      <c r="I59"/>
      <c r="J59"/>
      <c r="K59" t="inlineStr">
        <is>
          <t>Afrochiltonia subtenuis</t>
        </is>
      </c>
      <c r="L59" t="inlineStr">
        <is>
          <t>Scud</t>
        </is>
      </c>
      <c r="M59" t="inlineStr">
        <is>
          <t>Crustaceans</t>
        </is>
      </c>
      <c r="N59" t="inlineStr">
        <is>
          <t>Juvenile</t>
        </is>
      </c>
      <c r="O59"/>
      <c r="P59" t="n">
        <v>14.0</v>
      </c>
      <c r="Q59"/>
      <c r="R59"/>
      <c r="S59"/>
      <c r="T59"/>
      <c r="U59" t="inlineStr">
        <is>
          <t>Day(s)</t>
        </is>
      </c>
      <c r="V59" t="inlineStr">
        <is>
          <t>Static</t>
        </is>
      </c>
      <c r="W59" t="inlineStr">
        <is>
          <t>Fresh water</t>
        </is>
      </c>
      <c r="X59" t="inlineStr">
        <is>
          <t>Lab</t>
        </is>
      </c>
      <c r="Y59" t="n">
        <v>2.0</v>
      </c>
      <c r="Z59" t="inlineStr">
        <is>
          <t>Active ingredient</t>
        </is>
      </c>
      <c r="AA59"/>
      <c r="AB59" t="n">
        <v>1.1E-4</v>
      </c>
      <c r="AC59"/>
      <c r="AD59"/>
      <c r="AE59"/>
      <c r="AF59"/>
      <c r="AG59" t="inlineStr">
        <is>
          <t>AI mg/L</t>
        </is>
      </c>
      <c r="AH59"/>
      <c r="AI59"/>
      <c r="AJ59"/>
      <c r="AK59"/>
      <c r="AL59"/>
      <c r="AM59"/>
      <c r="AN59"/>
      <c r="AO59"/>
      <c r="AP59"/>
      <c r="AQ59"/>
      <c r="AR59"/>
      <c r="AS59"/>
      <c r="AT59"/>
      <c r="AU59"/>
      <c r="AV59"/>
      <c r="AW59"/>
      <c r="AX59" t="inlineStr">
        <is>
          <t>Accumulation</t>
        </is>
      </c>
      <c r="AY59" t="inlineStr">
        <is>
          <t>Residue</t>
        </is>
      </c>
      <c r="AZ59" t="inlineStr">
        <is>
          <t>BCF</t>
        </is>
      </c>
      <c r="BA59" t="inlineStr">
        <is>
          <t>Tissue</t>
        </is>
      </c>
      <c r="BB59"/>
      <c r="BC59" t="n">
        <v>7.0</v>
      </c>
      <c r="BD59"/>
      <c r="BE59"/>
      <c r="BF59"/>
      <c r="BG59"/>
      <c r="BH59" t="inlineStr">
        <is>
          <t>Day(s)</t>
        </is>
      </c>
      <c r="BI59"/>
      <c r="BJ59" t="n">
        <v>27.27</v>
      </c>
      <c r="BK59"/>
      <c r="BL59"/>
      <c r="BM59"/>
      <c r="BN59"/>
      <c r="BO59" t="inlineStr">
        <is>
          <t>L/g</t>
        </is>
      </c>
      <c r="BP59"/>
      <c r="BQ59"/>
      <c r="BR59"/>
      <c r="BS59"/>
      <c r="BT59"/>
      <c r="BU59"/>
      <c r="BV59"/>
      <c r="BW59"/>
      <c r="BX59"/>
      <c r="BY59"/>
      <c r="BZ59"/>
      <c r="CA59"/>
      <c r="CB59"/>
      <c r="CC59"/>
      <c r="CD59" t="inlineStr">
        <is>
          <t>Sinclair,G.M., S.M. Long, N. Singh, T.L. Coggan, M.P.J. Askeland, and O.A.H. Jones</t>
        </is>
      </c>
      <c r="CE59" t="n">
        <v>191156.0</v>
      </c>
      <c r="CF59" t="inlineStr">
        <is>
          <t>Exposure to Environmentally Relevant Levels of PFAS Causes Metabolic Changes in the Freshwater Amphipod Austrochiltonia subtenuis</t>
        </is>
      </c>
      <c r="CG59" t="inlineStr">
        <is>
          <t>Metabolites12(11): 19 p.</t>
        </is>
      </c>
      <c r="CH59" t="n">
        <v>2022.0</v>
      </c>
      <c r="CI59"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60">
      <c r="A60" t="n">
        <v>1763231.0</v>
      </c>
      <c r="B60" t="inlineStr">
        <is>
          <t>1,1,2,2,3,3,4,4,5,5,6,6,7,7,8,8,8-Heptadecafluoro-1-octanesulfonic acid</t>
        </is>
      </c>
      <c r="C60" t="inlineStr">
        <is>
          <t>Analytical grade</t>
        </is>
      </c>
      <c r="D60" t="inlineStr">
        <is>
          <t>Measured</t>
        </is>
      </c>
      <c r="E60"/>
      <c r="F60"/>
      <c r="G60"/>
      <c r="H60"/>
      <c r="I60"/>
      <c r="J60"/>
      <c r="K60" t="inlineStr">
        <is>
          <t>Afrochiltonia subtenuis</t>
        </is>
      </c>
      <c r="L60" t="inlineStr">
        <is>
          <t>Scud</t>
        </is>
      </c>
      <c r="M60" t="inlineStr">
        <is>
          <t>Crustaceans</t>
        </is>
      </c>
      <c r="N60" t="inlineStr">
        <is>
          <t>Juvenile</t>
        </is>
      </c>
      <c r="O60"/>
      <c r="P60" t="n">
        <v>14.0</v>
      </c>
      <c r="Q60"/>
      <c r="R60"/>
      <c r="S60"/>
      <c r="T60"/>
      <c r="U60" t="inlineStr">
        <is>
          <t>Day(s)</t>
        </is>
      </c>
      <c r="V60" t="inlineStr">
        <is>
          <t>Static</t>
        </is>
      </c>
      <c r="W60" t="inlineStr">
        <is>
          <t>Fresh water</t>
        </is>
      </c>
      <c r="X60" t="inlineStr">
        <is>
          <t>Lab</t>
        </is>
      </c>
      <c r="Y60" t="n">
        <v>2.0</v>
      </c>
      <c r="Z60" t="inlineStr">
        <is>
          <t>Active ingredient</t>
        </is>
      </c>
      <c r="AA60"/>
      <c r="AB60" t="n">
        <v>1.1E-4</v>
      </c>
      <c r="AC60"/>
      <c r="AD60"/>
      <c r="AE60"/>
      <c r="AF60"/>
      <c r="AG60" t="inlineStr">
        <is>
          <t>AI mg/L</t>
        </is>
      </c>
      <c r="AH60"/>
      <c r="AI60"/>
      <c r="AJ60"/>
      <c r="AK60"/>
      <c r="AL60"/>
      <c r="AM60"/>
      <c r="AN60"/>
      <c r="AO60"/>
      <c r="AP60"/>
      <c r="AQ60"/>
      <c r="AR60"/>
      <c r="AS60"/>
      <c r="AT60"/>
      <c r="AU60"/>
      <c r="AV60"/>
      <c r="AW60"/>
      <c r="AX60" t="inlineStr">
        <is>
          <t>Accumulation</t>
        </is>
      </c>
      <c r="AY60" t="inlineStr">
        <is>
          <t>Residue</t>
        </is>
      </c>
      <c r="AZ60" t="inlineStr">
        <is>
          <t>BCF</t>
        </is>
      </c>
      <c r="BA60" t="inlineStr">
        <is>
          <t>Tissue</t>
        </is>
      </c>
      <c r="BB60"/>
      <c r="BC60" t="n">
        <v>7.0</v>
      </c>
      <c r="BD60"/>
      <c r="BE60"/>
      <c r="BF60"/>
      <c r="BG60"/>
      <c r="BH60" t="inlineStr">
        <is>
          <t>Day(s)</t>
        </is>
      </c>
      <c r="BI60"/>
      <c r="BJ60" t="n">
        <v>118.18</v>
      </c>
      <c r="BK60"/>
      <c r="BL60"/>
      <c r="BM60"/>
      <c r="BN60"/>
      <c r="BO60" t="inlineStr">
        <is>
          <t>L/g</t>
        </is>
      </c>
      <c r="BP60"/>
      <c r="BQ60"/>
      <c r="BR60"/>
      <c r="BS60"/>
      <c r="BT60"/>
      <c r="BU60"/>
      <c r="BV60"/>
      <c r="BW60"/>
      <c r="BX60"/>
      <c r="BY60"/>
      <c r="BZ60"/>
      <c r="CA60"/>
      <c r="CB60"/>
      <c r="CC60"/>
      <c r="CD60" t="inlineStr">
        <is>
          <t>Sinclair,G.M., S.M. Long, N. Singh, T.L. Coggan, M.P.J. Askeland, and O.A.H. Jones</t>
        </is>
      </c>
      <c r="CE60" t="n">
        <v>191156.0</v>
      </c>
      <c r="CF60" t="inlineStr">
        <is>
          <t>Exposure to Environmentally Relevant Levels of PFAS Causes Metabolic Changes in the Freshwater Amphipod Austrochiltonia subtenuis</t>
        </is>
      </c>
      <c r="CG60" t="inlineStr">
        <is>
          <t>Metabolites12(11): 19 p.</t>
        </is>
      </c>
      <c r="CH60" t="n">
        <v>2022.0</v>
      </c>
      <c r="CI60"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61">
      <c r="A61" t="n">
        <v>1763231.0</v>
      </c>
      <c r="B61" t="inlineStr">
        <is>
          <t>1,1,2,2,3,3,4,4,5,5,6,6,7,7,8,8,8-Heptadecafluoro-1-octanesulfonic acid</t>
        </is>
      </c>
      <c r="C61" t="inlineStr">
        <is>
          <t>Analytical grade</t>
        </is>
      </c>
      <c r="D61" t="inlineStr">
        <is>
          <t>Measured</t>
        </is>
      </c>
      <c r="E61"/>
      <c r="F61"/>
      <c r="G61"/>
      <c r="H61"/>
      <c r="I61"/>
      <c r="J61"/>
      <c r="K61" t="inlineStr">
        <is>
          <t>Afrochiltonia subtenuis</t>
        </is>
      </c>
      <c r="L61" t="inlineStr">
        <is>
          <t>Scud</t>
        </is>
      </c>
      <c r="M61" t="inlineStr">
        <is>
          <t>Crustaceans</t>
        </is>
      </c>
      <c r="N61" t="inlineStr">
        <is>
          <t>Juvenile</t>
        </is>
      </c>
      <c r="O61"/>
      <c r="P61" t="n">
        <v>14.0</v>
      </c>
      <c r="Q61"/>
      <c r="R61"/>
      <c r="S61"/>
      <c r="T61"/>
      <c r="U61" t="inlineStr">
        <is>
          <t>Day(s)</t>
        </is>
      </c>
      <c r="V61" t="inlineStr">
        <is>
          <t>Static</t>
        </is>
      </c>
      <c r="W61" t="inlineStr">
        <is>
          <t>Fresh water</t>
        </is>
      </c>
      <c r="X61" t="inlineStr">
        <is>
          <t>Lab</t>
        </is>
      </c>
      <c r="Y61" t="n">
        <v>2.0</v>
      </c>
      <c r="Z61" t="inlineStr">
        <is>
          <t>Active ingredient</t>
        </is>
      </c>
      <c r="AA61"/>
      <c r="AB61" t="n">
        <v>1.1E-4</v>
      </c>
      <c r="AC61"/>
      <c r="AD61"/>
      <c r="AE61"/>
      <c r="AF61"/>
      <c r="AG61" t="inlineStr">
        <is>
          <t>AI mg/L</t>
        </is>
      </c>
      <c r="AH61"/>
      <c r="AI61"/>
      <c r="AJ61"/>
      <c r="AK61"/>
      <c r="AL61"/>
      <c r="AM61"/>
      <c r="AN61"/>
      <c r="AO61"/>
      <c r="AP61"/>
      <c r="AQ61"/>
      <c r="AR61"/>
      <c r="AS61"/>
      <c r="AT61"/>
      <c r="AU61"/>
      <c r="AV61"/>
      <c r="AW61"/>
      <c r="AX61" t="inlineStr">
        <is>
          <t>Accumulation</t>
        </is>
      </c>
      <c r="AY61" t="inlineStr">
        <is>
          <t>Residue</t>
        </is>
      </c>
      <c r="AZ61" t="inlineStr">
        <is>
          <t>BCF</t>
        </is>
      </c>
      <c r="BA61" t="inlineStr">
        <is>
          <t>Tissue</t>
        </is>
      </c>
      <c r="BB61"/>
      <c r="BC61" t="n">
        <v>7.0</v>
      </c>
      <c r="BD61"/>
      <c r="BE61"/>
      <c r="BF61"/>
      <c r="BG61"/>
      <c r="BH61" t="inlineStr">
        <is>
          <t>Day(s)</t>
        </is>
      </c>
      <c r="BI61"/>
      <c r="BJ61" t="n">
        <v>190.01</v>
      </c>
      <c r="BK61"/>
      <c r="BL61"/>
      <c r="BM61"/>
      <c r="BN61"/>
      <c r="BO61" t="inlineStr">
        <is>
          <t>L/g</t>
        </is>
      </c>
      <c r="BP61"/>
      <c r="BQ61"/>
      <c r="BR61"/>
      <c r="BS61"/>
      <c r="BT61"/>
      <c r="BU61"/>
      <c r="BV61"/>
      <c r="BW61"/>
      <c r="BX61"/>
      <c r="BY61"/>
      <c r="BZ61"/>
      <c r="CA61"/>
      <c r="CB61"/>
      <c r="CC61"/>
      <c r="CD61" t="inlineStr">
        <is>
          <t>Sinclair,G.M., S.M. Long, N. Singh, T.L. Coggan, M.P.J. Askeland, and O.A.H. Jones</t>
        </is>
      </c>
      <c r="CE61" t="n">
        <v>191156.0</v>
      </c>
      <c r="CF61" t="inlineStr">
        <is>
          <t>Exposure to Environmentally Relevant Levels of PFAS Causes Metabolic Changes in the Freshwater Amphipod Austrochiltonia subtenuis</t>
        </is>
      </c>
      <c r="CG61" t="inlineStr">
        <is>
          <t>Metabolites12(11): 19 p.</t>
        </is>
      </c>
      <c r="CH61" t="n">
        <v>2022.0</v>
      </c>
      <c r="CI61"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62">
      <c r="A62" t="n">
        <v>1763231.0</v>
      </c>
      <c r="B62" t="inlineStr">
        <is>
          <t>1,1,2,2,3,3,4,4,5,5,6,6,7,7,8,8,8-Heptadecafluoro-1-octanesulfonic acid</t>
        </is>
      </c>
      <c r="C62"/>
      <c r="D62" t="inlineStr">
        <is>
          <t>Unmeasured</t>
        </is>
      </c>
      <c r="E62"/>
      <c r="F62" t="n">
        <v>98.0</v>
      </c>
      <c r="G62"/>
      <c r="H62"/>
      <c r="I62"/>
      <c r="J62"/>
      <c r="K62" t="inlineStr">
        <is>
          <t>Oryzias melastigma</t>
        </is>
      </c>
      <c r="L62" t="inlineStr">
        <is>
          <t>Indian Medaka</t>
        </is>
      </c>
      <c r="M62" t="inlineStr">
        <is>
          <t>Fish</t>
        </is>
      </c>
      <c r="N62" t="inlineStr">
        <is>
          <t>Embryo</t>
        </is>
      </c>
      <c r="O62"/>
      <c r="P62" t="n">
        <v>2.0</v>
      </c>
      <c r="Q62"/>
      <c r="R62"/>
      <c r="S62"/>
      <c r="T62"/>
      <c r="U62" t="inlineStr">
        <is>
          <t>Days post fertilization</t>
        </is>
      </c>
      <c r="V62" t="inlineStr">
        <is>
          <t>Renewal</t>
        </is>
      </c>
      <c r="W62" t="inlineStr">
        <is>
          <t>Salt water</t>
        </is>
      </c>
      <c r="X62" t="inlineStr">
        <is>
          <t>Lab</t>
        </is>
      </c>
      <c r="Y62" t="n">
        <v>4.0</v>
      </c>
      <c r="Z62" t="inlineStr">
        <is>
          <t>Active ingredient</t>
        </is>
      </c>
      <c r="AA62"/>
      <c r="AB62" t="n">
        <v>1.0</v>
      </c>
      <c r="AC62"/>
      <c r="AD62"/>
      <c r="AE62"/>
      <c r="AF62"/>
      <c r="AG62" t="inlineStr">
        <is>
          <t>AI mg/L</t>
        </is>
      </c>
      <c r="AH62"/>
      <c r="AI62"/>
      <c r="AJ62"/>
      <c r="AK62"/>
      <c r="AL62"/>
      <c r="AM62"/>
      <c r="AN62"/>
      <c r="AO62"/>
      <c r="AP62"/>
      <c r="AQ62"/>
      <c r="AR62"/>
      <c r="AS62"/>
      <c r="AT62"/>
      <c r="AU62"/>
      <c r="AV62"/>
      <c r="AW62"/>
      <c r="AX62" t="inlineStr">
        <is>
          <t>Accumulation</t>
        </is>
      </c>
      <c r="AY62" t="inlineStr">
        <is>
          <t>Residue</t>
        </is>
      </c>
      <c r="AZ62" t="inlineStr">
        <is>
          <t>LOEC</t>
        </is>
      </c>
      <c r="BA62" t="inlineStr">
        <is>
          <t>Whole organism</t>
        </is>
      </c>
      <c r="BB62"/>
      <c r="BC62" t="n">
        <v>2.0</v>
      </c>
      <c r="BD62"/>
      <c r="BE62"/>
      <c r="BF62"/>
      <c r="BG62"/>
      <c r="BH62" t="inlineStr">
        <is>
          <t>Day(s)</t>
        </is>
      </c>
      <c r="BI62"/>
      <c r="BJ62"/>
      <c r="BK62"/>
      <c r="BL62"/>
      <c r="BM62"/>
      <c r="BN62"/>
      <c r="BO62" t="inlineStr">
        <is>
          <t>--</t>
        </is>
      </c>
      <c r="BP62"/>
      <c r="BQ62"/>
      <c r="BR62"/>
      <c r="BS62"/>
      <c r="BT62"/>
      <c r="BU62"/>
      <c r="BV62"/>
      <c r="BW62"/>
      <c r="BX62"/>
      <c r="BY62"/>
      <c r="BZ62"/>
      <c r="CA62"/>
      <c r="CB62"/>
      <c r="CC62"/>
      <c r="CD62" t="inlineStr">
        <is>
          <t>Fang,C., L. Qiu, X. Wu, Q. Huang, Y. Liao, L. Liu, H. Shen, and S. Dong</t>
        </is>
      </c>
      <c r="CE62" t="n">
        <v>160550.0</v>
      </c>
      <c r="CF62" t="inlineStr">
        <is>
          <t>PFOS Elicits Transcriptional Responses of the ER, AHR and PPAR Pathways in Oryzias melastigma in a Stage-Specific Manner</t>
        </is>
      </c>
      <c r="CG62" t="inlineStr">
        <is>
          <t>Aquat. Toxicol.106/107:9-19</t>
        </is>
      </c>
      <c r="CH62" t="n">
        <v>2012.0</v>
      </c>
      <c r="CI62" t="inlineStr">
        <is>
          <t>Fang,C., L. Qiu, X. Wu, Q. Huang, Y. Liao, L. Liu, H. Shen, and S. Dong (2012). PFOS Elicits Transcriptional Responses of the ER, AHR and PPAR Pathways in Oryzias melastigma in a Stage-Specific Manner. Aquat. Toxicol., 106/107, 9-19. doi:10.1016/j.aquatox.2011.10.009. ECOREF#:160550</t>
        </is>
      </c>
    </row>
    <row r="63">
      <c r="A63" t="n">
        <v>1763231.0</v>
      </c>
      <c r="B63" t="inlineStr">
        <is>
          <t>1,1,2,2,3,3,4,4,5,5,6,6,7,7,8,8,8-Heptadecafluoro-1-octanesulfonic acid</t>
        </is>
      </c>
      <c r="C63"/>
      <c r="D63" t="inlineStr">
        <is>
          <t>Unmeasured</t>
        </is>
      </c>
      <c r="E63"/>
      <c r="F63" t="n">
        <v>98.0</v>
      </c>
      <c r="G63"/>
      <c r="H63"/>
      <c r="I63"/>
      <c r="J63"/>
      <c r="K63" t="inlineStr">
        <is>
          <t>Oryzias melastigma</t>
        </is>
      </c>
      <c r="L63" t="inlineStr">
        <is>
          <t>Indian Medaka</t>
        </is>
      </c>
      <c r="M63" t="inlineStr">
        <is>
          <t>Fish</t>
        </is>
      </c>
      <c r="N63" t="inlineStr">
        <is>
          <t>Embryo</t>
        </is>
      </c>
      <c r="O63"/>
      <c r="P63" t="n">
        <v>2.0</v>
      </c>
      <c r="Q63"/>
      <c r="R63"/>
      <c r="S63"/>
      <c r="T63"/>
      <c r="U63" t="inlineStr">
        <is>
          <t>Days post fertilization</t>
        </is>
      </c>
      <c r="V63" t="inlineStr">
        <is>
          <t>Renewal</t>
        </is>
      </c>
      <c r="W63" t="inlineStr">
        <is>
          <t>Salt water</t>
        </is>
      </c>
      <c r="X63" t="inlineStr">
        <is>
          <t>Lab</t>
        </is>
      </c>
      <c r="Y63" t="n">
        <v>4.0</v>
      </c>
      <c r="Z63" t="inlineStr">
        <is>
          <t>Active ingredient</t>
        </is>
      </c>
      <c r="AA63"/>
      <c r="AB63" t="n">
        <v>1.0</v>
      </c>
      <c r="AC63"/>
      <c r="AD63"/>
      <c r="AE63"/>
      <c r="AF63"/>
      <c r="AG63" t="inlineStr">
        <is>
          <t>AI mg/L</t>
        </is>
      </c>
      <c r="AH63"/>
      <c r="AI63"/>
      <c r="AJ63"/>
      <c r="AK63"/>
      <c r="AL63"/>
      <c r="AM63"/>
      <c r="AN63"/>
      <c r="AO63"/>
      <c r="AP63"/>
      <c r="AQ63"/>
      <c r="AR63"/>
      <c r="AS63"/>
      <c r="AT63"/>
      <c r="AU63"/>
      <c r="AV63"/>
      <c r="AW63"/>
      <c r="AX63" t="inlineStr">
        <is>
          <t>Accumulation</t>
        </is>
      </c>
      <c r="AY63" t="inlineStr">
        <is>
          <t>Residue</t>
        </is>
      </c>
      <c r="AZ63" t="inlineStr">
        <is>
          <t>LOEC</t>
        </is>
      </c>
      <c r="BA63" t="inlineStr">
        <is>
          <t>Whole organism</t>
        </is>
      </c>
      <c r="BB63"/>
      <c r="BC63" t="n">
        <v>8.0</v>
      </c>
      <c r="BD63"/>
      <c r="BE63"/>
      <c r="BF63"/>
      <c r="BG63"/>
      <c r="BH63" t="inlineStr">
        <is>
          <t>Day(s)</t>
        </is>
      </c>
      <c r="BI63"/>
      <c r="BJ63"/>
      <c r="BK63"/>
      <c r="BL63"/>
      <c r="BM63"/>
      <c r="BN63"/>
      <c r="BO63" t="inlineStr">
        <is>
          <t>--</t>
        </is>
      </c>
      <c r="BP63"/>
      <c r="BQ63"/>
      <c r="BR63"/>
      <c r="BS63"/>
      <c r="BT63"/>
      <c r="BU63"/>
      <c r="BV63"/>
      <c r="BW63"/>
      <c r="BX63"/>
      <c r="BY63"/>
      <c r="BZ63"/>
      <c r="CA63"/>
      <c r="CB63"/>
      <c r="CC63"/>
      <c r="CD63" t="inlineStr">
        <is>
          <t>Fang,C., L. Qiu, X. Wu, Q. Huang, Y. Liao, L. Liu, H. Shen, and S. Dong</t>
        </is>
      </c>
      <c r="CE63" t="n">
        <v>160550.0</v>
      </c>
      <c r="CF63" t="inlineStr">
        <is>
          <t>PFOS Elicits Transcriptional Responses of the ER, AHR and PPAR Pathways in Oryzias melastigma in a Stage-Specific Manner</t>
        </is>
      </c>
      <c r="CG63" t="inlineStr">
        <is>
          <t>Aquat. Toxicol.106/107:9-19</t>
        </is>
      </c>
      <c r="CH63" t="n">
        <v>2012.0</v>
      </c>
      <c r="CI63" t="inlineStr">
        <is>
          <t>Fang,C., L. Qiu, X. Wu, Q. Huang, Y. Liao, L. Liu, H. Shen, and S. Dong (2012). PFOS Elicits Transcriptional Responses of the ER, AHR and PPAR Pathways in Oryzias melastigma in a Stage-Specific Manner. Aquat. Toxicol., 106/107, 9-19. doi:10.1016/j.aquatox.2011.10.009. ECOREF#:160550</t>
        </is>
      </c>
    </row>
    <row r="64">
      <c r="A64" t="n">
        <v>1763231.0</v>
      </c>
      <c r="B64" t="inlineStr">
        <is>
          <t>1,1,2,2,3,3,4,4,5,5,6,6,7,7,8,8,8-Heptadecafluoro-1-octanesulfonic acid</t>
        </is>
      </c>
      <c r="C64"/>
      <c r="D64" t="inlineStr">
        <is>
          <t>Unmeasured</t>
        </is>
      </c>
      <c r="E64"/>
      <c r="F64" t="n">
        <v>98.0</v>
      </c>
      <c r="G64"/>
      <c r="H64"/>
      <c r="I64"/>
      <c r="J64"/>
      <c r="K64" t="inlineStr">
        <is>
          <t>Oryzias melastigma</t>
        </is>
      </c>
      <c r="L64" t="inlineStr">
        <is>
          <t>Indian Medaka</t>
        </is>
      </c>
      <c r="M64" t="inlineStr">
        <is>
          <t>Fish</t>
        </is>
      </c>
      <c r="N64" t="inlineStr">
        <is>
          <t>Egg</t>
        </is>
      </c>
      <c r="O64"/>
      <c r="P64" t="n">
        <v>2.0</v>
      </c>
      <c r="Q64"/>
      <c r="R64"/>
      <c r="S64"/>
      <c r="T64"/>
      <c r="U64" t="inlineStr">
        <is>
          <t>Days post fertilization</t>
        </is>
      </c>
      <c r="V64" t="inlineStr">
        <is>
          <t>Renewal</t>
        </is>
      </c>
      <c r="W64" t="inlineStr">
        <is>
          <t>Salt water</t>
        </is>
      </c>
      <c r="X64" t="inlineStr">
        <is>
          <t>Lab</t>
        </is>
      </c>
      <c r="Y64" t="n">
        <v>4.0</v>
      </c>
      <c r="Z64" t="inlineStr">
        <is>
          <t>Active ingredient</t>
        </is>
      </c>
      <c r="AA64"/>
      <c r="AB64" t="n">
        <v>16.0</v>
      </c>
      <c r="AC64"/>
      <c r="AD64"/>
      <c r="AE64"/>
      <c r="AF64"/>
      <c r="AG64" t="inlineStr">
        <is>
          <t>AI mg/L</t>
        </is>
      </c>
      <c r="AH64"/>
      <c r="AI64"/>
      <c r="AJ64"/>
      <c r="AK64"/>
      <c r="AL64"/>
      <c r="AM64"/>
      <c r="AN64"/>
      <c r="AO64"/>
      <c r="AP64"/>
      <c r="AQ64"/>
      <c r="AR64"/>
      <c r="AS64"/>
      <c r="AT64"/>
      <c r="AU64"/>
      <c r="AV64"/>
      <c r="AW64"/>
      <c r="AX64" t="inlineStr">
        <is>
          <t>Accumulation</t>
        </is>
      </c>
      <c r="AY64" t="inlineStr">
        <is>
          <t>Residue</t>
        </is>
      </c>
      <c r="AZ64"/>
      <c r="BA64" t="inlineStr">
        <is>
          <t>Whole organism</t>
        </is>
      </c>
      <c r="BB64"/>
      <c r="BC64" t="n">
        <v>17.0</v>
      </c>
      <c r="BD64"/>
      <c r="BE64"/>
      <c r="BF64"/>
      <c r="BG64"/>
      <c r="BH64" t="inlineStr">
        <is>
          <t>Day(s)</t>
        </is>
      </c>
      <c r="BI64"/>
      <c r="BJ64"/>
      <c r="BK64"/>
      <c r="BL64"/>
      <c r="BM64"/>
      <c r="BN64"/>
      <c r="BO64" t="inlineStr">
        <is>
          <t>--</t>
        </is>
      </c>
      <c r="BP64"/>
      <c r="BQ64"/>
      <c r="BR64"/>
      <c r="BS64"/>
      <c r="BT64"/>
      <c r="BU64"/>
      <c r="BV64"/>
      <c r="BW64"/>
      <c r="BX64"/>
      <c r="BY64"/>
      <c r="BZ64"/>
      <c r="CA64"/>
      <c r="CB64"/>
      <c r="CC64"/>
      <c r="CD64" t="inlineStr">
        <is>
          <t>Fang,C., Q. Huang, T. Ye, Y. Chen, L. Liu, M. Kang, Y. Lin, H. Shen, and S. Dong</t>
        </is>
      </c>
      <c r="CE64" t="n">
        <v>175213.0</v>
      </c>
      <c r="CF64" t="inlineStr">
        <is>
          <t>Embryonic Exposure to PFOS Induces Immunosuppression in the Fish Larvae of Marine Medaka</t>
        </is>
      </c>
      <c r="CG64" t="inlineStr">
        <is>
          <t>Ecotoxicol. Environ. Saf.92:104-111</t>
        </is>
      </c>
      <c r="CH64" t="n">
        <v>2013.0</v>
      </c>
      <c r="CI64" t="inlineStr">
        <is>
          <t>Fang,C., Q. Huang, T. Ye, Y. Chen, L. Liu, M. Kang, Y. Lin, H. Shen, and S. Dong (2013). Embryonic Exposure to PFOS Induces Immunosuppression in the Fish Larvae of Marine Medaka. Ecotoxicol. Environ. Saf., 92, 104-111. doi:10.1016/j.ecoenv.2013.03.005. ECOREF#:175213</t>
        </is>
      </c>
    </row>
    <row r="65">
      <c r="A65" t="n">
        <v>1763231.0</v>
      </c>
      <c r="B65" t="inlineStr">
        <is>
          <t>1,1,2,2,3,3,4,4,5,5,6,6,7,7,8,8,8-Heptadecafluoro-1-octanesulfonic acid</t>
        </is>
      </c>
      <c r="C65"/>
      <c r="D65" t="inlineStr">
        <is>
          <t>Measured</t>
        </is>
      </c>
      <c r="E65"/>
      <c r="F65"/>
      <c r="G65"/>
      <c r="H65"/>
      <c r="I65"/>
      <c r="J65"/>
      <c r="K65" t="inlineStr">
        <is>
          <t>Oryzias melastigma</t>
        </is>
      </c>
      <c r="L65" t="inlineStr">
        <is>
          <t>Indian Medaka</t>
        </is>
      </c>
      <c r="M65" t="inlineStr">
        <is>
          <t>Fish</t>
        </is>
      </c>
      <c r="N65"/>
      <c r="O65"/>
      <c r="P65" t="n">
        <v>3.0</v>
      </c>
      <c r="Q65"/>
      <c r="R65"/>
      <c r="S65"/>
      <c r="T65"/>
      <c r="U65" t="inlineStr">
        <is>
          <t>Month(s)</t>
        </is>
      </c>
      <c r="V65" t="inlineStr">
        <is>
          <t>Renewal</t>
        </is>
      </c>
      <c r="W65" t="inlineStr">
        <is>
          <t>Salt water</t>
        </is>
      </c>
      <c r="X65" t="inlineStr">
        <is>
          <t>Lab</t>
        </is>
      </c>
      <c r="Y65" t="n">
        <v>2.0</v>
      </c>
      <c r="Z65" t="inlineStr">
        <is>
          <t>Active ingredient</t>
        </is>
      </c>
      <c r="AA65"/>
      <c r="AB65" t="n">
        <v>0.1002</v>
      </c>
      <c r="AC65"/>
      <c r="AD65"/>
      <c r="AE65"/>
      <c r="AF65"/>
      <c r="AG65" t="inlineStr">
        <is>
          <t>AI mg/L</t>
        </is>
      </c>
      <c r="AH65"/>
      <c r="AI65"/>
      <c r="AJ65"/>
      <c r="AK65"/>
      <c r="AL65"/>
      <c r="AM65"/>
      <c r="AN65"/>
      <c r="AO65"/>
      <c r="AP65"/>
      <c r="AQ65"/>
      <c r="AR65"/>
      <c r="AS65"/>
      <c r="AT65"/>
      <c r="AU65"/>
      <c r="AV65"/>
      <c r="AW65"/>
      <c r="AX65" t="inlineStr">
        <is>
          <t>Accumulation</t>
        </is>
      </c>
      <c r="AY65" t="inlineStr">
        <is>
          <t>Multiple measurement terms entered</t>
        </is>
      </c>
      <c r="AZ65"/>
      <c r="BA65" t="inlineStr">
        <is>
          <t>Multiple entries</t>
        </is>
      </c>
      <c r="BB65"/>
      <c r="BC65"/>
      <c r="BD65"/>
      <c r="BE65" t="n">
        <v>0.0208</v>
      </c>
      <c r="BF65"/>
      <c r="BG65" t="n">
        <v>28.0</v>
      </c>
      <c r="BH65" t="inlineStr">
        <is>
          <t>Day(s)</t>
        </is>
      </c>
      <c r="BI65"/>
      <c r="BJ65"/>
      <c r="BK65"/>
      <c r="BL65"/>
      <c r="BM65"/>
      <c r="BN65"/>
      <c r="BO65" t="inlineStr">
        <is>
          <t>--</t>
        </is>
      </c>
      <c r="BP65"/>
      <c r="BQ65"/>
      <c r="BR65"/>
      <c r="BS65"/>
      <c r="BT65"/>
      <c r="BU65"/>
      <c r="BV65"/>
      <c r="BW65"/>
      <c r="BX65"/>
      <c r="BY65"/>
      <c r="BZ65"/>
      <c r="CA65"/>
      <c r="CB65"/>
      <c r="CC65"/>
      <c r="CD65" t="inlineStr">
        <is>
          <t>Avellan-Llaguno,R.D., X. Liu, L. Liu, S. Dong, and Q. Huang</t>
        </is>
      </c>
      <c r="CE65" t="n">
        <v>184739.0</v>
      </c>
      <c r="CF65" t="inlineStr">
        <is>
          <t>Elevated Bioaccumulation of PFAAs in Oryzias melastigma Following the Increase of Salinity Is Associated with the up-Regulated Expression of PFAA-Binding Proteins</t>
        </is>
      </c>
      <c r="CG65" t="inlineStr">
        <is>
          <t>Sci. Total Environ.725:10 p.</t>
        </is>
      </c>
      <c r="CH65" t="n">
        <v>2020.0</v>
      </c>
      <c r="CI65"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66">
      <c r="A66" t="n">
        <v>1763231.0</v>
      </c>
      <c r="B66" t="inlineStr">
        <is>
          <t>1,1,2,2,3,3,4,4,5,5,6,6,7,7,8,8,8-Heptadecafluoro-1-octanesulfonic acid</t>
        </is>
      </c>
      <c r="C66"/>
      <c r="D66" t="inlineStr">
        <is>
          <t>Measured</t>
        </is>
      </c>
      <c r="E66"/>
      <c r="F66"/>
      <c r="G66"/>
      <c r="H66"/>
      <c r="I66"/>
      <c r="J66"/>
      <c r="K66" t="inlineStr">
        <is>
          <t>Oryzias melastigma</t>
        </is>
      </c>
      <c r="L66" t="inlineStr">
        <is>
          <t>Indian Medaka</t>
        </is>
      </c>
      <c r="M66" t="inlineStr">
        <is>
          <t>Fish</t>
        </is>
      </c>
      <c r="N66"/>
      <c r="O66"/>
      <c r="P66" t="n">
        <v>3.0</v>
      </c>
      <c r="Q66"/>
      <c r="R66"/>
      <c r="S66"/>
      <c r="T66"/>
      <c r="U66" t="inlineStr">
        <is>
          <t>Month(s)</t>
        </is>
      </c>
      <c r="V66" t="inlineStr">
        <is>
          <t>Renewal</t>
        </is>
      </c>
      <c r="W66" t="inlineStr">
        <is>
          <t>Fresh water</t>
        </is>
      </c>
      <c r="X66" t="inlineStr">
        <is>
          <t>Lab</t>
        </is>
      </c>
      <c r="Y66" t="n">
        <v>2.0</v>
      </c>
      <c r="Z66" t="inlineStr">
        <is>
          <t>Active ingredient</t>
        </is>
      </c>
      <c r="AA66"/>
      <c r="AB66" t="n">
        <v>0.0996</v>
      </c>
      <c r="AC66"/>
      <c r="AD66"/>
      <c r="AE66"/>
      <c r="AF66"/>
      <c r="AG66" t="inlineStr">
        <is>
          <t>AI mg/L</t>
        </is>
      </c>
      <c r="AH66"/>
      <c r="AI66"/>
      <c r="AJ66"/>
      <c r="AK66"/>
      <c r="AL66"/>
      <c r="AM66"/>
      <c r="AN66"/>
      <c r="AO66"/>
      <c r="AP66"/>
      <c r="AQ66"/>
      <c r="AR66"/>
      <c r="AS66"/>
      <c r="AT66"/>
      <c r="AU66"/>
      <c r="AV66"/>
      <c r="AW66"/>
      <c r="AX66" t="inlineStr">
        <is>
          <t>Accumulation</t>
        </is>
      </c>
      <c r="AY66" t="inlineStr">
        <is>
          <t>Multiple measurement terms entered</t>
        </is>
      </c>
      <c r="AZ66"/>
      <c r="BA66" t="inlineStr">
        <is>
          <t>Multiple entries</t>
        </is>
      </c>
      <c r="BB66"/>
      <c r="BC66"/>
      <c r="BD66"/>
      <c r="BE66" t="n">
        <v>0.0208</v>
      </c>
      <c r="BF66"/>
      <c r="BG66" t="n">
        <v>28.0</v>
      </c>
      <c r="BH66" t="inlineStr">
        <is>
          <t>Day(s)</t>
        </is>
      </c>
      <c r="BI66"/>
      <c r="BJ66"/>
      <c r="BK66"/>
      <c r="BL66"/>
      <c r="BM66"/>
      <c r="BN66"/>
      <c r="BO66" t="inlineStr">
        <is>
          <t>--</t>
        </is>
      </c>
      <c r="BP66"/>
      <c r="BQ66"/>
      <c r="BR66"/>
      <c r="BS66"/>
      <c r="BT66"/>
      <c r="BU66"/>
      <c r="BV66"/>
      <c r="BW66"/>
      <c r="BX66"/>
      <c r="BY66"/>
      <c r="BZ66"/>
      <c r="CA66"/>
      <c r="CB66"/>
      <c r="CC66"/>
      <c r="CD66" t="inlineStr">
        <is>
          <t>Avellan-Llaguno,R.D., X. Liu, L. Liu, S. Dong, and Q. Huang</t>
        </is>
      </c>
      <c r="CE66" t="n">
        <v>184739.0</v>
      </c>
      <c r="CF66" t="inlineStr">
        <is>
          <t>Elevated Bioaccumulation of PFAAs in Oryzias melastigma Following the Increase of Salinity Is Associated with the up-Regulated Expression of PFAA-Binding Proteins</t>
        </is>
      </c>
      <c r="CG66" t="inlineStr">
        <is>
          <t>Sci. Total Environ.725:10 p.</t>
        </is>
      </c>
      <c r="CH66" t="n">
        <v>2020.0</v>
      </c>
      <c r="CI66"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67">
      <c r="A67" t="n">
        <v>1763231.0</v>
      </c>
      <c r="B67" t="inlineStr">
        <is>
          <t>1,1,2,2,3,3,4,4,5,5,6,6,7,7,8,8,8-Heptadecafluoro-1-octanesulfonic acid</t>
        </is>
      </c>
      <c r="C67"/>
      <c r="D67" t="inlineStr">
        <is>
          <t>Unmeasured</t>
        </is>
      </c>
      <c r="E67"/>
      <c r="F67"/>
      <c r="G67"/>
      <c r="H67"/>
      <c r="I67"/>
      <c r="J67"/>
      <c r="K67" t="inlineStr">
        <is>
          <t>Oreochromis niloticus</t>
        </is>
      </c>
      <c r="L67" t="inlineStr">
        <is>
          <t>Nile Tilapia</t>
        </is>
      </c>
      <c r="M67" t="inlineStr">
        <is>
          <t>Fish</t>
        </is>
      </c>
      <c r="N67"/>
      <c r="O67"/>
      <c r="P67"/>
      <c r="Q67"/>
      <c r="R67"/>
      <c r="S67"/>
      <c r="T67"/>
      <c r="U67"/>
      <c r="V67" t="inlineStr">
        <is>
          <t>Food</t>
        </is>
      </c>
      <c r="W67" t="inlineStr">
        <is>
          <t>Fresh water</t>
        </is>
      </c>
      <c r="X67" t="inlineStr">
        <is>
          <t>Lab</t>
        </is>
      </c>
      <c r="Y67" t="n">
        <v>4.0</v>
      </c>
      <c r="Z67" t="inlineStr">
        <is>
          <t>Formulation</t>
        </is>
      </c>
      <c r="AA67"/>
      <c r="AB67" t="n">
        <v>5000.0</v>
      </c>
      <c r="AC67"/>
      <c r="AD67"/>
      <c r="AE67"/>
      <c r="AF67"/>
      <c r="AG67" t="inlineStr">
        <is>
          <t>AI mg/kg bdwt</t>
        </is>
      </c>
      <c r="AH67"/>
      <c r="AI67"/>
      <c r="AJ67"/>
      <c r="AK67"/>
      <c r="AL67"/>
      <c r="AM67"/>
      <c r="AN67"/>
      <c r="AO67"/>
      <c r="AP67"/>
      <c r="AQ67"/>
      <c r="AR67"/>
      <c r="AS67"/>
      <c r="AT67"/>
      <c r="AU67"/>
      <c r="AV67"/>
      <c r="AW67"/>
      <c r="AX67" t="inlineStr">
        <is>
          <t>Accumulation</t>
        </is>
      </c>
      <c r="AY67" t="inlineStr">
        <is>
          <t>Residue</t>
        </is>
      </c>
      <c r="AZ67"/>
      <c r="BA67" t="inlineStr">
        <is>
          <t>Multiple entries</t>
        </is>
      </c>
      <c r="BB67"/>
      <c r="BC67"/>
      <c r="BD67"/>
      <c r="BE67" t="n">
        <v>1.0</v>
      </c>
      <c r="BF67"/>
      <c r="BG67" t="n">
        <v>6.0</v>
      </c>
      <c r="BH67" t="inlineStr">
        <is>
          <t>Day(s)</t>
        </is>
      </c>
      <c r="BI67"/>
      <c r="BJ67"/>
      <c r="BK67"/>
      <c r="BL67"/>
      <c r="BM67"/>
      <c r="BN67"/>
      <c r="BO67" t="inlineStr">
        <is>
          <t>--</t>
        </is>
      </c>
      <c r="BP67"/>
      <c r="BQ67"/>
      <c r="BR67"/>
      <c r="BS67"/>
      <c r="BT67"/>
      <c r="BU67"/>
      <c r="BV67"/>
      <c r="BW67"/>
      <c r="BX67"/>
      <c r="BY67"/>
      <c r="BZ67"/>
      <c r="CA67"/>
      <c r="CB67"/>
      <c r="CC67"/>
      <c r="CD67" t="inlineStr">
        <is>
          <t>Han,Z.X., M. Zhang, and C.X. Lv</t>
        </is>
      </c>
      <c r="CE67" t="n">
        <v>184334.0</v>
      </c>
      <c r="CF67" t="inlineStr">
        <is>
          <t>Toxicokinetic Behaviors and Modes of Perfluorooctane Sulfonate (PFOS) and Perfluorooctane Acid (PFOA) on Tilapia (Oreochromis niloticus)</t>
        </is>
      </c>
      <c r="CG67" t="inlineStr">
        <is>
          <t>Afr. J. Biotechnol.(60): 12943-12950</t>
        </is>
      </c>
      <c r="CH67" t="n">
        <v>2011.0</v>
      </c>
      <c r="CI67" t="inlineStr">
        <is>
          <t>Han,Z.X., M. Zhang, and C.X. Lv (2011). Toxicokinetic Behaviors and Modes of Perfluorooctane Sulfonate (PFOS) and Perfluorooctane Acid (PFOA) on Tilapia (Oreochromis niloticus). Afr. J. Biotechnol., (60), 12943-12950. ECOREF#:184334</t>
        </is>
      </c>
    </row>
    <row r="68">
      <c r="A68" t="n">
        <v>1763231.0</v>
      </c>
      <c r="B68" t="inlineStr">
        <is>
          <t>1,1,2,2,3,3,4,4,5,5,6,6,7,7,8,8,8-Heptadecafluoro-1-octanesulfonic acid</t>
        </is>
      </c>
      <c r="C68"/>
      <c r="D68" t="inlineStr">
        <is>
          <t>Measured</t>
        </is>
      </c>
      <c r="E68"/>
      <c r="F68"/>
      <c r="G68"/>
      <c r="H68"/>
      <c r="I68"/>
      <c r="J68"/>
      <c r="K68" t="inlineStr">
        <is>
          <t>Oryzias melastigma</t>
        </is>
      </c>
      <c r="L68" t="inlineStr">
        <is>
          <t>Indian Medaka</t>
        </is>
      </c>
      <c r="M68" t="inlineStr">
        <is>
          <t>Fish</t>
        </is>
      </c>
      <c r="N68"/>
      <c r="O68"/>
      <c r="P68" t="n">
        <v>3.0</v>
      </c>
      <c r="Q68"/>
      <c r="R68"/>
      <c r="S68"/>
      <c r="T68"/>
      <c r="U68" t="inlineStr">
        <is>
          <t>Month(s)</t>
        </is>
      </c>
      <c r="V68" t="inlineStr">
        <is>
          <t>Renewal</t>
        </is>
      </c>
      <c r="W68" t="inlineStr">
        <is>
          <t>Salt water</t>
        </is>
      </c>
      <c r="X68" t="inlineStr">
        <is>
          <t>Lab</t>
        </is>
      </c>
      <c r="Y68" t="n">
        <v>2.0</v>
      </c>
      <c r="Z68" t="inlineStr">
        <is>
          <t>Active ingredient</t>
        </is>
      </c>
      <c r="AA68"/>
      <c r="AB68" t="n">
        <v>0.0977</v>
      </c>
      <c r="AC68"/>
      <c r="AD68"/>
      <c r="AE68"/>
      <c r="AF68"/>
      <c r="AG68" t="inlineStr">
        <is>
          <t>AI mg/L</t>
        </is>
      </c>
      <c r="AH68"/>
      <c r="AI68"/>
      <c r="AJ68"/>
      <c r="AK68"/>
      <c r="AL68"/>
      <c r="AM68"/>
      <c r="AN68"/>
      <c r="AO68"/>
      <c r="AP68"/>
      <c r="AQ68"/>
      <c r="AR68"/>
      <c r="AS68"/>
      <c r="AT68"/>
      <c r="AU68"/>
      <c r="AV68"/>
      <c r="AW68"/>
      <c r="AX68" t="inlineStr">
        <is>
          <t>Accumulation</t>
        </is>
      </c>
      <c r="AY68" t="inlineStr">
        <is>
          <t>Multiple measurement terms entered</t>
        </is>
      </c>
      <c r="AZ68"/>
      <c r="BA68" t="inlineStr">
        <is>
          <t>Multiple entries</t>
        </is>
      </c>
      <c r="BB68"/>
      <c r="BC68"/>
      <c r="BD68"/>
      <c r="BE68" t="n">
        <v>0.0208</v>
      </c>
      <c r="BF68"/>
      <c r="BG68" t="n">
        <v>28.0</v>
      </c>
      <c r="BH68" t="inlineStr">
        <is>
          <t>Day(s)</t>
        </is>
      </c>
      <c r="BI68"/>
      <c r="BJ68"/>
      <c r="BK68"/>
      <c r="BL68"/>
      <c r="BM68"/>
      <c r="BN68"/>
      <c r="BO68" t="inlineStr">
        <is>
          <t>--</t>
        </is>
      </c>
      <c r="BP68"/>
      <c r="BQ68"/>
      <c r="BR68"/>
      <c r="BS68"/>
      <c r="BT68"/>
      <c r="BU68"/>
      <c r="BV68"/>
      <c r="BW68"/>
      <c r="BX68"/>
      <c r="BY68"/>
      <c r="BZ68"/>
      <c r="CA68"/>
      <c r="CB68"/>
      <c r="CC68"/>
      <c r="CD68" t="inlineStr">
        <is>
          <t>Avellan-Llaguno,R.D., X. Liu, L. Liu, S. Dong, and Q. Huang</t>
        </is>
      </c>
      <c r="CE68" t="n">
        <v>184739.0</v>
      </c>
      <c r="CF68" t="inlineStr">
        <is>
          <t>Elevated Bioaccumulation of PFAAs in Oryzias melastigma Following the Increase of Salinity Is Associated with the up-Regulated Expression of PFAA-Binding Proteins</t>
        </is>
      </c>
      <c r="CG68" t="inlineStr">
        <is>
          <t>Sci. Total Environ.725:10 p.</t>
        </is>
      </c>
      <c r="CH68" t="n">
        <v>2020.0</v>
      </c>
      <c r="CI68"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69">
      <c r="A69" t="n">
        <v>1763231.0</v>
      </c>
      <c r="B69" t="inlineStr">
        <is>
          <t>1,1,2,2,3,3,4,4,5,5,6,6,7,7,8,8,8-Heptadecafluoro-1-octanesulfonic acid</t>
        </is>
      </c>
      <c r="C69" t="inlineStr">
        <is>
          <t>Technical grade, technical product, technical formulation</t>
        </is>
      </c>
      <c r="D69" t="inlineStr">
        <is>
          <t>Unmeasured</t>
        </is>
      </c>
      <c r="E69"/>
      <c r="F69"/>
      <c r="G69"/>
      <c r="H69"/>
      <c r="I69"/>
      <c r="J69"/>
      <c r="K69" t="inlineStr">
        <is>
          <t>Gadus morhua</t>
        </is>
      </c>
      <c r="L69" t="inlineStr">
        <is>
          <t>Atlantic Cod</t>
        </is>
      </c>
      <c r="M69" t="inlineStr">
        <is>
          <t>Fish</t>
        </is>
      </c>
      <c r="N69" t="inlineStr">
        <is>
          <t>Juvenile</t>
        </is>
      </c>
      <c r="O69"/>
      <c r="P69"/>
      <c r="Q69"/>
      <c r="R69"/>
      <c r="S69"/>
      <c r="T69"/>
      <c r="U69"/>
      <c r="V69" t="inlineStr">
        <is>
          <t>Pulse</t>
        </is>
      </c>
      <c r="W69" t="inlineStr">
        <is>
          <t>Salt water</t>
        </is>
      </c>
      <c r="X69" t="inlineStr">
        <is>
          <t>Lab</t>
        </is>
      </c>
      <c r="Y69" t="n">
        <v>3.0</v>
      </c>
      <c r="Z69" t="inlineStr">
        <is>
          <t>Active ingredient</t>
        </is>
      </c>
      <c r="AA69"/>
      <c r="AB69"/>
      <c r="AC69"/>
      <c r="AD69" t="n">
        <v>0.1</v>
      </c>
      <c r="AE69"/>
      <c r="AF69" t="n">
        <v>0.2</v>
      </c>
      <c r="AG69" t="inlineStr">
        <is>
          <t>AI mg/L</t>
        </is>
      </c>
      <c r="AH69"/>
      <c r="AI69"/>
      <c r="AJ69"/>
      <c r="AK69"/>
      <c r="AL69"/>
      <c r="AM69"/>
      <c r="AN69"/>
      <c r="AO69"/>
      <c r="AP69"/>
      <c r="AQ69"/>
      <c r="AR69"/>
      <c r="AS69"/>
      <c r="AT69"/>
      <c r="AU69"/>
      <c r="AV69"/>
      <c r="AW69"/>
      <c r="AX69" t="inlineStr">
        <is>
          <t>Accumulation</t>
        </is>
      </c>
      <c r="AY69" t="inlineStr">
        <is>
          <t>Uptake</t>
        </is>
      </c>
      <c r="AZ69"/>
      <c r="BA69" t="inlineStr">
        <is>
          <t>Residual, remnant, carcass</t>
        </is>
      </c>
      <c r="BB69"/>
      <c r="BC69"/>
      <c r="BD69"/>
      <c r="BE69" t="n">
        <v>8.0</v>
      </c>
      <c r="BF69"/>
      <c r="BG69" t="n">
        <v>14.0</v>
      </c>
      <c r="BH69" t="inlineStr">
        <is>
          <t>Day(s)</t>
        </is>
      </c>
      <c r="BI69"/>
      <c r="BJ69"/>
      <c r="BK69"/>
      <c r="BL69"/>
      <c r="BM69"/>
      <c r="BN69"/>
      <c r="BO69" t="inlineStr">
        <is>
          <t>--</t>
        </is>
      </c>
      <c r="BP69"/>
      <c r="BQ69"/>
      <c r="BR69"/>
      <c r="BS69"/>
      <c r="BT69"/>
      <c r="BU69"/>
      <c r="BV69"/>
      <c r="BW69"/>
      <c r="BX69"/>
      <c r="BY69"/>
      <c r="BZ69"/>
      <c r="CA69"/>
      <c r="CB69"/>
      <c r="CC69"/>
      <c r="CD69" t="inlineStr">
        <is>
          <t>Preus-Olsen,G., M.O. Olufsen, S.A. Pedersen, R.J. Letcher, and A. Arukwe</t>
        </is>
      </c>
      <c r="CE69" t="n">
        <v>175185.0</v>
      </c>
      <c r="CF69" t="inlineStr">
        <is>
          <t>Effects of Elevated Dissolved Carbon Dioxide and Perfluorooctane Sulfonic Acid, Given Singly and in Combination, on Steroidogenic and Biotransformation Pathways of Atlantic Cod</t>
        </is>
      </c>
      <c r="CG69" t="inlineStr">
        <is>
          <t>Aquat. Toxicol.155:222-235</t>
        </is>
      </c>
      <c r="CH69" t="n">
        <v>2014.0</v>
      </c>
      <c r="CI69" t="inlineStr">
        <is>
          <t>Preus-Olsen,G., M.O. Olufsen, S.A. Pedersen, R.J. Letcher, and A. Arukwe (2014). Effects of Elevated Dissolved Carbon Dioxide and Perfluorooctane Sulfonic Acid, Given Singly and in Combination, on Steroidogenic and Biotransformation Pathways of Atlantic Cod. Aquat. Toxicol., 155, 222-235. doi:10.1016/j.aquatox.2014.06.017. ECOREF#:175185</t>
        </is>
      </c>
    </row>
    <row r="70">
      <c r="A70" t="n">
        <v>1763231.0</v>
      </c>
      <c r="B70" t="inlineStr">
        <is>
          <t>1,1,2,2,3,3,4,4,5,5,6,6,7,7,8,8,8-Heptadecafluoro-1-octanesulfonic acid</t>
        </is>
      </c>
      <c r="C70"/>
      <c r="D70" t="inlineStr">
        <is>
          <t>Unmeasured</t>
        </is>
      </c>
      <c r="E70"/>
      <c r="F70" t="n">
        <v>97.0</v>
      </c>
      <c r="G70"/>
      <c r="H70"/>
      <c r="I70"/>
      <c r="J70"/>
      <c r="K70" t="inlineStr">
        <is>
          <t>Salvelinus alpinus</t>
        </is>
      </c>
      <c r="L70" t="inlineStr">
        <is>
          <t>Arctic Char</t>
        </is>
      </c>
      <c r="M70" t="inlineStr">
        <is>
          <t>Fish</t>
        </is>
      </c>
      <c r="N70" t="inlineStr">
        <is>
          <t>Oocyte, ova</t>
        </is>
      </c>
      <c r="O70"/>
      <c r="P70"/>
      <c r="Q70"/>
      <c r="R70"/>
      <c r="S70"/>
      <c r="T70"/>
      <c r="U70"/>
      <c r="V70" t="inlineStr">
        <is>
          <t>Static</t>
        </is>
      </c>
      <c r="W70" t="inlineStr">
        <is>
          <t>Culture</t>
        </is>
      </c>
      <c r="X70" t="inlineStr">
        <is>
          <t>Lab</t>
        </is>
      </c>
      <c r="Y70" t="n">
        <v>5.0</v>
      </c>
      <c r="Z70" t="inlineStr">
        <is>
          <t>Active ingredient</t>
        </is>
      </c>
      <c r="AA70"/>
      <c r="AB70"/>
      <c r="AC70"/>
      <c r="AD70" t="n">
        <v>1.0</v>
      </c>
      <c r="AE70"/>
      <c r="AF70" t="n">
        <v>1000.0</v>
      </c>
      <c r="AG70" t="inlineStr">
        <is>
          <t>AI mg/L</t>
        </is>
      </c>
      <c r="AH70"/>
      <c r="AI70"/>
      <c r="AJ70"/>
      <c r="AK70"/>
      <c r="AL70"/>
      <c r="AM70"/>
      <c r="AN70"/>
      <c r="AO70"/>
      <c r="AP70"/>
      <c r="AQ70"/>
      <c r="AR70"/>
      <c r="AS70"/>
      <c r="AT70"/>
      <c r="AU70"/>
      <c r="AV70"/>
      <c r="AW70"/>
      <c r="AX70" t="inlineStr">
        <is>
          <t>Accumulation</t>
        </is>
      </c>
      <c r="AY70" t="inlineStr">
        <is>
          <t>Residue</t>
        </is>
      </c>
      <c r="AZ70"/>
      <c r="BA70" t="inlineStr">
        <is>
          <t>Multiple entries</t>
        </is>
      </c>
      <c r="BB70"/>
      <c r="BC70" t="n">
        <v>0.125</v>
      </c>
      <c r="BD70"/>
      <c r="BE70"/>
      <c r="BF70"/>
      <c r="BG70"/>
      <c r="BH70" t="inlineStr">
        <is>
          <t>Day(s)</t>
        </is>
      </c>
      <c r="BI70"/>
      <c r="BJ70"/>
      <c r="BK70"/>
      <c r="BL70"/>
      <c r="BM70"/>
      <c r="BN70"/>
      <c r="BO70" t="inlineStr">
        <is>
          <t>--</t>
        </is>
      </c>
      <c r="BP70"/>
      <c r="BQ70"/>
      <c r="BR70"/>
      <c r="BS70"/>
      <c r="BT70"/>
      <c r="BU70"/>
      <c r="BV70"/>
      <c r="BW70"/>
      <c r="BX70"/>
      <c r="BY70"/>
      <c r="BZ70"/>
      <c r="CA70"/>
      <c r="CB70"/>
      <c r="CC70"/>
      <c r="CD70" t="inlineStr">
        <is>
          <t>Su,S., Z. Yang, Y. Gong, Y. Xie, J. Tang, C. Wang, X. Zhao, J.C. Raine, J.P. Giesy, and P.D. Jones</t>
        </is>
      </c>
      <c r="CE70" t="n">
        <v>194792.0</v>
      </c>
      <c r="CF70" t="inlineStr">
        <is>
          <t>Apical Effects of Simulated Maternal Exposure of Salmonid Fishes to Novel and Typical Per- and Polyfluoroalkyl Substances</t>
        </is>
      </c>
      <c r="CG70" t="inlineStr">
        <is>
          <t>Environ. Toxicol. Chem.44(7): 1883-1890</t>
        </is>
      </c>
      <c r="CH70" t="n">
        <v>2025.0</v>
      </c>
      <c r="CI70"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row>
    <row r="71">
      <c r="A71" t="n">
        <v>1763231.0</v>
      </c>
      <c r="B71" t="inlineStr">
        <is>
          <t>1,1,2,2,3,3,4,4,5,5,6,6,7,7,8,8,8-Heptadecafluoro-1-octanesulfonic acid</t>
        </is>
      </c>
      <c r="C71"/>
      <c r="D71" t="inlineStr">
        <is>
          <t>Unmeasured</t>
        </is>
      </c>
      <c r="E71"/>
      <c r="F71" t="n">
        <v>98.0</v>
      </c>
      <c r="G71"/>
      <c r="H71"/>
      <c r="I71"/>
      <c r="J71"/>
      <c r="K71" t="inlineStr">
        <is>
          <t>Oryzias melastigma</t>
        </is>
      </c>
      <c r="L71" t="inlineStr">
        <is>
          <t>Indian Medaka</t>
        </is>
      </c>
      <c r="M71" t="inlineStr">
        <is>
          <t>Fish</t>
        </is>
      </c>
      <c r="N71" t="inlineStr">
        <is>
          <t>Egg</t>
        </is>
      </c>
      <c r="O71"/>
      <c r="P71" t="n">
        <v>2.0</v>
      </c>
      <c r="Q71"/>
      <c r="R71"/>
      <c r="S71"/>
      <c r="T71"/>
      <c r="U71" t="inlineStr">
        <is>
          <t>Days post fertilization</t>
        </is>
      </c>
      <c r="V71" t="inlineStr">
        <is>
          <t>Renewal</t>
        </is>
      </c>
      <c r="W71" t="inlineStr">
        <is>
          <t>Salt water</t>
        </is>
      </c>
      <c r="X71" t="inlineStr">
        <is>
          <t>Lab</t>
        </is>
      </c>
      <c r="Y71" t="n">
        <v>4.0</v>
      </c>
      <c r="Z71" t="inlineStr">
        <is>
          <t>Active ingredient</t>
        </is>
      </c>
      <c r="AA71"/>
      <c r="AB71" t="n">
        <v>16.0</v>
      </c>
      <c r="AC71"/>
      <c r="AD71"/>
      <c r="AE71"/>
      <c r="AF71"/>
      <c r="AG71" t="inlineStr">
        <is>
          <t>AI mg/L</t>
        </is>
      </c>
      <c r="AH71"/>
      <c r="AI71"/>
      <c r="AJ71"/>
      <c r="AK71"/>
      <c r="AL71"/>
      <c r="AM71"/>
      <c r="AN71"/>
      <c r="AO71"/>
      <c r="AP71"/>
      <c r="AQ71"/>
      <c r="AR71"/>
      <c r="AS71"/>
      <c r="AT71"/>
      <c r="AU71"/>
      <c r="AV71"/>
      <c r="AW71"/>
      <c r="AX71" t="inlineStr">
        <is>
          <t>Accumulation</t>
        </is>
      </c>
      <c r="AY71" t="inlineStr">
        <is>
          <t>Residue</t>
        </is>
      </c>
      <c r="AZ71"/>
      <c r="BA71" t="inlineStr">
        <is>
          <t>Whole organism</t>
        </is>
      </c>
      <c r="BB71"/>
      <c r="BC71" t="n">
        <v>27.0</v>
      </c>
      <c r="BD71"/>
      <c r="BE71"/>
      <c r="BF71"/>
      <c r="BG71"/>
      <c r="BH71" t="inlineStr">
        <is>
          <t>Day(s)</t>
        </is>
      </c>
      <c r="BI71"/>
      <c r="BJ71"/>
      <c r="BK71"/>
      <c r="BL71"/>
      <c r="BM71"/>
      <c r="BN71"/>
      <c r="BO71" t="inlineStr">
        <is>
          <t>--</t>
        </is>
      </c>
      <c r="BP71"/>
      <c r="BQ71"/>
      <c r="BR71"/>
      <c r="BS71"/>
      <c r="BT71"/>
      <c r="BU71"/>
      <c r="BV71"/>
      <c r="BW71"/>
      <c r="BX71"/>
      <c r="BY71"/>
      <c r="BZ71"/>
      <c r="CA71"/>
      <c r="CB71"/>
      <c r="CC71"/>
      <c r="CD71" t="inlineStr">
        <is>
          <t>Fang,C., Q. Huang, T. Ye, Y. Chen, L. Liu, M. Kang, Y. Lin, H. Shen, and S. Dong</t>
        </is>
      </c>
      <c r="CE71" t="n">
        <v>175213.0</v>
      </c>
      <c r="CF71" t="inlineStr">
        <is>
          <t>Embryonic Exposure to PFOS Induces Immunosuppression in the Fish Larvae of Marine Medaka</t>
        </is>
      </c>
      <c r="CG71" t="inlineStr">
        <is>
          <t>Ecotoxicol. Environ. Saf.92:104-111</t>
        </is>
      </c>
      <c r="CH71" t="n">
        <v>2013.0</v>
      </c>
      <c r="CI71" t="inlineStr">
        <is>
          <t>Fang,C., Q. Huang, T. Ye, Y. Chen, L. Liu, M. Kang, Y. Lin, H. Shen, and S. Dong (2013). Embryonic Exposure to PFOS Induces Immunosuppression in the Fish Larvae of Marine Medaka. Ecotoxicol. Environ. Saf., 92, 104-111. doi:10.1016/j.ecoenv.2013.03.005. ECOREF#:175213</t>
        </is>
      </c>
    </row>
    <row r="72">
      <c r="A72" t="n">
        <v>1763231.0</v>
      </c>
      <c r="B72" t="inlineStr">
        <is>
          <t>1,1,2,2,3,3,4,4,5,5,6,6,7,7,8,8,8-Heptadecafluoro-1-octanesulfonic acid</t>
        </is>
      </c>
      <c r="C72"/>
      <c r="D72" t="inlineStr">
        <is>
          <t>Unmeasured</t>
        </is>
      </c>
      <c r="E72"/>
      <c r="F72" t="n">
        <v>98.0</v>
      </c>
      <c r="G72"/>
      <c r="H72"/>
      <c r="I72"/>
      <c r="J72"/>
      <c r="K72" t="inlineStr">
        <is>
          <t>Oryzias melastigma</t>
        </is>
      </c>
      <c r="L72" t="inlineStr">
        <is>
          <t>Indian Medaka</t>
        </is>
      </c>
      <c r="M72" t="inlineStr">
        <is>
          <t>Fish</t>
        </is>
      </c>
      <c r="N72" t="inlineStr">
        <is>
          <t>Egg</t>
        </is>
      </c>
      <c r="O72"/>
      <c r="P72" t="n">
        <v>2.0</v>
      </c>
      <c r="Q72"/>
      <c r="R72"/>
      <c r="S72"/>
      <c r="T72"/>
      <c r="U72" t="inlineStr">
        <is>
          <t>Days post fertilization</t>
        </is>
      </c>
      <c r="V72" t="inlineStr">
        <is>
          <t>Renewal</t>
        </is>
      </c>
      <c r="W72" t="inlineStr">
        <is>
          <t>Salt water</t>
        </is>
      </c>
      <c r="X72" t="inlineStr">
        <is>
          <t>Lab</t>
        </is>
      </c>
      <c r="Y72" t="n">
        <v>4.0</v>
      </c>
      <c r="Z72" t="inlineStr">
        <is>
          <t>Active ingredient</t>
        </is>
      </c>
      <c r="AA72"/>
      <c r="AB72" t="n">
        <v>16.0</v>
      </c>
      <c r="AC72"/>
      <c r="AD72"/>
      <c r="AE72"/>
      <c r="AF72"/>
      <c r="AG72" t="inlineStr">
        <is>
          <t>AI mg/L</t>
        </is>
      </c>
      <c r="AH72"/>
      <c r="AI72"/>
      <c r="AJ72"/>
      <c r="AK72"/>
      <c r="AL72"/>
      <c r="AM72"/>
      <c r="AN72"/>
      <c r="AO72"/>
      <c r="AP72"/>
      <c r="AQ72"/>
      <c r="AR72"/>
      <c r="AS72"/>
      <c r="AT72"/>
      <c r="AU72"/>
      <c r="AV72"/>
      <c r="AW72"/>
      <c r="AX72" t="inlineStr">
        <is>
          <t>Accumulation</t>
        </is>
      </c>
      <c r="AY72" t="inlineStr">
        <is>
          <t>Residue</t>
        </is>
      </c>
      <c r="AZ72"/>
      <c r="BA72" t="inlineStr">
        <is>
          <t>Whole organism</t>
        </is>
      </c>
      <c r="BB72"/>
      <c r="BC72" t="n">
        <v>10.0</v>
      </c>
      <c r="BD72"/>
      <c r="BE72"/>
      <c r="BF72"/>
      <c r="BG72"/>
      <c r="BH72" t="inlineStr">
        <is>
          <t>Day(s)</t>
        </is>
      </c>
      <c r="BI72"/>
      <c r="BJ72"/>
      <c r="BK72"/>
      <c r="BL72"/>
      <c r="BM72"/>
      <c r="BN72"/>
      <c r="BO72" t="inlineStr">
        <is>
          <t>--</t>
        </is>
      </c>
      <c r="BP72"/>
      <c r="BQ72"/>
      <c r="BR72"/>
      <c r="BS72"/>
      <c r="BT72"/>
      <c r="BU72"/>
      <c r="BV72"/>
      <c r="BW72"/>
      <c r="BX72"/>
      <c r="BY72"/>
      <c r="BZ72"/>
      <c r="CA72"/>
      <c r="CB72"/>
      <c r="CC72"/>
      <c r="CD72" t="inlineStr">
        <is>
          <t>Fang,C., Q. Huang, T. Ye, Y. Chen, L. Liu, M. Kang, Y. Lin, H. Shen, and S. Dong</t>
        </is>
      </c>
      <c r="CE72" t="n">
        <v>175213.0</v>
      </c>
      <c r="CF72" t="inlineStr">
        <is>
          <t>Embryonic Exposure to PFOS Induces Immunosuppression in the Fish Larvae of Marine Medaka</t>
        </is>
      </c>
      <c r="CG72" t="inlineStr">
        <is>
          <t>Ecotoxicol. Environ. Saf.92:104-111</t>
        </is>
      </c>
      <c r="CH72" t="n">
        <v>2013.0</v>
      </c>
      <c r="CI72" t="inlineStr">
        <is>
          <t>Fang,C., Q. Huang, T. Ye, Y. Chen, L. Liu, M. Kang, Y. Lin, H. Shen, and S. Dong (2013). Embryonic Exposure to PFOS Induces Immunosuppression in the Fish Larvae of Marine Medaka. Ecotoxicol. Environ. Saf., 92, 104-111. doi:10.1016/j.ecoenv.2013.03.005. ECOREF#:175213</t>
        </is>
      </c>
    </row>
    <row r="73">
      <c r="A73" t="n">
        <v>1763231.0</v>
      </c>
      <c r="B73" t="inlineStr">
        <is>
          <t>1,1,2,2,3,3,4,4,5,5,6,6,7,7,8,8,8-Heptadecafluoro-1-octanesulfonic acid</t>
        </is>
      </c>
      <c r="C73"/>
      <c r="D73" t="inlineStr">
        <is>
          <t>Measured</t>
        </is>
      </c>
      <c r="E73" t="inlineStr">
        <is>
          <t>&gt;</t>
        </is>
      </c>
      <c r="F73" t="n">
        <v>95.0</v>
      </c>
      <c r="G73"/>
      <c r="H73"/>
      <c r="I73"/>
      <c r="J73"/>
      <c r="K73" t="inlineStr">
        <is>
          <t>Danio rerio</t>
        </is>
      </c>
      <c r="L73" t="inlineStr">
        <is>
          <t>Zebra Danio</t>
        </is>
      </c>
      <c r="M73" t="inlineStr">
        <is>
          <t>Fish; Standard Test Species</t>
        </is>
      </c>
      <c r="N73" t="inlineStr">
        <is>
          <t>Embryo</t>
        </is>
      </c>
      <c r="O73"/>
      <c r="P73" t="n">
        <v>64.0</v>
      </c>
      <c r="Q73"/>
      <c r="R73"/>
      <c r="S73"/>
      <c r="T73"/>
      <c r="U73" t="inlineStr">
        <is>
          <t>Cell stage</t>
        </is>
      </c>
      <c r="V73" t="inlineStr">
        <is>
          <t>Renewal</t>
        </is>
      </c>
      <c r="W73" t="inlineStr">
        <is>
          <t>Culture</t>
        </is>
      </c>
      <c r="X73" t="inlineStr">
        <is>
          <t>Lab</t>
        </is>
      </c>
      <c r="Y73" t="n">
        <v>3.0</v>
      </c>
      <c r="Z73" t="inlineStr">
        <is>
          <t>Active ingredient</t>
        </is>
      </c>
      <c r="AA73"/>
      <c r="AB73" t="n">
        <v>1.73043942</v>
      </c>
      <c r="AC73"/>
      <c r="AD73"/>
      <c r="AE73"/>
      <c r="AF73"/>
      <c r="AG73" t="inlineStr">
        <is>
          <t>AI mg/L</t>
        </is>
      </c>
      <c r="AH73"/>
      <c r="AI73"/>
      <c r="AJ73"/>
      <c r="AK73"/>
      <c r="AL73"/>
      <c r="AM73"/>
      <c r="AN73"/>
      <c r="AO73"/>
      <c r="AP73"/>
      <c r="AQ73"/>
      <c r="AR73"/>
      <c r="AS73"/>
      <c r="AT73"/>
      <c r="AU73"/>
      <c r="AV73"/>
      <c r="AW73"/>
      <c r="AX73" t="inlineStr">
        <is>
          <t>Accumulation</t>
        </is>
      </c>
      <c r="AY73" t="inlineStr">
        <is>
          <t>Residue</t>
        </is>
      </c>
      <c r="AZ73" t="inlineStr">
        <is>
          <t>BCF</t>
        </is>
      </c>
      <c r="BA73" t="inlineStr">
        <is>
          <t>Whole organism</t>
        </is>
      </c>
      <c r="BB73"/>
      <c r="BC73" t="n">
        <v>5.0</v>
      </c>
      <c r="BD73"/>
      <c r="BE73"/>
      <c r="BF73"/>
      <c r="BG73"/>
      <c r="BH73" t="inlineStr">
        <is>
          <t>Day(s) post-fertilization</t>
        </is>
      </c>
      <c r="BI73"/>
      <c r="BJ73" t="n">
        <v>91.0</v>
      </c>
      <c r="BK73"/>
      <c r="BL73"/>
      <c r="BM73"/>
      <c r="BN73"/>
      <c r="BO73" t="inlineStr">
        <is>
          <t>L/kg</t>
        </is>
      </c>
      <c r="BP73"/>
      <c r="BQ73"/>
      <c r="BR73"/>
      <c r="BS73"/>
      <c r="BT73"/>
      <c r="BU73"/>
      <c r="BV73"/>
      <c r="BW73"/>
      <c r="BX73"/>
      <c r="BY73"/>
      <c r="BZ73"/>
      <c r="CA73"/>
      <c r="CB73"/>
      <c r="CC73"/>
      <c r="CD73" t="inlineStr">
        <is>
          <t>Han,J., W. Gu, H. Barrett, D. Yang, S. Tang, J. Sun, J. Liu, H.M. Krause, K.A. Houck, and H. Peng</t>
        </is>
      </c>
      <c r="CE73" t="n">
        <v>190831.0</v>
      </c>
      <c r="CF73" t="inlineStr">
        <is>
          <t>A Roadmap to the Structure-Related Metabolism Pathways of Per- and Polyfluoroalkyl Substances in the Early Life Stages of Zebrafish (Danio rerio)</t>
        </is>
      </c>
      <c r="CG73" t="inlineStr">
        <is>
          <t>Environ. Health Perspect.129(7): 15 p.</t>
        </is>
      </c>
      <c r="CH73" t="n">
        <v>2021.0</v>
      </c>
      <c r="CI73"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74">
      <c r="A74" t="n">
        <v>1763231.0</v>
      </c>
      <c r="B74" t="inlineStr">
        <is>
          <t>1,1,2,2,3,3,4,4,5,5,6,6,7,7,8,8,8-Heptadecafluoro-1-octanesulfonic acid</t>
        </is>
      </c>
      <c r="C74"/>
      <c r="D74" t="inlineStr">
        <is>
          <t>Measured</t>
        </is>
      </c>
      <c r="E74" t="inlineStr">
        <is>
          <t>&gt;=</t>
        </is>
      </c>
      <c r="F74" t="n">
        <v>98.0</v>
      </c>
      <c r="G74"/>
      <c r="H74"/>
      <c r="I74"/>
      <c r="J74"/>
      <c r="K74" t="inlineStr">
        <is>
          <t>Danio rerio</t>
        </is>
      </c>
      <c r="L74" t="inlineStr">
        <is>
          <t>Zebra Danio</t>
        </is>
      </c>
      <c r="M74" t="inlineStr">
        <is>
          <t>Fish; Standard Test Species</t>
        </is>
      </c>
      <c r="N74" t="inlineStr">
        <is>
          <t>Embryo</t>
        </is>
      </c>
      <c r="O74"/>
      <c r="P74" t="n">
        <v>3.0</v>
      </c>
      <c r="Q74"/>
      <c r="R74"/>
      <c r="S74"/>
      <c r="T74"/>
      <c r="U74" t="inlineStr">
        <is>
          <t>Hours post fertilization</t>
        </is>
      </c>
      <c r="V74" t="inlineStr">
        <is>
          <t>Renewal</t>
        </is>
      </c>
      <c r="W74" t="inlineStr">
        <is>
          <t>Fresh water</t>
        </is>
      </c>
      <c r="X74" t="inlineStr">
        <is>
          <t>Lab</t>
        </is>
      </c>
      <c r="Y74" t="n">
        <v>4.0</v>
      </c>
      <c r="Z74" t="inlineStr">
        <is>
          <t>Active ingredient</t>
        </is>
      </c>
      <c r="AA74"/>
      <c r="AB74"/>
      <c r="AC74"/>
      <c r="AD74" t="n">
        <v>1.3096</v>
      </c>
      <c r="AE74"/>
      <c r="AF74" t="n">
        <v>1.3684</v>
      </c>
      <c r="AG74" t="inlineStr">
        <is>
          <t>AI mg/L</t>
        </is>
      </c>
      <c r="AH74"/>
      <c r="AI74"/>
      <c r="AJ74"/>
      <c r="AK74"/>
      <c r="AL74"/>
      <c r="AM74"/>
      <c r="AN74"/>
      <c r="AO74"/>
      <c r="AP74"/>
      <c r="AQ74"/>
      <c r="AR74"/>
      <c r="AS74"/>
      <c r="AT74"/>
      <c r="AU74"/>
      <c r="AV74"/>
      <c r="AW74"/>
      <c r="AX74" t="inlineStr">
        <is>
          <t>Accumulation</t>
        </is>
      </c>
      <c r="AY74" t="inlineStr">
        <is>
          <t>Residue</t>
        </is>
      </c>
      <c r="AZ74" t="inlineStr">
        <is>
          <t>BCF</t>
        </is>
      </c>
      <c r="BA74"/>
      <c r="BB74"/>
      <c r="BC74" t="n">
        <v>4.0</v>
      </c>
      <c r="BD74"/>
      <c r="BE74"/>
      <c r="BF74"/>
      <c r="BG74"/>
      <c r="BH74" t="inlineStr">
        <is>
          <t>Day(s)</t>
        </is>
      </c>
      <c r="BI74"/>
      <c r="BJ74"/>
      <c r="BK74" t="inlineStr">
        <is>
          <t>&gt;</t>
        </is>
      </c>
      <c r="BL74" t="n">
        <v>100.0</v>
      </c>
      <c r="BM74" t="inlineStr">
        <is>
          <t>&lt;</t>
        </is>
      </c>
      <c r="BN74" t="n">
        <v>200.0</v>
      </c>
      <c r="BO74" t="inlineStr">
        <is>
          <t>L/kg</t>
        </is>
      </c>
      <c r="BP74"/>
      <c r="BQ74"/>
      <c r="BR74"/>
      <c r="BS74"/>
      <c r="BT74"/>
      <c r="BU74"/>
      <c r="BV74"/>
      <c r="BW74"/>
      <c r="BX74"/>
      <c r="BY74"/>
      <c r="BZ74"/>
      <c r="CA74"/>
      <c r="CB74"/>
      <c r="CC74"/>
      <c r="CD74" t="inlineStr">
        <is>
          <t>Tu,W., R. Mart­Nez, L. Navarro-Martin, D.J. Kostyniuk, C. Hum, J. Huang, M. Deng, Y. Jin, H.M. Chan, and J.A. Mennigen</t>
        </is>
      </c>
      <c r="CE74" t="n">
        <v>184259.0</v>
      </c>
      <c r="CF74" t="inlineStr">
        <is>
          <t>Bioconcentration and Metabolic Effects of Emerging PFOS Alternatives in Developing Zebrafish</t>
        </is>
      </c>
      <c r="CG74" t="inlineStr">
        <is>
          <t>Environ. Sci. Technol.22:13427-13439</t>
        </is>
      </c>
      <c r="CH74" t="n">
        <v>2019.0</v>
      </c>
      <c r="CI74" t="inlineStr">
        <is>
          <t>Tu,W., R. Mart­Nez, L. Navarro-Martin, D.J. Kostyniuk, C. Hum, J. Huang, M. Deng, Y. Jin, H.M. Chan, and J.A. Mennigen (2019). Bioconcentration and Metabolic Effects of Emerging PFOS Alternatives in Developing Zebrafish. Environ. Sci. Technol., 22, 13427-13439. doi:10.1021/acs.est.9b03820. ECOREF#:184259</t>
        </is>
      </c>
    </row>
    <row r="75">
      <c r="A75" t="n">
        <v>1763231.0</v>
      </c>
      <c r="B75" t="inlineStr">
        <is>
          <t>1,1,2,2,3,3,4,4,5,5,6,6,7,7,8,8,8-Heptadecafluoro-1-octanesulfonic acid</t>
        </is>
      </c>
      <c r="C75"/>
      <c r="D75" t="inlineStr">
        <is>
          <t>Measured</t>
        </is>
      </c>
      <c r="E75" t="inlineStr">
        <is>
          <t>&gt;=</t>
        </is>
      </c>
      <c r="F75" t="n">
        <v>98.0</v>
      </c>
      <c r="G75"/>
      <c r="H75"/>
      <c r="I75"/>
      <c r="J75"/>
      <c r="K75" t="inlineStr">
        <is>
          <t>Danio rerio</t>
        </is>
      </c>
      <c r="L75" t="inlineStr">
        <is>
          <t>Zebra Danio</t>
        </is>
      </c>
      <c r="M75" t="inlineStr">
        <is>
          <t>Fish; Standard Test Species</t>
        </is>
      </c>
      <c r="N75" t="inlineStr">
        <is>
          <t>Embryo</t>
        </is>
      </c>
      <c r="O75"/>
      <c r="P75" t="n">
        <v>3.0</v>
      </c>
      <c r="Q75"/>
      <c r="R75"/>
      <c r="S75"/>
      <c r="T75"/>
      <c r="U75" t="inlineStr">
        <is>
          <t>Hours post fertilization</t>
        </is>
      </c>
      <c r="V75" t="inlineStr">
        <is>
          <t>Renewal</t>
        </is>
      </c>
      <c r="W75" t="inlineStr">
        <is>
          <t>Fresh water</t>
        </is>
      </c>
      <c r="X75" t="inlineStr">
        <is>
          <t>Lab</t>
        </is>
      </c>
      <c r="Y75" t="n">
        <v>4.0</v>
      </c>
      <c r="Z75" t="inlineStr">
        <is>
          <t>Active ingredient</t>
        </is>
      </c>
      <c r="AA75"/>
      <c r="AB75"/>
      <c r="AC75"/>
      <c r="AD75" t="n">
        <v>0.1196</v>
      </c>
      <c r="AE75"/>
      <c r="AF75" t="n">
        <v>0.1313</v>
      </c>
      <c r="AG75" t="inlineStr">
        <is>
          <t>AI mg/L</t>
        </is>
      </c>
      <c r="AH75"/>
      <c r="AI75"/>
      <c r="AJ75"/>
      <c r="AK75"/>
      <c r="AL75"/>
      <c r="AM75"/>
      <c r="AN75"/>
      <c r="AO75"/>
      <c r="AP75"/>
      <c r="AQ75"/>
      <c r="AR75"/>
      <c r="AS75"/>
      <c r="AT75"/>
      <c r="AU75"/>
      <c r="AV75"/>
      <c r="AW75"/>
      <c r="AX75" t="inlineStr">
        <is>
          <t>Accumulation</t>
        </is>
      </c>
      <c r="AY75" t="inlineStr">
        <is>
          <t>Residue</t>
        </is>
      </c>
      <c r="AZ75" t="inlineStr">
        <is>
          <t>BCF</t>
        </is>
      </c>
      <c r="BA75"/>
      <c r="BB75"/>
      <c r="BC75" t="n">
        <v>4.0</v>
      </c>
      <c r="BD75"/>
      <c r="BE75"/>
      <c r="BF75"/>
      <c r="BG75"/>
      <c r="BH75" t="inlineStr">
        <is>
          <t>Day(s)</t>
        </is>
      </c>
      <c r="BI75"/>
      <c r="BJ75"/>
      <c r="BK75" t="inlineStr">
        <is>
          <t>&gt;</t>
        </is>
      </c>
      <c r="BL75" t="n">
        <v>100.0</v>
      </c>
      <c r="BM75" t="inlineStr">
        <is>
          <t>&lt;</t>
        </is>
      </c>
      <c r="BN75" t="n">
        <v>200.0</v>
      </c>
      <c r="BO75" t="inlineStr">
        <is>
          <t>L/kg</t>
        </is>
      </c>
      <c r="BP75"/>
      <c r="BQ75"/>
      <c r="BR75"/>
      <c r="BS75"/>
      <c r="BT75"/>
      <c r="BU75"/>
      <c r="BV75"/>
      <c r="BW75"/>
      <c r="BX75"/>
      <c r="BY75"/>
      <c r="BZ75"/>
      <c r="CA75"/>
      <c r="CB75"/>
      <c r="CC75"/>
      <c r="CD75" t="inlineStr">
        <is>
          <t>Tu,W., R. Mart­Nez, L. Navarro-Martin, D.J. Kostyniuk, C. Hum, J. Huang, M. Deng, Y. Jin, H.M. Chan, and J.A. Mennigen</t>
        </is>
      </c>
      <c r="CE75" t="n">
        <v>184259.0</v>
      </c>
      <c r="CF75" t="inlineStr">
        <is>
          <t>Bioconcentration and Metabolic Effects of Emerging PFOS Alternatives in Developing Zebrafish</t>
        </is>
      </c>
      <c r="CG75" t="inlineStr">
        <is>
          <t>Environ. Sci. Technol.22:13427-13439</t>
        </is>
      </c>
      <c r="CH75" t="n">
        <v>2019.0</v>
      </c>
      <c r="CI75" t="inlineStr">
        <is>
          <t>Tu,W., R. Mart­Nez, L. Navarro-Martin, D.J. Kostyniuk, C. Hum, J. Huang, M. Deng, Y. Jin, H.M. Chan, and J.A. Mennigen (2019). Bioconcentration and Metabolic Effects of Emerging PFOS Alternatives in Developing Zebrafish. Environ. Sci. Technol., 22, 13427-13439. doi:10.1021/acs.est.9b03820. ECOREF#:184259</t>
        </is>
      </c>
    </row>
    <row r="76">
      <c r="A76" t="n">
        <v>1763231.0</v>
      </c>
      <c r="B76" t="inlineStr">
        <is>
          <t>1,1,2,2,3,3,4,4,5,5,6,6,7,7,8,8,8-Heptadecafluoro-1-octanesulfonic acid</t>
        </is>
      </c>
      <c r="C76"/>
      <c r="D76" t="inlineStr">
        <is>
          <t>Measured</t>
        </is>
      </c>
      <c r="E76" t="inlineStr">
        <is>
          <t>&gt;=</t>
        </is>
      </c>
      <c r="F76" t="n">
        <v>98.0</v>
      </c>
      <c r="G76"/>
      <c r="H76"/>
      <c r="I76"/>
      <c r="J76"/>
      <c r="K76" t="inlineStr">
        <is>
          <t>Danio rerio</t>
        </is>
      </c>
      <c r="L76" t="inlineStr">
        <is>
          <t>Zebra Danio</t>
        </is>
      </c>
      <c r="M76" t="inlineStr">
        <is>
          <t>Fish; Standard Test Species</t>
        </is>
      </c>
      <c r="N76" t="inlineStr">
        <is>
          <t>Embryo</t>
        </is>
      </c>
      <c r="O76"/>
      <c r="P76" t="n">
        <v>3.0</v>
      </c>
      <c r="Q76"/>
      <c r="R76"/>
      <c r="S76"/>
      <c r="T76"/>
      <c r="U76" t="inlineStr">
        <is>
          <t>Hours post fertilization</t>
        </is>
      </c>
      <c r="V76" t="inlineStr">
        <is>
          <t>Renewal</t>
        </is>
      </c>
      <c r="W76" t="inlineStr">
        <is>
          <t>Fresh water</t>
        </is>
      </c>
      <c r="X76" t="inlineStr">
        <is>
          <t>Lab</t>
        </is>
      </c>
      <c r="Y76" t="n">
        <v>4.0</v>
      </c>
      <c r="Z76" t="inlineStr">
        <is>
          <t>Active ingredient</t>
        </is>
      </c>
      <c r="AA76"/>
      <c r="AB76"/>
      <c r="AC76"/>
      <c r="AD76" t="n">
        <v>0.0113</v>
      </c>
      <c r="AE76"/>
      <c r="AF76" t="n">
        <v>0.0133</v>
      </c>
      <c r="AG76" t="inlineStr">
        <is>
          <t>AI mg/L</t>
        </is>
      </c>
      <c r="AH76"/>
      <c r="AI76"/>
      <c r="AJ76"/>
      <c r="AK76"/>
      <c r="AL76"/>
      <c r="AM76"/>
      <c r="AN76"/>
      <c r="AO76"/>
      <c r="AP76"/>
      <c r="AQ76"/>
      <c r="AR76"/>
      <c r="AS76"/>
      <c r="AT76"/>
      <c r="AU76"/>
      <c r="AV76"/>
      <c r="AW76"/>
      <c r="AX76" t="inlineStr">
        <is>
          <t>Accumulation</t>
        </is>
      </c>
      <c r="AY76" t="inlineStr">
        <is>
          <t>Residue</t>
        </is>
      </c>
      <c r="AZ76" t="inlineStr">
        <is>
          <t>BCF</t>
        </is>
      </c>
      <c r="BA76"/>
      <c r="BB76"/>
      <c r="BC76" t="n">
        <v>4.0</v>
      </c>
      <c r="BD76"/>
      <c r="BE76"/>
      <c r="BF76"/>
      <c r="BG76"/>
      <c r="BH76" t="inlineStr">
        <is>
          <t>Day(s)</t>
        </is>
      </c>
      <c r="BI76"/>
      <c r="BJ76"/>
      <c r="BK76" t="inlineStr">
        <is>
          <t>&gt;</t>
        </is>
      </c>
      <c r="BL76" t="n">
        <v>100.0</v>
      </c>
      <c r="BM76" t="inlineStr">
        <is>
          <t>&lt;</t>
        </is>
      </c>
      <c r="BN76" t="n">
        <v>200.0</v>
      </c>
      <c r="BO76" t="inlineStr">
        <is>
          <t>L/kg</t>
        </is>
      </c>
      <c r="BP76"/>
      <c r="BQ76"/>
      <c r="BR76"/>
      <c r="BS76"/>
      <c r="BT76"/>
      <c r="BU76"/>
      <c r="BV76"/>
      <c r="BW76"/>
      <c r="BX76"/>
      <c r="BY76"/>
      <c r="BZ76"/>
      <c r="CA76"/>
      <c r="CB76"/>
      <c r="CC76"/>
      <c r="CD76" t="inlineStr">
        <is>
          <t>Tu,W., R. Mart­Nez, L. Navarro-Martin, D.J. Kostyniuk, C. Hum, J. Huang, M. Deng, Y. Jin, H.M. Chan, and J.A. Mennigen</t>
        </is>
      </c>
      <c r="CE76" t="n">
        <v>184259.0</v>
      </c>
      <c r="CF76" t="inlineStr">
        <is>
          <t>Bioconcentration and Metabolic Effects of Emerging PFOS Alternatives in Developing Zebrafish</t>
        </is>
      </c>
      <c r="CG76" t="inlineStr">
        <is>
          <t>Environ. Sci. Technol.22:13427-13439</t>
        </is>
      </c>
      <c r="CH76" t="n">
        <v>2019.0</v>
      </c>
      <c r="CI76" t="inlineStr">
        <is>
          <t>Tu,W., R. Mart­Nez, L. Navarro-Martin, D.J. Kostyniuk, C. Hum, J. Huang, M. Deng, Y. Jin, H.M. Chan, and J.A. Mennigen (2019). Bioconcentration and Metabolic Effects of Emerging PFOS Alternatives in Developing Zebrafish. Environ. Sci. Technol., 22, 13427-13439. doi:10.1021/acs.est.9b03820. ECOREF#:184259</t>
        </is>
      </c>
    </row>
    <row r="77">
      <c r="A77" t="n">
        <v>1763231.0</v>
      </c>
      <c r="B77" t="inlineStr">
        <is>
          <t>1,1,2,2,3,3,4,4,5,5,6,6,7,7,8,8,8-Heptadecafluoro-1-octanesulfonic acid</t>
        </is>
      </c>
      <c r="C77"/>
      <c r="D77" t="inlineStr">
        <is>
          <t>Measured</t>
        </is>
      </c>
      <c r="E77" t="inlineStr">
        <is>
          <t>&gt;</t>
        </is>
      </c>
      <c r="F77" t="n">
        <v>95.0</v>
      </c>
      <c r="G77"/>
      <c r="H77"/>
      <c r="I77"/>
      <c r="J77"/>
      <c r="K77" t="inlineStr">
        <is>
          <t>Danio rerio</t>
        </is>
      </c>
      <c r="L77" t="inlineStr">
        <is>
          <t>Zebra Danio</t>
        </is>
      </c>
      <c r="M77" t="inlineStr">
        <is>
          <t>Fish; Standard Test Species</t>
        </is>
      </c>
      <c r="N77" t="inlineStr">
        <is>
          <t>Embryo</t>
        </is>
      </c>
      <c r="O77"/>
      <c r="P77" t="n">
        <v>64.0</v>
      </c>
      <c r="Q77"/>
      <c r="R77"/>
      <c r="S77"/>
      <c r="T77"/>
      <c r="U77" t="inlineStr">
        <is>
          <t>Cell stage</t>
        </is>
      </c>
      <c r="V77" t="inlineStr">
        <is>
          <t>Renewal</t>
        </is>
      </c>
      <c r="W77" t="inlineStr">
        <is>
          <t>Culture</t>
        </is>
      </c>
      <c r="X77" t="inlineStr">
        <is>
          <t>Lab</t>
        </is>
      </c>
      <c r="Y77" t="n">
        <v>3.0</v>
      </c>
      <c r="Z77" t="inlineStr">
        <is>
          <t>Active ingredient</t>
        </is>
      </c>
      <c r="AA77"/>
      <c r="AB77" t="n">
        <v>0.12503175</v>
      </c>
      <c r="AC77"/>
      <c r="AD77"/>
      <c r="AE77"/>
      <c r="AF77"/>
      <c r="AG77" t="inlineStr">
        <is>
          <t>AI mg/L</t>
        </is>
      </c>
      <c r="AH77"/>
      <c r="AI77"/>
      <c r="AJ77"/>
      <c r="AK77"/>
      <c r="AL77"/>
      <c r="AM77"/>
      <c r="AN77"/>
      <c r="AO77"/>
      <c r="AP77"/>
      <c r="AQ77"/>
      <c r="AR77"/>
      <c r="AS77"/>
      <c r="AT77"/>
      <c r="AU77"/>
      <c r="AV77"/>
      <c r="AW77"/>
      <c r="AX77" t="inlineStr">
        <is>
          <t>Accumulation</t>
        </is>
      </c>
      <c r="AY77" t="inlineStr">
        <is>
          <t>Residue</t>
        </is>
      </c>
      <c r="AZ77" t="inlineStr">
        <is>
          <t>BCF</t>
        </is>
      </c>
      <c r="BA77" t="inlineStr">
        <is>
          <t>Whole organism</t>
        </is>
      </c>
      <c r="BB77"/>
      <c r="BC77" t="n">
        <v>5.0</v>
      </c>
      <c r="BD77"/>
      <c r="BE77"/>
      <c r="BF77"/>
      <c r="BG77"/>
      <c r="BH77" t="inlineStr">
        <is>
          <t>Day(s) post-fertilization</t>
        </is>
      </c>
      <c r="BI77"/>
      <c r="BJ77" t="n">
        <v>271.0</v>
      </c>
      <c r="BK77"/>
      <c r="BL77"/>
      <c r="BM77"/>
      <c r="BN77"/>
      <c r="BO77" t="inlineStr">
        <is>
          <t>L/kg</t>
        </is>
      </c>
      <c r="BP77"/>
      <c r="BQ77"/>
      <c r="BR77"/>
      <c r="BS77"/>
      <c r="BT77"/>
      <c r="BU77"/>
      <c r="BV77"/>
      <c r="BW77"/>
      <c r="BX77"/>
      <c r="BY77"/>
      <c r="BZ77"/>
      <c r="CA77"/>
      <c r="CB77"/>
      <c r="CC77"/>
      <c r="CD77" t="inlineStr">
        <is>
          <t>Han,J., W. Gu, H. Barrett, D. Yang, S. Tang, J. Sun, J. Liu, H.M. Krause, K.A. Houck, and H. Peng</t>
        </is>
      </c>
      <c r="CE77" t="n">
        <v>190831.0</v>
      </c>
      <c r="CF77" t="inlineStr">
        <is>
          <t>A Roadmap to the Structure-Related Metabolism Pathways of Per- and Polyfluoroalkyl Substances in the Early Life Stages of Zebrafish (Danio rerio)</t>
        </is>
      </c>
      <c r="CG77" t="inlineStr">
        <is>
          <t>Environ. Health Perspect.129(7): 15 p.</t>
        </is>
      </c>
      <c r="CH77" t="n">
        <v>2021.0</v>
      </c>
      <c r="CI77"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78">
      <c r="A78" t="n">
        <v>1763231.0</v>
      </c>
      <c r="B78" t="inlineStr">
        <is>
          <t>1,1,2,2,3,3,4,4,5,5,6,6,7,7,8,8,8-Heptadecafluoro-1-octanesulfonic acid</t>
        </is>
      </c>
      <c r="C78" t="inlineStr">
        <is>
          <t>Technical grade, technical product, technical formulation</t>
        </is>
      </c>
      <c r="D78" t="inlineStr">
        <is>
          <t>Measured</t>
        </is>
      </c>
      <c r="E78"/>
      <c r="F78" t="n">
        <v>98.0</v>
      </c>
      <c r="G78"/>
      <c r="H78"/>
      <c r="I78"/>
      <c r="J78"/>
      <c r="K78" t="inlineStr">
        <is>
          <t>Cyprinus carpio</t>
        </is>
      </c>
      <c r="L78" t="inlineStr">
        <is>
          <t>Common Carp</t>
        </is>
      </c>
      <c r="M78" t="inlineStr">
        <is>
          <t>Fish; Standard Test Species</t>
        </is>
      </c>
      <c r="N78" t="inlineStr">
        <is>
          <t>Juvenile</t>
        </is>
      </c>
      <c r="O78"/>
      <c r="P78"/>
      <c r="Q78"/>
      <c r="R78"/>
      <c r="S78"/>
      <c r="T78"/>
      <c r="U78"/>
      <c r="V78" t="inlineStr">
        <is>
          <t>Renewal</t>
        </is>
      </c>
      <c r="W78" t="inlineStr">
        <is>
          <t>Fresh water</t>
        </is>
      </c>
      <c r="X78" t="inlineStr">
        <is>
          <t>Lab</t>
        </is>
      </c>
      <c r="Y78" t="n">
        <v>2.0</v>
      </c>
      <c r="Z78" t="inlineStr">
        <is>
          <t>Active ingredient</t>
        </is>
      </c>
      <c r="AA78"/>
      <c r="AB78" t="n">
        <v>8.2E-4</v>
      </c>
      <c r="AC78"/>
      <c r="AD78"/>
      <c r="AE78"/>
      <c r="AF78"/>
      <c r="AG78" t="inlineStr">
        <is>
          <t>AI mg/L</t>
        </is>
      </c>
      <c r="AH78"/>
      <c r="AI78"/>
      <c r="AJ78"/>
      <c r="AK78"/>
      <c r="AL78"/>
      <c r="AM78"/>
      <c r="AN78"/>
      <c r="AO78"/>
      <c r="AP78"/>
      <c r="AQ78"/>
      <c r="AR78"/>
      <c r="AS78"/>
      <c r="AT78"/>
      <c r="AU78"/>
      <c r="AV78"/>
      <c r="AW78"/>
      <c r="AX78" t="inlineStr">
        <is>
          <t>Accumulation</t>
        </is>
      </c>
      <c r="AY78" t="inlineStr">
        <is>
          <t>Residue</t>
        </is>
      </c>
      <c r="AZ78" t="inlineStr">
        <is>
          <t>BCF</t>
        </is>
      </c>
      <c r="BA78" t="inlineStr">
        <is>
          <t>Blood</t>
        </is>
      </c>
      <c r="BB78"/>
      <c r="BC78" t="n">
        <v>76.0</v>
      </c>
      <c r="BD78"/>
      <c r="BE78"/>
      <c r="BF78"/>
      <c r="BG78"/>
      <c r="BH78" t="inlineStr">
        <is>
          <t>Day(s)</t>
        </is>
      </c>
      <c r="BI78"/>
      <c r="BJ78" t="n">
        <v>1556.0</v>
      </c>
      <c r="BK78"/>
      <c r="BL78"/>
      <c r="BM78"/>
      <c r="BN78"/>
      <c r="BO78" t="inlineStr">
        <is>
          <t>g/L</t>
        </is>
      </c>
      <c r="BP78"/>
      <c r="BQ78"/>
      <c r="BR78"/>
      <c r="BS78"/>
      <c r="BT78"/>
      <c r="BU78"/>
      <c r="BV78"/>
      <c r="BW78"/>
      <c r="BX78"/>
      <c r="BY78"/>
      <c r="BZ78"/>
      <c r="CA78"/>
      <c r="CB78"/>
      <c r="CC78"/>
      <c r="CD78" t="inlineStr">
        <is>
          <t>Shan,G., J. Zhao, X. Sun, L. Yang, H. Wei, and L. Zhu</t>
        </is>
      </c>
      <c r="CE78" t="n">
        <v>191162.0</v>
      </c>
      <c r="CF78" t="inlineStr">
        <is>
          <t>Quantitative Estimation of Relative Contributions of Direct and Indirect Exposures to Perfluorooctane Sulfonate in Organisms Using the Isomer Profiling Technique</t>
        </is>
      </c>
      <c r="CG78" t="inlineStr">
        <is>
          <t>ACS ES&amp;T Water2(5): 730-737</t>
        </is>
      </c>
      <c r="CH78" t="n">
        <v>2022.0</v>
      </c>
      <c r="CI78" t="inlineStr">
        <is>
          <t>Shan,G., J. Zhao, X. Sun, L. Yang, H. Wei, and L. Zhu (2022). Quantitative Estimation of Relative Contributions of Direct and Indirect Exposures to Perfluorooctane Sulfonate in Organisms Using the Isomer Profiling Technique. ACS ES&amp;T Water, 2, (5), 730-737. doi:10.1021/acsestwater.1c00368. ECOREF#:191162</t>
        </is>
      </c>
    </row>
    <row r="79">
      <c r="A79" t="n">
        <v>1763231.0</v>
      </c>
      <c r="B79" t="inlineStr">
        <is>
          <t>1,1,2,2,3,3,4,4,5,5,6,6,7,7,8,8,8-Heptadecafluoro-1-octanesulfonic acid</t>
        </is>
      </c>
      <c r="C79"/>
      <c r="D79" t="inlineStr">
        <is>
          <t>Measured</t>
        </is>
      </c>
      <c r="E79"/>
      <c r="F79"/>
      <c r="G79"/>
      <c r="H79"/>
      <c r="I79"/>
      <c r="J79"/>
      <c r="K79" t="inlineStr">
        <is>
          <t>Danio rerio</t>
        </is>
      </c>
      <c r="L79" t="inlineStr">
        <is>
          <t>Zebra Danio</t>
        </is>
      </c>
      <c r="M79" t="inlineStr">
        <is>
          <t>Fish; Standard Test Species</t>
        </is>
      </c>
      <c r="N79" t="inlineStr">
        <is>
          <t>Embryo</t>
        </is>
      </c>
      <c r="O79"/>
      <c r="P79" t="n">
        <v>0.0</v>
      </c>
      <c r="Q79"/>
      <c r="R79"/>
      <c r="S79"/>
      <c r="T79"/>
      <c r="U79" t="inlineStr">
        <is>
          <t>Days post fertilization</t>
        </is>
      </c>
      <c r="V79" t="inlineStr">
        <is>
          <t>Renewal</t>
        </is>
      </c>
      <c r="W79" t="inlineStr">
        <is>
          <t>Fresh water</t>
        </is>
      </c>
      <c r="X79" t="inlineStr">
        <is>
          <t>Lab</t>
        </is>
      </c>
      <c r="Y79" t="n">
        <v>4.0</v>
      </c>
      <c r="Z79" t="inlineStr">
        <is>
          <t>Active ingredient</t>
        </is>
      </c>
      <c r="AA79"/>
      <c r="AB79" t="n">
        <v>0.99</v>
      </c>
      <c r="AC79"/>
      <c r="AD79"/>
      <c r="AE79"/>
      <c r="AF79"/>
      <c r="AG79" t="inlineStr">
        <is>
          <t>AI mg/L</t>
        </is>
      </c>
      <c r="AH79"/>
      <c r="AI79"/>
      <c r="AJ79"/>
      <c r="AK79"/>
      <c r="AL79"/>
      <c r="AM79"/>
      <c r="AN79"/>
      <c r="AO79"/>
      <c r="AP79"/>
      <c r="AQ79"/>
      <c r="AR79"/>
      <c r="AS79"/>
      <c r="AT79"/>
      <c r="AU79"/>
      <c r="AV79"/>
      <c r="AW79"/>
      <c r="AX79" t="inlineStr">
        <is>
          <t>Accumulation</t>
        </is>
      </c>
      <c r="AY79" t="inlineStr">
        <is>
          <t>Residue</t>
        </is>
      </c>
      <c r="AZ79" t="inlineStr">
        <is>
          <t>BCFD</t>
        </is>
      </c>
      <c r="BA79" t="inlineStr">
        <is>
          <t>Whole organism</t>
        </is>
      </c>
      <c r="BB79"/>
      <c r="BC79" t="n">
        <v>6.0</v>
      </c>
      <c r="BD79"/>
      <c r="BE79"/>
      <c r="BF79"/>
      <c r="BG79"/>
      <c r="BH79" t="inlineStr">
        <is>
          <t>Day(s)</t>
        </is>
      </c>
      <c r="BI79"/>
      <c r="BJ79" t="n">
        <v>684.03</v>
      </c>
      <c r="BK79"/>
      <c r="BL79"/>
      <c r="BM79"/>
      <c r="BN79"/>
      <c r="BO79" t="inlineStr">
        <is>
          <t>L/kg</t>
        </is>
      </c>
      <c r="BP79"/>
      <c r="BQ79"/>
      <c r="BR79"/>
      <c r="BS79"/>
      <c r="BT79"/>
      <c r="BU79"/>
      <c r="BV79"/>
      <c r="BW79"/>
      <c r="BX79"/>
      <c r="BY79"/>
      <c r="BZ79"/>
      <c r="CA79"/>
      <c r="CB79"/>
      <c r="CC79"/>
      <c r="CD79" t="inlineStr">
        <is>
          <t>Gaballah,S., A. Swank, J.R. Sobus, X.M. Howey, J. Schmid, T. Catron, J. Mccord, E. Hines, M. Strynar, and T. Tal</t>
        </is>
      </c>
      <c r="CE79" t="n">
        <v>182530.0</v>
      </c>
      <c r="CF79" t="inlineStr">
        <is>
          <t>Evaluation of Developmental Toxicity, Developmental Neurotoxicity, and Tissue Dose in Zebrafish Exposed to GenX and Other PFAS</t>
        </is>
      </c>
      <c r="CG79" t="inlineStr">
        <is>
          <t>Environ. Health Perspect.128(4): 047005-01 - 047005-22</t>
        </is>
      </c>
      <c r="CH79" t="n">
        <v>2020.0</v>
      </c>
      <c r="CI79"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80">
      <c r="A80" t="n">
        <v>1763231.0</v>
      </c>
      <c r="B80" t="inlineStr">
        <is>
          <t>1,1,2,2,3,3,4,4,5,5,6,6,7,7,8,8,8-Heptadecafluoro-1-octanesulfonic acid</t>
        </is>
      </c>
      <c r="C80"/>
      <c r="D80" t="inlineStr">
        <is>
          <t>Measured</t>
        </is>
      </c>
      <c r="E80"/>
      <c r="F80"/>
      <c r="G80"/>
      <c r="H80"/>
      <c r="I80"/>
      <c r="J80"/>
      <c r="K80" t="inlineStr">
        <is>
          <t>Danio rerio</t>
        </is>
      </c>
      <c r="L80" t="inlineStr">
        <is>
          <t>Zebra Danio</t>
        </is>
      </c>
      <c r="M80" t="inlineStr">
        <is>
          <t>Fish; Standard Test Species</t>
        </is>
      </c>
      <c r="N80" t="inlineStr">
        <is>
          <t>Embryo</t>
        </is>
      </c>
      <c r="O80"/>
      <c r="P80" t="n">
        <v>0.0</v>
      </c>
      <c r="Q80"/>
      <c r="R80"/>
      <c r="S80"/>
      <c r="T80"/>
      <c r="U80" t="inlineStr">
        <is>
          <t>Days post fertilization</t>
        </is>
      </c>
      <c r="V80" t="inlineStr">
        <is>
          <t>Renewal</t>
        </is>
      </c>
      <c r="W80" t="inlineStr">
        <is>
          <t>Fresh water</t>
        </is>
      </c>
      <c r="X80" t="inlineStr">
        <is>
          <t>Lab</t>
        </is>
      </c>
      <c r="Y80" t="n">
        <v>4.0</v>
      </c>
      <c r="Z80" t="inlineStr">
        <is>
          <t>Active ingredient</t>
        </is>
      </c>
      <c r="AA80"/>
      <c r="AB80" t="n">
        <v>0.31</v>
      </c>
      <c r="AC80"/>
      <c r="AD80"/>
      <c r="AE80"/>
      <c r="AF80"/>
      <c r="AG80" t="inlineStr">
        <is>
          <t>AI mg/L</t>
        </is>
      </c>
      <c r="AH80"/>
      <c r="AI80"/>
      <c r="AJ80"/>
      <c r="AK80"/>
      <c r="AL80"/>
      <c r="AM80"/>
      <c r="AN80"/>
      <c r="AO80"/>
      <c r="AP80"/>
      <c r="AQ80"/>
      <c r="AR80"/>
      <c r="AS80"/>
      <c r="AT80"/>
      <c r="AU80"/>
      <c r="AV80"/>
      <c r="AW80"/>
      <c r="AX80" t="inlineStr">
        <is>
          <t>Accumulation</t>
        </is>
      </c>
      <c r="AY80" t="inlineStr">
        <is>
          <t>Residue</t>
        </is>
      </c>
      <c r="AZ80" t="inlineStr">
        <is>
          <t>BCFD</t>
        </is>
      </c>
      <c r="BA80" t="inlineStr">
        <is>
          <t>Whole organism</t>
        </is>
      </c>
      <c r="BB80"/>
      <c r="BC80" t="n">
        <v>6.0</v>
      </c>
      <c r="BD80"/>
      <c r="BE80"/>
      <c r="BF80"/>
      <c r="BG80"/>
      <c r="BH80" t="inlineStr">
        <is>
          <t>Day(s)</t>
        </is>
      </c>
      <c r="BI80"/>
      <c r="BJ80" t="n">
        <v>1348.46</v>
      </c>
      <c r="BK80"/>
      <c r="BL80"/>
      <c r="BM80"/>
      <c r="BN80"/>
      <c r="BO80" t="inlineStr">
        <is>
          <t>L/kg</t>
        </is>
      </c>
      <c r="BP80"/>
      <c r="BQ80"/>
      <c r="BR80"/>
      <c r="BS80"/>
      <c r="BT80"/>
      <c r="BU80"/>
      <c r="BV80"/>
      <c r="BW80"/>
      <c r="BX80"/>
      <c r="BY80"/>
      <c r="BZ80"/>
      <c r="CA80"/>
      <c r="CB80"/>
      <c r="CC80"/>
      <c r="CD80" t="inlineStr">
        <is>
          <t>Gaballah,S., A. Swank, J.R. Sobus, X.M. Howey, J. Schmid, T. Catron, J. Mccord, E. Hines, M. Strynar, and T. Tal</t>
        </is>
      </c>
      <c r="CE80" t="n">
        <v>182530.0</v>
      </c>
      <c r="CF80" t="inlineStr">
        <is>
          <t>Evaluation of Developmental Toxicity, Developmental Neurotoxicity, and Tissue Dose in Zebrafish Exposed to GenX and Other PFAS</t>
        </is>
      </c>
      <c r="CG80" t="inlineStr">
        <is>
          <t>Environ. Health Perspect.128(4): 047005-01 - 047005-22</t>
        </is>
      </c>
      <c r="CH80" t="n">
        <v>2020.0</v>
      </c>
      <c r="CI80"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81">
      <c r="A81" t="n">
        <v>1763231.0</v>
      </c>
      <c r="B81" t="inlineStr">
        <is>
          <t>1,1,2,2,3,3,4,4,5,5,6,6,7,7,8,8,8-Heptadecafluoro-1-octanesulfonic acid</t>
        </is>
      </c>
      <c r="C81"/>
      <c r="D81" t="inlineStr">
        <is>
          <t>Measured</t>
        </is>
      </c>
      <c r="E81"/>
      <c r="F81"/>
      <c r="G81"/>
      <c r="H81"/>
      <c r="I81"/>
      <c r="J81"/>
      <c r="K81" t="inlineStr">
        <is>
          <t>Danio rerio</t>
        </is>
      </c>
      <c r="L81" t="inlineStr">
        <is>
          <t>Zebra Danio</t>
        </is>
      </c>
      <c r="M81" t="inlineStr">
        <is>
          <t>Fish; Standard Test Species</t>
        </is>
      </c>
      <c r="N81" t="inlineStr">
        <is>
          <t>Embryo</t>
        </is>
      </c>
      <c r="O81"/>
      <c r="P81" t="n">
        <v>0.0</v>
      </c>
      <c r="Q81"/>
      <c r="R81"/>
      <c r="S81"/>
      <c r="T81"/>
      <c r="U81" t="inlineStr">
        <is>
          <t>Days post fertilization</t>
        </is>
      </c>
      <c r="V81" t="inlineStr">
        <is>
          <t>Renewal</t>
        </is>
      </c>
      <c r="W81" t="inlineStr">
        <is>
          <t>Fresh water</t>
        </is>
      </c>
      <c r="X81" t="inlineStr">
        <is>
          <t>Lab</t>
        </is>
      </c>
      <c r="Y81" t="n">
        <v>4.0</v>
      </c>
      <c r="Z81" t="inlineStr">
        <is>
          <t>Active ingredient</t>
        </is>
      </c>
      <c r="AA81"/>
      <c r="AB81" t="n">
        <v>0.16</v>
      </c>
      <c r="AC81"/>
      <c r="AD81"/>
      <c r="AE81"/>
      <c r="AF81"/>
      <c r="AG81" t="inlineStr">
        <is>
          <t>AI mg/L</t>
        </is>
      </c>
      <c r="AH81"/>
      <c r="AI81"/>
      <c r="AJ81"/>
      <c r="AK81"/>
      <c r="AL81"/>
      <c r="AM81"/>
      <c r="AN81"/>
      <c r="AO81"/>
      <c r="AP81"/>
      <c r="AQ81"/>
      <c r="AR81"/>
      <c r="AS81"/>
      <c r="AT81"/>
      <c r="AU81"/>
      <c r="AV81"/>
      <c r="AW81"/>
      <c r="AX81" t="inlineStr">
        <is>
          <t>Accumulation</t>
        </is>
      </c>
      <c r="AY81" t="inlineStr">
        <is>
          <t>Residue</t>
        </is>
      </c>
      <c r="AZ81" t="inlineStr">
        <is>
          <t>BCFD</t>
        </is>
      </c>
      <c r="BA81" t="inlineStr">
        <is>
          <t>Whole organism</t>
        </is>
      </c>
      <c r="BB81"/>
      <c r="BC81" t="n">
        <v>6.0</v>
      </c>
      <c r="BD81"/>
      <c r="BE81"/>
      <c r="BF81"/>
      <c r="BG81"/>
      <c r="BH81" t="inlineStr">
        <is>
          <t>Day(s)</t>
        </is>
      </c>
      <c r="BI81"/>
      <c r="BJ81" t="n">
        <v>1374.89</v>
      </c>
      <c r="BK81"/>
      <c r="BL81"/>
      <c r="BM81"/>
      <c r="BN81"/>
      <c r="BO81" t="inlineStr">
        <is>
          <t>L/kg</t>
        </is>
      </c>
      <c r="BP81"/>
      <c r="BQ81"/>
      <c r="BR81"/>
      <c r="BS81"/>
      <c r="BT81"/>
      <c r="BU81"/>
      <c r="BV81"/>
      <c r="BW81"/>
      <c r="BX81"/>
      <c r="BY81"/>
      <c r="BZ81"/>
      <c r="CA81"/>
      <c r="CB81"/>
      <c r="CC81"/>
      <c r="CD81" t="inlineStr">
        <is>
          <t>Gaballah,S., A. Swank, J.R. Sobus, X.M. Howey, J. Schmid, T. Catron, J. Mccord, E. Hines, M. Strynar, and T. Tal</t>
        </is>
      </c>
      <c r="CE81" t="n">
        <v>182530.0</v>
      </c>
      <c r="CF81" t="inlineStr">
        <is>
          <t>Evaluation of Developmental Toxicity, Developmental Neurotoxicity, and Tissue Dose in Zebrafish Exposed to GenX and Other PFAS</t>
        </is>
      </c>
      <c r="CG81" t="inlineStr">
        <is>
          <t>Environ. Health Perspect.128(4): 047005-01 - 047005-22</t>
        </is>
      </c>
      <c r="CH81" t="n">
        <v>2020.0</v>
      </c>
      <c r="CI81"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82">
      <c r="A82" t="n">
        <v>1763231.0</v>
      </c>
      <c r="B82" t="inlineStr">
        <is>
          <t>1,1,2,2,3,3,4,4,5,5,6,6,7,7,8,8,8-Heptadecafluoro-1-octanesulfonic acid</t>
        </is>
      </c>
      <c r="C82"/>
      <c r="D82" t="inlineStr">
        <is>
          <t>Unmeasured</t>
        </is>
      </c>
      <c r="E82" t="inlineStr">
        <is>
          <t>&gt;</t>
        </is>
      </c>
      <c r="F82" t="n">
        <v>96.0</v>
      </c>
      <c r="G82"/>
      <c r="H82"/>
      <c r="I82"/>
      <c r="J82"/>
      <c r="K82" t="inlineStr">
        <is>
          <t>Danio rerio</t>
        </is>
      </c>
      <c r="L82" t="inlineStr">
        <is>
          <t>Zebra Danio</t>
        </is>
      </c>
      <c r="M82" t="inlineStr">
        <is>
          <t>Fish; Standard Test Species</t>
        </is>
      </c>
      <c r="N82" t="inlineStr">
        <is>
          <t>Embryo</t>
        </is>
      </c>
      <c r="O82"/>
      <c r="P82"/>
      <c r="Q82"/>
      <c r="R82"/>
      <c r="S82"/>
      <c r="T82"/>
      <c r="U82"/>
      <c r="V82" t="inlineStr">
        <is>
          <t>Renewal</t>
        </is>
      </c>
      <c r="W82" t="inlineStr">
        <is>
          <t>Fresh water</t>
        </is>
      </c>
      <c r="X82" t="inlineStr">
        <is>
          <t>Lab</t>
        </is>
      </c>
      <c r="Y82" t="n">
        <v>4.0</v>
      </c>
      <c r="Z82" t="inlineStr">
        <is>
          <t>Active ingredient</t>
        </is>
      </c>
      <c r="AA82"/>
      <c r="AB82" t="n">
        <v>0.05</v>
      </c>
      <c r="AC82"/>
      <c r="AD82"/>
      <c r="AE82"/>
      <c r="AF82"/>
      <c r="AG82" t="inlineStr">
        <is>
          <t>AI mg/L</t>
        </is>
      </c>
      <c r="AH82"/>
      <c r="AI82"/>
      <c r="AJ82"/>
      <c r="AK82"/>
      <c r="AL82"/>
      <c r="AM82"/>
      <c r="AN82"/>
      <c r="AO82"/>
      <c r="AP82"/>
      <c r="AQ82"/>
      <c r="AR82"/>
      <c r="AS82"/>
      <c r="AT82"/>
      <c r="AU82"/>
      <c r="AV82"/>
      <c r="AW82"/>
      <c r="AX82" t="inlineStr">
        <is>
          <t>Accumulation</t>
        </is>
      </c>
      <c r="AY82" t="inlineStr">
        <is>
          <t>Residue</t>
        </is>
      </c>
      <c r="AZ82" t="inlineStr">
        <is>
          <t>LOEC</t>
        </is>
      </c>
      <c r="BA82"/>
      <c r="BB82"/>
      <c r="BC82" t="n">
        <v>72.0</v>
      </c>
      <c r="BD82"/>
      <c r="BE82"/>
      <c r="BF82"/>
      <c r="BG82"/>
      <c r="BH82" t="inlineStr">
        <is>
          <t>Day(s) post-fertilization</t>
        </is>
      </c>
      <c r="BI82"/>
      <c r="BJ82"/>
      <c r="BK82"/>
      <c r="BL82"/>
      <c r="BM82"/>
      <c r="BN82"/>
      <c r="BO82" t="inlineStr">
        <is>
          <t>--</t>
        </is>
      </c>
      <c r="BP82"/>
      <c r="BQ82"/>
      <c r="BR82"/>
      <c r="BS82"/>
      <c r="BT82"/>
      <c r="BU82"/>
      <c r="BV82"/>
      <c r="BW82"/>
      <c r="BX82"/>
      <c r="BY82"/>
      <c r="BZ82"/>
      <c r="CA82"/>
      <c r="CB82"/>
      <c r="CC82"/>
      <c r="CD82" t="inlineStr">
        <is>
          <t>Wang,M., J. Chen, K. Lin, Y. Chen, W. Hu, R.L. Tanguay, C. Huang, and Q. Dong</t>
        </is>
      </c>
      <c r="CE82" t="n">
        <v>164068.0</v>
      </c>
      <c r="CF82" t="inlineStr">
        <is>
          <t>Chronic Zebrafish PFOS Exposure Alters Sex Ratio and Maternal Related Effects in F1 Offspring</t>
        </is>
      </c>
      <c r="CG82" t="inlineStr">
        <is>
          <t>Environ. Toxicol. Chem.30(9): 2073-2080</t>
        </is>
      </c>
      <c r="CH82" t="n">
        <v>2011.0</v>
      </c>
      <c r="CI82" t="inlineStr">
        <is>
          <t>Wang,M., J. Chen, K. Lin, Y. Chen, W. Hu, R.L. Tanguay, C. Huang, and Q. Dong (2011). Chronic Zebrafish PFOS Exposure Alters Sex Ratio and Maternal Related Effects in F1 Offspring. Environ. Toxicol. Chem., 30, (9), 2073-2080. doi:10.1002/etc.594. ECOREF#:164068</t>
        </is>
      </c>
    </row>
    <row r="83">
      <c r="A83" t="n">
        <v>1763231.0</v>
      </c>
      <c r="B83" t="inlineStr">
        <is>
          <t>1,1,2,2,3,3,4,4,5,5,6,6,7,7,8,8,8-Heptadecafluoro-1-octanesulfonic acid</t>
        </is>
      </c>
      <c r="C83"/>
      <c r="D83" t="inlineStr">
        <is>
          <t>Unmeasured</t>
        </is>
      </c>
      <c r="E83" t="inlineStr">
        <is>
          <t>&gt;</t>
        </is>
      </c>
      <c r="F83" t="n">
        <v>96.0</v>
      </c>
      <c r="G83"/>
      <c r="H83"/>
      <c r="I83"/>
      <c r="J83"/>
      <c r="K83" t="inlineStr">
        <is>
          <t>Danio rerio</t>
        </is>
      </c>
      <c r="L83" t="inlineStr">
        <is>
          <t>Zebra Danio</t>
        </is>
      </c>
      <c r="M83" t="inlineStr">
        <is>
          <t>Fish; Standard Test Species</t>
        </is>
      </c>
      <c r="N83" t="inlineStr">
        <is>
          <t>Embryo</t>
        </is>
      </c>
      <c r="O83"/>
      <c r="P83" t="n">
        <v>73.0</v>
      </c>
      <c r="Q83"/>
      <c r="R83"/>
      <c r="S83"/>
      <c r="T83"/>
      <c r="U83" t="inlineStr">
        <is>
          <t>Hours post fertilization</t>
        </is>
      </c>
      <c r="V83" t="inlineStr">
        <is>
          <t>Static</t>
        </is>
      </c>
      <c r="W83" t="inlineStr">
        <is>
          <t>Fresh water</t>
        </is>
      </c>
      <c r="X83" t="inlineStr">
        <is>
          <t>Lab</t>
        </is>
      </c>
      <c r="Y83" t="n">
        <v>2.0</v>
      </c>
      <c r="Z83" t="inlineStr">
        <is>
          <t>Active ingredient</t>
        </is>
      </c>
      <c r="AA83"/>
      <c r="AB83" t="n">
        <v>8.0</v>
      </c>
      <c r="AC83"/>
      <c r="AD83"/>
      <c r="AE83"/>
      <c r="AF83"/>
      <c r="AG83" t="inlineStr">
        <is>
          <t>AI mg/L</t>
        </is>
      </c>
      <c r="AH83"/>
      <c r="AI83"/>
      <c r="AJ83"/>
      <c r="AK83"/>
      <c r="AL83"/>
      <c r="AM83"/>
      <c r="AN83"/>
      <c r="AO83"/>
      <c r="AP83"/>
      <c r="AQ83"/>
      <c r="AR83"/>
      <c r="AS83"/>
      <c r="AT83"/>
      <c r="AU83"/>
      <c r="AV83"/>
      <c r="AW83"/>
      <c r="AX83" t="inlineStr">
        <is>
          <t>Accumulation</t>
        </is>
      </c>
      <c r="AY83" t="inlineStr">
        <is>
          <t>Residue</t>
        </is>
      </c>
      <c r="AZ83" t="inlineStr">
        <is>
          <t>LOEC</t>
        </is>
      </c>
      <c r="BA83" t="inlineStr">
        <is>
          <t>Whole organism</t>
        </is>
      </c>
      <c r="BB83"/>
      <c r="BC83" t="n">
        <v>1.0</v>
      </c>
      <c r="BD83"/>
      <c r="BE83"/>
      <c r="BF83"/>
      <c r="BG83"/>
      <c r="BH83" t="inlineStr">
        <is>
          <t>Day(s)</t>
        </is>
      </c>
      <c r="BI83"/>
      <c r="BJ83"/>
      <c r="BK83"/>
      <c r="BL83"/>
      <c r="BM83"/>
      <c r="BN83"/>
      <c r="BO83" t="inlineStr">
        <is>
          <t>--</t>
        </is>
      </c>
      <c r="BP83"/>
      <c r="BQ83"/>
      <c r="BR83"/>
      <c r="BS83"/>
      <c r="BT83"/>
      <c r="BU83"/>
      <c r="BV83"/>
      <c r="BW83"/>
      <c r="BX83"/>
      <c r="BY83"/>
      <c r="BZ83"/>
      <c r="CA83"/>
      <c r="CB83"/>
      <c r="CC83"/>
      <c r="CD83" t="inlineStr">
        <is>
          <t>Huang,H., C. Huang, L. Wang, X. Ye, C. Bai, M.T. Simonich, R.L. Tanguay, and Q. Dong</t>
        </is>
      </c>
      <c r="CE83" t="n">
        <v>151614.0</v>
      </c>
      <c r="CF83" t="inlineStr">
        <is>
          <t>Toxicity, Uptake Kinetics and Behavior Assessment in Zebrafish Embryos Following Exposure to Perfluorooctanesulphonicacid (PFOS)</t>
        </is>
      </c>
      <c r="CG83" t="inlineStr">
        <is>
          <t>Aquat. Toxicol.98(2): 139-147</t>
        </is>
      </c>
      <c r="CH83" t="n">
        <v>2010.0</v>
      </c>
      <c r="CI83" t="inlineStr">
        <is>
          <t>Huang,H., C. Huang, L. Wang, X. Ye, C. Bai, M.T. Simonich, R.L. Tanguay, and Q. Dong (2010). Toxicity, Uptake Kinetics and Behavior Assessment in Zebrafish Embryos Following Exposure to Perfluorooctanesulphonicacid (PFOS). Aquat. Toxicol., 98, (2), 139-147. doi:10.1016/j.aquatox.2010.02.003. ECOREF#:151614</t>
        </is>
      </c>
    </row>
    <row r="84">
      <c r="A84" t="n">
        <v>1763231.0</v>
      </c>
      <c r="B84" t="inlineStr">
        <is>
          <t>1,1,2,2,3,3,4,4,5,5,6,6,7,7,8,8,8-Heptadecafluoro-1-octanesulfonic acid</t>
        </is>
      </c>
      <c r="C84"/>
      <c r="D84" t="inlineStr">
        <is>
          <t>Unmeasured</t>
        </is>
      </c>
      <c r="E84" t="inlineStr">
        <is>
          <t>&gt;</t>
        </is>
      </c>
      <c r="F84" t="n">
        <v>96.0</v>
      </c>
      <c r="G84"/>
      <c r="H84"/>
      <c r="I84"/>
      <c r="J84"/>
      <c r="K84" t="inlineStr">
        <is>
          <t>Danio rerio</t>
        </is>
      </c>
      <c r="L84" t="inlineStr">
        <is>
          <t>Zebra Danio</t>
        </is>
      </c>
      <c r="M84" t="inlineStr">
        <is>
          <t>Fish; Standard Test Species</t>
        </is>
      </c>
      <c r="N84" t="inlineStr">
        <is>
          <t>Embryo</t>
        </is>
      </c>
      <c r="O84"/>
      <c r="P84" t="n">
        <v>8.0</v>
      </c>
      <c r="Q84"/>
      <c r="R84"/>
      <c r="S84"/>
      <c r="T84"/>
      <c r="U84" t="inlineStr">
        <is>
          <t>Hours post fertilization</t>
        </is>
      </c>
      <c r="V84" t="inlineStr">
        <is>
          <t>Renewal</t>
        </is>
      </c>
      <c r="W84" t="inlineStr">
        <is>
          <t>Fresh water</t>
        </is>
      </c>
      <c r="X84" t="inlineStr">
        <is>
          <t>Lab</t>
        </is>
      </c>
      <c r="Y84" t="n">
        <v>2.0</v>
      </c>
      <c r="Z84" t="inlineStr">
        <is>
          <t>Active ingredient</t>
        </is>
      </c>
      <c r="AA84"/>
      <c r="AB84" t="n">
        <v>0.2500635</v>
      </c>
      <c r="AC84"/>
      <c r="AD84"/>
      <c r="AE84"/>
      <c r="AF84"/>
      <c r="AG84" t="inlineStr">
        <is>
          <t>AI mg/L</t>
        </is>
      </c>
      <c r="AH84"/>
      <c r="AI84"/>
      <c r="AJ84"/>
      <c r="AK84"/>
      <c r="AL84"/>
      <c r="AM84"/>
      <c r="AN84"/>
      <c r="AO84"/>
      <c r="AP84"/>
      <c r="AQ84"/>
      <c r="AR84"/>
      <c r="AS84"/>
      <c r="AT84"/>
      <c r="AU84"/>
      <c r="AV84"/>
      <c r="AW84"/>
      <c r="AX84" t="inlineStr">
        <is>
          <t>Accumulation</t>
        </is>
      </c>
      <c r="AY84" t="inlineStr">
        <is>
          <t>Residue</t>
        </is>
      </c>
      <c r="AZ84" t="inlineStr">
        <is>
          <t>LOEC</t>
        </is>
      </c>
      <c r="BA84" t="inlineStr">
        <is>
          <t>Liver</t>
        </is>
      </c>
      <c r="BB84"/>
      <c r="BC84" t="n">
        <v>150.0</v>
      </c>
      <c r="BD84"/>
      <c r="BE84"/>
      <c r="BF84"/>
      <c r="BG84"/>
      <c r="BH84" t="inlineStr">
        <is>
          <t>Day(s)</t>
        </is>
      </c>
      <c r="BI84"/>
      <c r="BJ84"/>
      <c r="BK84"/>
      <c r="BL84"/>
      <c r="BM84"/>
      <c r="BN84"/>
      <c r="BO84" t="inlineStr">
        <is>
          <t>--</t>
        </is>
      </c>
      <c r="BP84"/>
      <c r="BQ84"/>
      <c r="BR84"/>
      <c r="BS84"/>
      <c r="BT84"/>
      <c r="BU84"/>
      <c r="BV84"/>
      <c r="BW84"/>
      <c r="BX84"/>
      <c r="BY84"/>
      <c r="BZ84"/>
      <c r="CA84"/>
      <c r="CB84"/>
      <c r="CC84"/>
      <c r="CD84" t="inlineStr">
        <is>
          <t>Cheng,J., S. Lv, S. Nie, J. Liu, S. Tong, N. Kang, Y. Xiao, Q. Dong, C. Huang, and D. Yang</t>
        </is>
      </c>
      <c r="CE84" t="n">
        <v>175649.0</v>
      </c>
      <c r="CF84" t="inlineStr">
        <is>
          <t>Chronic Perfluorooctane Sulfonate (PFOS) Exposure Induces Hepatic Steatosis in Zebrafish</t>
        </is>
      </c>
      <c r="CG84" t="inlineStr">
        <is>
          <t>Aquat. Toxicol.176:45-52</t>
        </is>
      </c>
      <c r="CH84" t="n">
        <v>2016.0</v>
      </c>
      <c r="CI84" t="inlineStr">
        <is>
          <t>Cheng,J., S. Lv, S. Nie, J. Liu, S. Tong, N. Kang, Y. Xiao, Q. Dong, C. Huang, and D. Yang (2016). Chronic Perfluorooctane Sulfonate (PFOS) Exposure Induces Hepatic Steatosis in Zebrafish. Aquat. Toxicol., 176, 45-52. doi:10.1016/j.aquatox.2016.04.013. ECOREF#:175649</t>
        </is>
      </c>
    </row>
    <row r="85">
      <c r="A85" t="n">
        <v>1763231.0</v>
      </c>
      <c r="B85" t="inlineStr">
        <is>
          <t>1,1,2,2,3,3,4,4,5,5,6,6,7,7,8,8,8-Heptadecafluoro-1-octanesulfonic acid</t>
        </is>
      </c>
      <c r="C85"/>
      <c r="D85" t="inlineStr">
        <is>
          <t>Unmeasured</t>
        </is>
      </c>
      <c r="E85" t="inlineStr">
        <is>
          <t>&gt;</t>
        </is>
      </c>
      <c r="F85" t="n">
        <v>96.0</v>
      </c>
      <c r="G85"/>
      <c r="H85"/>
      <c r="I85"/>
      <c r="J85"/>
      <c r="K85" t="inlineStr">
        <is>
          <t>Danio rerio</t>
        </is>
      </c>
      <c r="L85" t="inlineStr">
        <is>
          <t>Zebra Danio</t>
        </is>
      </c>
      <c r="M85" t="inlineStr">
        <is>
          <t>Fish; Standard Test Species</t>
        </is>
      </c>
      <c r="N85" t="inlineStr">
        <is>
          <t>Embryo</t>
        </is>
      </c>
      <c r="O85"/>
      <c r="P85" t="n">
        <v>8.0</v>
      </c>
      <c r="Q85"/>
      <c r="R85"/>
      <c r="S85"/>
      <c r="T85"/>
      <c r="U85" t="inlineStr">
        <is>
          <t>Hours post fertilization</t>
        </is>
      </c>
      <c r="V85" t="inlineStr">
        <is>
          <t>Renewal</t>
        </is>
      </c>
      <c r="W85" t="inlineStr">
        <is>
          <t>Fresh water</t>
        </is>
      </c>
      <c r="X85" t="inlineStr">
        <is>
          <t>Lab</t>
        </is>
      </c>
      <c r="Y85" t="n">
        <v>2.0</v>
      </c>
      <c r="Z85" t="inlineStr">
        <is>
          <t>Active ingredient</t>
        </is>
      </c>
      <c r="AA85"/>
      <c r="AB85" t="n">
        <v>0.2500635</v>
      </c>
      <c r="AC85"/>
      <c r="AD85"/>
      <c r="AE85"/>
      <c r="AF85"/>
      <c r="AG85" t="inlineStr">
        <is>
          <t>AI mg/L</t>
        </is>
      </c>
      <c r="AH85"/>
      <c r="AI85"/>
      <c r="AJ85"/>
      <c r="AK85"/>
      <c r="AL85"/>
      <c r="AM85"/>
      <c r="AN85"/>
      <c r="AO85"/>
      <c r="AP85"/>
      <c r="AQ85"/>
      <c r="AR85"/>
      <c r="AS85"/>
      <c r="AT85"/>
      <c r="AU85"/>
      <c r="AV85"/>
      <c r="AW85"/>
      <c r="AX85" t="inlineStr">
        <is>
          <t>Accumulation</t>
        </is>
      </c>
      <c r="AY85" t="inlineStr">
        <is>
          <t>Residue</t>
        </is>
      </c>
      <c r="AZ85" t="inlineStr">
        <is>
          <t>LOEC</t>
        </is>
      </c>
      <c r="BA85" t="inlineStr">
        <is>
          <t>Liver</t>
        </is>
      </c>
      <c r="BB85"/>
      <c r="BC85" t="n">
        <v>150.0</v>
      </c>
      <c r="BD85"/>
      <c r="BE85"/>
      <c r="BF85"/>
      <c r="BG85"/>
      <c r="BH85" t="inlineStr">
        <is>
          <t>Day(s)</t>
        </is>
      </c>
      <c r="BI85"/>
      <c r="BJ85"/>
      <c r="BK85"/>
      <c r="BL85"/>
      <c r="BM85"/>
      <c r="BN85"/>
      <c r="BO85" t="inlineStr">
        <is>
          <t>--</t>
        </is>
      </c>
      <c r="BP85"/>
      <c r="BQ85"/>
      <c r="BR85"/>
      <c r="BS85"/>
      <c r="BT85"/>
      <c r="BU85"/>
      <c r="BV85"/>
      <c r="BW85"/>
      <c r="BX85"/>
      <c r="BY85"/>
      <c r="BZ85"/>
      <c r="CA85"/>
      <c r="CB85"/>
      <c r="CC85"/>
      <c r="CD85" t="inlineStr">
        <is>
          <t>Cheng,J., S. Lv, S. Nie, J. Liu, S. Tong, N. Kang, Y. Xiao, Q. Dong, C. Huang, and D. Yang</t>
        </is>
      </c>
      <c r="CE85" t="n">
        <v>175649.0</v>
      </c>
      <c r="CF85" t="inlineStr">
        <is>
          <t>Chronic Perfluorooctane Sulfonate (PFOS) Exposure Induces Hepatic Steatosis in Zebrafish</t>
        </is>
      </c>
      <c r="CG85" t="inlineStr">
        <is>
          <t>Aquat. Toxicol.176:45-52</t>
        </is>
      </c>
      <c r="CH85" t="n">
        <v>2016.0</v>
      </c>
      <c r="CI85" t="inlineStr">
        <is>
          <t>Cheng,J., S. Lv, S. Nie, J. Liu, S. Tong, N. Kang, Y. Xiao, Q. Dong, C. Huang, and D. Yang (2016). Chronic Perfluorooctane Sulfonate (PFOS) Exposure Induces Hepatic Steatosis in Zebrafish. Aquat. Toxicol., 176, 45-52. doi:10.1016/j.aquatox.2016.04.013. ECOREF#:175649</t>
        </is>
      </c>
    </row>
    <row r="86">
      <c r="A86" t="n">
        <v>1763231.0</v>
      </c>
      <c r="B86" t="inlineStr">
        <is>
          <t>1,1,2,2,3,3,4,4,5,5,6,6,7,7,8,8,8-Heptadecafluoro-1-octanesulfonic acid</t>
        </is>
      </c>
      <c r="C86"/>
      <c r="D86" t="inlineStr">
        <is>
          <t>Measured</t>
        </is>
      </c>
      <c r="E86"/>
      <c r="F86"/>
      <c r="G86"/>
      <c r="H86"/>
      <c r="I86"/>
      <c r="J86"/>
      <c r="K86" t="inlineStr">
        <is>
          <t>Danio rerio</t>
        </is>
      </c>
      <c r="L86" t="inlineStr">
        <is>
          <t>Zebra Danio</t>
        </is>
      </c>
      <c r="M86" t="inlineStr">
        <is>
          <t>Fish; Standard Test Species</t>
        </is>
      </c>
      <c r="N86" t="inlineStr">
        <is>
          <t>Embryo</t>
        </is>
      </c>
      <c r="O86"/>
      <c r="P86" t="n">
        <v>0.0</v>
      </c>
      <c r="Q86"/>
      <c r="R86"/>
      <c r="S86"/>
      <c r="T86"/>
      <c r="U86" t="inlineStr">
        <is>
          <t>Days post fertilization</t>
        </is>
      </c>
      <c r="V86" t="inlineStr">
        <is>
          <t>Renewal</t>
        </is>
      </c>
      <c r="W86" t="inlineStr">
        <is>
          <t>Fresh water</t>
        </is>
      </c>
      <c r="X86" t="inlineStr">
        <is>
          <t>Lab</t>
        </is>
      </c>
      <c r="Y86" t="n">
        <v>4.0</v>
      </c>
      <c r="Z86" t="inlineStr">
        <is>
          <t>Active ingredient</t>
        </is>
      </c>
      <c r="AA86"/>
      <c r="AB86" t="n">
        <v>0.16</v>
      </c>
      <c r="AC86"/>
      <c r="AD86"/>
      <c r="AE86"/>
      <c r="AF86"/>
      <c r="AG86" t="inlineStr">
        <is>
          <t>AI mg/L</t>
        </is>
      </c>
      <c r="AH86"/>
      <c r="AI86"/>
      <c r="AJ86"/>
      <c r="AK86"/>
      <c r="AL86"/>
      <c r="AM86"/>
      <c r="AN86"/>
      <c r="AO86"/>
      <c r="AP86"/>
      <c r="AQ86"/>
      <c r="AR86"/>
      <c r="AS86"/>
      <c r="AT86"/>
      <c r="AU86"/>
      <c r="AV86"/>
      <c r="AW86"/>
      <c r="AX86" t="inlineStr">
        <is>
          <t>Accumulation</t>
        </is>
      </c>
      <c r="AY86" t="inlineStr">
        <is>
          <t>Residue</t>
        </is>
      </c>
      <c r="AZ86" t="inlineStr">
        <is>
          <t>LOEC</t>
        </is>
      </c>
      <c r="BA86" t="inlineStr">
        <is>
          <t>Whole organism</t>
        </is>
      </c>
      <c r="BB86"/>
      <c r="BC86" t="n">
        <v>6.0</v>
      </c>
      <c r="BD86"/>
      <c r="BE86"/>
      <c r="BF86"/>
      <c r="BG86"/>
      <c r="BH86" t="inlineStr">
        <is>
          <t>Day(s)</t>
        </is>
      </c>
      <c r="BI86"/>
      <c r="BJ86"/>
      <c r="BK86"/>
      <c r="BL86"/>
      <c r="BM86"/>
      <c r="BN86"/>
      <c r="BO86" t="inlineStr">
        <is>
          <t>--</t>
        </is>
      </c>
      <c r="BP86"/>
      <c r="BQ86"/>
      <c r="BR86"/>
      <c r="BS86"/>
      <c r="BT86"/>
      <c r="BU86"/>
      <c r="BV86"/>
      <c r="BW86"/>
      <c r="BX86"/>
      <c r="BY86"/>
      <c r="BZ86"/>
      <c r="CA86"/>
      <c r="CB86"/>
      <c r="CC86"/>
      <c r="CD86" t="inlineStr">
        <is>
          <t>Gaballah,S., A. Swank, J.R. Sobus, X.M. Howey, J. Schmid, T. Catron, J. Mccord, E. Hines, M. Strynar, and T. Tal</t>
        </is>
      </c>
      <c r="CE86" t="n">
        <v>182530.0</v>
      </c>
      <c r="CF86" t="inlineStr">
        <is>
          <t>Evaluation of Developmental Toxicity, Developmental Neurotoxicity, and Tissue Dose in Zebrafish Exposed to GenX and Other PFAS</t>
        </is>
      </c>
      <c r="CG86" t="inlineStr">
        <is>
          <t>Environ. Health Perspect.128(4): 047005-01 - 047005-22</t>
        </is>
      </c>
      <c r="CH86" t="n">
        <v>2020.0</v>
      </c>
      <c r="CI86"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87">
      <c r="A87" t="n">
        <v>1763231.0</v>
      </c>
      <c r="B87" t="inlineStr">
        <is>
          <t>1,1,2,2,3,3,4,4,5,5,6,6,7,7,8,8,8-Heptadecafluoro-1-octanesulfonic acid</t>
        </is>
      </c>
      <c r="C87"/>
      <c r="D87" t="inlineStr">
        <is>
          <t>Unmeasured</t>
        </is>
      </c>
      <c r="E87" t="inlineStr">
        <is>
          <t>&gt;</t>
        </is>
      </c>
      <c r="F87" t="n">
        <v>96.0</v>
      </c>
      <c r="G87"/>
      <c r="H87"/>
      <c r="I87"/>
      <c r="J87"/>
      <c r="K87" t="inlineStr">
        <is>
          <t>Danio rerio</t>
        </is>
      </c>
      <c r="L87" t="inlineStr">
        <is>
          <t>Zebra Danio</t>
        </is>
      </c>
      <c r="M87" t="inlineStr">
        <is>
          <t>Fish; Standard Test Species</t>
        </is>
      </c>
      <c r="N87" t="inlineStr">
        <is>
          <t>Embryo</t>
        </is>
      </c>
      <c r="O87"/>
      <c r="P87" t="n">
        <v>25.0</v>
      </c>
      <c r="Q87"/>
      <c r="R87"/>
      <c r="S87"/>
      <c r="T87"/>
      <c r="U87" t="inlineStr">
        <is>
          <t>Hours post fertilization</t>
        </is>
      </c>
      <c r="V87" t="inlineStr">
        <is>
          <t>Static</t>
        </is>
      </c>
      <c r="W87" t="inlineStr">
        <is>
          <t>Fresh water</t>
        </is>
      </c>
      <c r="X87" t="inlineStr">
        <is>
          <t>Lab</t>
        </is>
      </c>
      <c r="Y87" t="n">
        <v>2.0</v>
      </c>
      <c r="Z87" t="inlineStr">
        <is>
          <t>Active ingredient</t>
        </is>
      </c>
      <c r="AA87"/>
      <c r="AB87" t="n">
        <v>8.0</v>
      </c>
      <c r="AC87"/>
      <c r="AD87"/>
      <c r="AE87"/>
      <c r="AF87"/>
      <c r="AG87" t="inlineStr">
        <is>
          <t>AI mg/L</t>
        </is>
      </c>
      <c r="AH87"/>
      <c r="AI87"/>
      <c r="AJ87"/>
      <c r="AK87"/>
      <c r="AL87"/>
      <c r="AM87"/>
      <c r="AN87"/>
      <c r="AO87"/>
      <c r="AP87"/>
      <c r="AQ87"/>
      <c r="AR87"/>
      <c r="AS87"/>
      <c r="AT87"/>
      <c r="AU87"/>
      <c r="AV87"/>
      <c r="AW87"/>
      <c r="AX87" t="inlineStr">
        <is>
          <t>Accumulation</t>
        </is>
      </c>
      <c r="AY87" t="inlineStr">
        <is>
          <t>Residue</t>
        </is>
      </c>
      <c r="AZ87" t="inlineStr">
        <is>
          <t>LOEC</t>
        </is>
      </c>
      <c r="BA87" t="inlineStr">
        <is>
          <t>Whole organism</t>
        </is>
      </c>
      <c r="BB87"/>
      <c r="BC87" t="n">
        <v>1.0</v>
      </c>
      <c r="BD87"/>
      <c r="BE87"/>
      <c r="BF87"/>
      <c r="BG87"/>
      <c r="BH87" t="inlineStr">
        <is>
          <t>Day(s)</t>
        </is>
      </c>
      <c r="BI87"/>
      <c r="BJ87"/>
      <c r="BK87"/>
      <c r="BL87"/>
      <c r="BM87"/>
      <c r="BN87"/>
      <c r="BO87" t="inlineStr">
        <is>
          <t>--</t>
        </is>
      </c>
      <c r="BP87"/>
      <c r="BQ87"/>
      <c r="BR87"/>
      <c r="BS87"/>
      <c r="BT87"/>
      <c r="BU87"/>
      <c r="BV87"/>
      <c r="BW87"/>
      <c r="BX87"/>
      <c r="BY87"/>
      <c r="BZ87"/>
      <c r="CA87"/>
      <c r="CB87"/>
      <c r="CC87"/>
      <c r="CD87" t="inlineStr">
        <is>
          <t>Huang,H., C. Huang, L. Wang, X. Ye, C. Bai, M.T. Simonich, R.L. Tanguay, and Q. Dong</t>
        </is>
      </c>
      <c r="CE87" t="n">
        <v>151614.0</v>
      </c>
      <c r="CF87" t="inlineStr">
        <is>
          <t>Toxicity, Uptake Kinetics and Behavior Assessment in Zebrafish Embryos Following Exposure to Perfluorooctanesulphonicacid (PFOS)</t>
        </is>
      </c>
      <c r="CG87" t="inlineStr">
        <is>
          <t>Aquat. Toxicol.98(2): 139-147</t>
        </is>
      </c>
      <c r="CH87" t="n">
        <v>2010.0</v>
      </c>
      <c r="CI87" t="inlineStr">
        <is>
          <t>Huang,H., C. Huang, L. Wang, X. Ye, C. Bai, M.T. Simonich, R.L. Tanguay, and Q. Dong (2010). Toxicity, Uptake Kinetics and Behavior Assessment in Zebrafish Embryos Following Exposure to Perfluorooctanesulphonicacid (PFOS). Aquat. Toxicol., 98, (2), 139-147. doi:10.1016/j.aquatox.2010.02.003. ECOREF#:151614</t>
        </is>
      </c>
    </row>
    <row r="88">
      <c r="A88" t="n">
        <v>1763231.0</v>
      </c>
      <c r="B88" t="inlineStr">
        <is>
          <t>1,1,2,2,3,3,4,4,5,5,6,6,7,7,8,8,8-Heptadecafluoro-1-octanesulfonic acid</t>
        </is>
      </c>
      <c r="C88"/>
      <c r="D88" t="inlineStr">
        <is>
          <t>Unmeasured</t>
        </is>
      </c>
      <c r="E88" t="inlineStr">
        <is>
          <t>&gt;</t>
        </is>
      </c>
      <c r="F88" t="n">
        <v>96.0</v>
      </c>
      <c r="G88"/>
      <c r="H88"/>
      <c r="I88"/>
      <c r="J88"/>
      <c r="K88" t="inlineStr">
        <is>
          <t>Danio rerio</t>
        </is>
      </c>
      <c r="L88" t="inlineStr">
        <is>
          <t>Zebra Danio</t>
        </is>
      </c>
      <c r="M88" t="inlineStr">
        <is>
          <t>Fish; Standard Test Species</t>
        </is>
      </c>
      <c r="N88" t="inlineStr">
        <is>
          <t>Embryo</t>
        </is>
      </c>
      <c r="O88"/>
      <c r="P88" t="n">
        <v>1.0</v>
      </c>
      <c r="Q88"/>
      <c r="R88"/>
      <c r="S88"/>
      <c r="T88"/>
      <c r="U88" t="inlineStr">
        <is>
          <t>Hours post fertilization</t>
        </is>
      </c>
      <c r="V88" t="inlineStr">
        <is>
          <t>Static</t>
        </is>
      </c>
      <c r="W88" t="inlineStr">
        <is>
          <t>Fresh water</t>
        </is>
      </c>
      <c r="X88" t="inlineStr">
        <is>
          <t>Lab</t>
        </is>
      </c>
      <c r="Y88" t="n">
        <v>2.0</v>
      </c>
      <c r="Z88" t="inlineStr">
        <is>
          <t>Active ingredient</t>
        </is>
      </c>
      <c r="AA88"/>
      <c r="AB88" t="n">
        <v>8.0</v>
      </c>
      <c r="AC88"/>
      <c r="AD88"/>
      <c r="AE88"/>
      <c r="AF88"/>
      <c r="AG88" t="inlineStr">
        <is>
          <t>AI mg/L</t>
        </is>
      </c>
      <c r="AH88"/>
      <c r="AI88"/>
      <c r="AJ88"/>
      <c r="AK88"/>
      <c r="AL88"/>
      <c r="AM88"/>
      <c r="AN88"/>
      <c r="AO88"/>
      <c r="AP88"/>
      <c r="AQ88"/>
      <c r="AR88"/>
      <c r="AS88"/>
      <c r="AT88"/>
      <c r="AU88"/>
      <c r="AV88"/>
      <c r="AW88"/>
      <c r="AX88" t="inlineStr">
        <is>
          <t>Accumulation</t>
        </is>
      </c>
      <c r="AY88" t="inlineStr">
        <is>
          <t>Residue</t>
        </is>
      </c>
      <c r="AZ88" t="inlineStr">
        <is>
          <t>LOEC</t>
        </is>
      </c>
      <c r="BA88" t="inlineStr">
        <is>
          <t>Whole organism</t>
        </is>
      </c>
      <c r="BB88"/>
      <c r="BC88" t="n">
        <v>1.0</v>
      </c>
      <c r="BD88"/>
      <c r="BE88"/>
      <c r="BF88"/>
      <c r="BG88"/>
      <c r="BH88" t="inlineStr">
        <is>
          <t>Day(s)</t>
        </is>
      </c>
      <c r="BI88"/>
      <c r="BJ88"/>
      <c r="BK88"/>
      <c r="BL88"/>
      <c r="BM88"/>
      <c r="BN88"/>
      <c r="BO88" t="inlineStr">
        <is>
          <t>--</t>
        </is>
      </c>
      <c r="BP88"/>
      <c r="BQ88"/>
      <c r="BR88"/>
      <c r="BS88"/>
      <c r="BT88"/>
      <c r="BU88"/>
      <c r="BV88"/>
      <c r="BW88"/>
      <c r="BX88"/>
      <c r="BY88"/>
      <c r="BZ88"/>
      <c r="CA88"/>
      <c r="CB88"/>
      <c r="CC88"/>
      <c r="CD88" t="inlineStr">
        <is>
          <t>Huang,H., C. Huang, L. Wang, X. Ye, C. Bai, M.T. Simonich, R.L. Tanguay, and Q. Dong</t>
        </is>
      </c>
      <c r="CE88" t="n">
        <v>151614.0</v>
      </c>
      <c r="CF88" t="inlineStr">
        <is>
          <t>Toxicity, Uptake Kinetics and Behavior Assessment in Zebrafish Embryos Following Exposure to Perfluorooctanesulphonicacid (PFOS)</t>
        </is>
      </c>
      <c r="CG88" t="inlineStr">
        <is>
          <t>Aquat. Toxicol.98(2): 139-147</t>
        </is>
      </c>
      <c r="CH88" t="n">
        <v>2010.0</v>
      </c>
      <c r="CI88" t="inlineStr">
        <is>
          <t>Huang,H., C. Huang, L. Wang, X. Ye, C. Bai, M.T. Simonich, R.L. Tanguay, and Q. Dong (2010). Toxicity, Uptake Kinetics and Behavior Assessment in Zebrafish Embryos Following Exposure to Perfluorooctanesulphonicacid (PFOS). Aquat. Toxicol., 98, (2), 139-147. doi:10.1016/j.aquatox.2010.02.003. ECOREF#:151614</t>
        </is>
      </c>
    </row>
    <row r="89">
      <c r="A89" t="n">
        <v>1763231.0</v>
      </c>
      <c r="B89" t="inlineStr">
        <is>
          <t>1,1,2,2,3,3,4,4,5,5,6,6,7,7,8,8,8-Heptadecafluoro-1-octanesulfonic acid</t>
        </is>
      </c>
      <c r="C89"/>
      <c r="D89" t="inlineStr">
        <is>
          <t>Unmeasured</t>
        </is>
      </c>
      <c r="E89" t="inlineStr">
        <is>
          <t>&gt;</t>
        </is>
      </c>
      <c r="F89" t="n">
        <v>96.0</v>
      </c>
      <c r="G89"/>
      <c r="H89"/>
      <c r="I89"/>
      <c r="J89"/>
      <c r="K89" t="inlineStr">
        <is>
          <t>Danio rerio</t>
        </is>
      </c>
      <c r="L89" t="inlineStr">
        <is>
          <t>Zebra Danio</t>
        </is>
      </c>
      <c r="M89" t="inlineStr">
        <is>
          <t>Fish; Standard Test Species</t>
        </is>
      </c>
      <c r="N89" t="inlineStr">
        <is>
          <t>Embryo</t>
        </is>
      </c>
      <c r="O89"/>
      <c r="P89"/>
      <c r="Q89"/>
      <c r="R89"/>
      <c r="S89"/>
      <c r="T89"/>
      <c r="U89"/>
      <c r="V89" t="inlineStr">
        <is>
          <t>Renewal</t>
        </is>
      </c>
      <c r="W89" t="inlineStr">
        <is>
          <t>Fresh water</t>
        </is>
      </c>
      <c r="X89" t="inlineStr">
        <is>
          <t>Lab</t>
        </is>
      </c>
      <c r="Y89" t="n">
        <v>2.0</v>
      </c>
      <c r="Z89" t="inlineStr">
        <is>
          <t>Active ingredient</t>
        </is>
      </c>
      <c r="AA89"/>
      <c r="AB89" t="n">
        <v>0.25</v>
      </c>
      <c r="AC89"/>
      <c r="AD89"/>
      <c r="AE89"/>
      <c r="AF89"/>
      <c r="AG89" t="inlineStr">
        <is>
          <t>AI mg/L</t>
        </is>
      </c>
      <c r="AH89"/>
      <c r="AI89"/>
      <c r="AJ89"/>
      <c r="AK89"/>
      <c r="AL89"/>
      <c r="AM89"/>
      <c r="AN89"/>
      <c r="AO89"/>
      <c r="AP89"/>
      <c r="AQ89"/>
      <c r="AR89"/>
      <c r="AS89"/>
      <c r="AT89"/>
      <c r="AU89"/>
      <c r="AV89"/>
      <c r="AW89"/>
      <c r="AX89" t="inlineStr">
        <is>
          <t>Accumulation</t>
        </is>
      </c>
      <c r="AY89" t="inlineStr">
        <is>
          <t>Residue</t>
        </is>
      </c>
      <c r="AZ89" t="inlineStr">
        <is>
          <t>LOEC</t>
        </is>
      </c>
      <c r="BA89"/>
      <c r="BB89"/>
      <c r="BC89" t="n">
        <v>72.0</v>
      </c>
      <c r="BD89"/>
      <c r="BE89"/>
      <c r="BF89"/>
      <c r="BG89"/>
      <c r="BH89" t="inlineStr">
        <is>
          <t>Day(s) post-fertilization</t>
        </is>
      </c>
      <c r="BI89"/>
      <c r="BJ89"/>
      <c r="BK89"/>
      <c r="BL89"/>
      <c r="BM89"/>
      <c r="BN89"/>
      <c r="BO89" t="inlineStr">
        <is>
          <t>--</t>
        </is>
      </c>
      <c r="BP89"/>
      <c r="BQ89"/>
      <c r="BR89"/>
      <c r="BS89"/>
      <c r="BT89"/>
      <c r="BU89"/>
      <c r="BV89"/>
      <c r="BW89"/>
      <c r="BX89"/>
      <c r="BY89"/>
      <c r="BZ89"/>
      <c r="CA89"/>
      <c r="CB89"/>
      <c r="CC89"/>
      <c r="CD89" t="inlineStr">
        <is>
          <t>Wang,M., J. Chen, K. Lin, Y. Chen, W. Hu, R.L. Tanguay, C. Huang, and Q. Dong</t>
        </is>
      </c>
      <c r="CE89" t="n">
        <v>164068.0</v>
      </c>
      <c r="CF89" t="inlineStr">
        <is>
          <t>Chronic Zebrafish PFOS Exposure Alters Sex Ratio and Maternal Related Effects in F1 Offspring</t>
        </is>
      </c>
      <c r="CG89" t="inlineStr">
        <is>
          <t>Environ. Toxicol. Chem.30(9): 2073-2080</t>
        </is>
      </c>
      <c r="CH89" t="n">
        <v>2011.0</v>
      </c>
      <c r="CI89" t="inlineStr">
        <is>
          <t>Wang,M., J. Chen, K. Lin, Y. Chen, W. Hu, R.L. Tanguay, C. Huang, and Q. Dong (2011). Chronic Zebrafish PFOS Exposure Alters Sex Ratio and Maternal Related Effects in F1 Offspring. Environ. Toxicol. Chem., 30, (9), 2073-2080. doi:10.1002/etc.594. ECOREF#:164068</t>
        </is>
      </c>
    </row>
    <row r="90">
      <c r="A90" t="n">
        <v>1763231.0</v>
      </c>
      <c r="B90" t="inlineStr">
        <is>
          <t>1,1,2,2,3,3,4,4,5,5,6,6,7,7,8,8,8-Heptadecafluoro-1-octanesulfonic acid</t>
        </is>
      </c>
      <c r="C90"/>
      <c r="D90" t="inlineStr">
        <is>
          <t>Unmeasured</t>
        </is>
      </c>
      <c r="E90" t="inlineStr">
        <is>
          <t>&gt;</t>
        </is>
      </c>
      <c r="F90" t="n">
        <v>96.0</v>
      </c>
      <c r="G90"/>
      <c r="H90"/>
      <c r="I90"/>
      <c r="J90"/>
      <c r="K90" t="inlineStr">
        <is>
          <t>Danio rerio</t>
        </is>
      </c>
      <c r="L90" t="inlineStr">
        <is>
          <t>Zebra Danio</t>
        </is>
      </c>
      <c r="M90" t="inlineStr">
        <is>
          <t>Fish; Standard Test Species</t>
        </is>
      </c>
      <c r="N90" t="inlineStr">
        <is>
          <t>Embryo</t>
        </is>
      </c>
      <c r="O90"/>
      <c r="P90" t="n">
        <v>97.0</v>
      </c>
      <c r="Q90"/>
      <c r="R90"/>
      <c r="S90"/>
      <c r="T90"/>
      <c r="U90" t="inlineStr">
        <is>
          <t>Hours post fertilization</t>
        </is>
      </c>
      <c r="V90" t="inlineStr">
        <is>
          <t>Static</t>
        </is>
      </c>
      <c r="W90" t="inlineStr">
        <is>
          <t>Fresh water</t>
        </is>
      </c>
      <c r="X90" t="inlineStr">
        <is>
          <t>Lab</t>
        </is>
      </c>
      <c r="Y90" t="n">
        <v>2.0</v>
      </c>
      <c r="Z90" t="inlineStr">
        <is>
          <t>Active ingredient</t>
        </is>
      </c>
      <c r="AA90"/>
      <c r="AB90" t="n">
        <v>8.0</v>
      </c>
      <c r="AC90"/>
      <c r="AD90"/>
      <c r="AE90"/>
      <c r="AF90"/>
      <c r="AG90" t="inlineStr">
        <is>
          <t>AI mg/L</t>
        </is>
      </c>
      <c r="AH90"/>
      <c r="AI90"/>
      <c r="AJ90"/>
      <c r="AK90"/>
      <c r="AL90"/>
      <c r="AM90"/>
      <c r="AN90"/>
      <c r="AO90"/>
      <c r="AP90"/>
      <c r="AQ90"/>
      <c r="AR90"/>
      <c r="AS90"/>
      <c r="AT90"/>
      <c r="AU90"/>
      <c r="AV90"/>
      <c r="AW90"/>
      <c r="AX90" t="inlineStr">
        <is>
          <t>Accumulation</t>
        </is>
      </c>
      <c r="AY90" t="inlineStr">
        <is>
          <t>Residue</t>
        </is>
      </c>
      <c r="AZ90" t="inlineStr">
        <is>
          <t>LOEC</t>
        </is>
      </c>
      <c r="BA90" t="inlineStr">
        <is>
          <t>Whole organism</t>
        </is>
      </c>
      <c r="BB90"/>
      <c r="BC90" t="n">
        <v>1.0</v>
      </c>
      <c r="BD90"/>
      <c r="BE90"/>
      <c r="BF90"/>
      <c r="BG90"/>
      <c r="BH90" t="inlineStr">
        <is>
          <t>Day(s)</t>
        </is>
      </c>
      <c r="BI90"/>
      <c r="BJ90"/>
      <c r="BK90"/>
      <c r="BL90"/>
      <c r="BM90"/>
      <c r="BN90"/>
      <c r="BO90" t="inlineStr">
        <is>
          <t>--</t>
        </is>
      </c>
      <c r="BP90"/>
      <c r="BQ90"/>
      <c r="BR90"/>
      <c r="BS90"/>
      <c r="BT90"/>
      <c r="BU90"/>
      <c r="BV90"/>
      <c r="BW90"/>
      <c r="BX90"/>
      <c r="BY90"/>
      <c r="BZ90"/>
      <c r="CA90"/>
      <c r="CB90"/>
      <c r="CC90"/>
      <c r="CD90" t="inlineStr">
        <is>
          <t>Huang,H., C. Huang, L. Wang, X. Ye, C. Bai, M.T. Simonich, R.L. Tanguay, and Q. Dong</t>
        </is>
      </c>
      <c r="CE90" t="n">
        <v>151614.0</v>
      </c>
      <c r="CF90" t="inlineStr">
        <is>
          <t>Toxicity, Uptake Kinetics and Behavior Assessment in Zebrafish Embryos Following Exposure to Perfluorooctanesulphonicacid (PFOS)</t>
        </is>
      </c>
      <c r="CG90" t="inlineStr">
        <is>
          <t>Aquat. Toxicol.98(2): 139-147</t>
        </is>
      </c>
      <c r="CH90" t="n">
        <v>2010.0</v>
      </c>
      <c r="CI90" t="inlineStr">
        <is>
          <t>Huang,H., C. Huang, L. Wang, X. Ye, C. Bai, M.T. Simonich, R.L. Tanguay, and Q. Dong (2010). Toxicity, Uptake Kinetics and Behavior Assessment in Zebrafish Embryos Following Exposure to Perfluorooctanesulphonicacid (PFOS). Aquat. Toxicol., 98, (2), 139-147. doi:10.1016/j.aquatox.2010.02.003. ECOREF#:151614</t>
        </is>
      </c>
    </row>
    <row r="91">
      <c r="A91" t="n">
        <v>1763231.0</v>
      </c>
      <c r="B91" t="inlineStr">
        <is>
          <t>1,1,2,2,3,3,4,4,5,5,6,6,7,7,8,8,8-Heptadecafluoro-1-octanesulfonic acid</t>
        </is>
      </c>
      <c r="C91"/>
      <c r="D91" t="inlineStr">
        <is>
          <t>Unmeasured</t>
        </is>
      </c>
      <c r="E91" t="inlineStr">
        <is>
          <t>&gt;</t>
        </is>
      </c>
      <c r="F91" t="n">
        <v>96.0</v>
      </c>
      <c r="G91"/>
      <c r="H91"/>
      <c r="I91"/>
      <c r="J91"/>
      <c r="K91" t="inlineStr">
        <is>
          <t>Danio rerio</t>
        </is>
      </c>
      <c r="L91" t="inlineStr">
        <is>
          <t>Zebra Danio</t>
        </is>
      </c>
      <c r="M91" t="inlineStr">
        <is>
          <t>Fish; Standard Test Species</t>
        </is>
      </c>
      <c r="N91" t="inlineStr">
        <is>
          <t>Embryo</t>
        </is>
      </c>
      <c r="O91"/>
      <c r="P91" t="n">
        <v>49.0</v>
      </c>
      <c r="Q91"/>
      <c r="R91"/>
      <c r="S91"/>
      <c r="T91"/>
      <c r="U91" t="inlineStr">
        <is>
          <t>Hours post fertilization</t>
        </is>
      </c>
      <c r="V91" t="inlineStr">
        <is>
          <t>Static</t>
        </is>
      </c>
      <c r="W91" t="inlineStr">
        <is>
          <t>Fresh water</t>
        </is>
      </c>
      <c r="X91" t="inlineStr">
        <is>
          <t>Lab</t>
        </is>
      </c>
      <c r="Y91" t="n">
        <v>2.0</v>
      </c>
      <c r="Z91" t="inlineStr">
        <is>
          <t>Active ingredient</t>
        </is>
      </c>
      <c r="AA91"/>
      <c r="AB91" t="n">
        <v>8.0</v>
      </c>
      <c r="AC91"/>
      <c r="AD91"/>
      <c r="AE91"/>
      <c r="AF91"/>
      <c r="AG91" t="inlineStr">
        <is>
          <t>AI mg/L</t>
        </is>
      </c>
      <c r="AH91"/>
      <c r="AI91"/>
      <c r="AJ91"/>
      <c r="AK91"/>
      <c r="AL91"/>
      <c r="AM91"/>
      <c r="AN91"/>
      <c r="AO91"/>
      <c r="AP91"/>
      <c r="AQ91"/>
      <c r="AR91"/>
      <c r="AS91"/>
      <c r="AT91"/>
      <c r="AU91"/>
      <c r="AV91"/>
      <c r="AW91"/>
      <c r="AX91" t="inlineStr">
        <is>
          <t>Accumulation</t>
        </is>
      </c>
      <c r="AY91" t="inlineStr">
        <is>
          <t>Residue</t>
        </is>
      </c>
      <c r="AZ91" t="inlineStr">
        <is>
          <t>LOEC</t>
        </is>
      </c>
      <c r="BA91" t="inlineStr">
        <is>
          <t>Whole organism</t>
        </is>
      </c>
      <c r="BB91"/>
      <c r="BC91" t="n">
        <v>1.0</v>
      </c>
      <c r="BD91"/>
      <c r="BE91"/>
      <c r="BF91"/>
      <c r="BG91"/>
      <c r="BH91" t="inlineStr">
        <is>
          <t>Day(s)</t>
        </is>
      </c>
      <c r="BI91"/>
      <c r="BJ91"/>
      <c r="BK91"/>
      <c r="BL91"/>
      <c r="BM91"/>
      <c r="BN91"/>
      <c r="BO91" t="inlineStr">
        <is>
          <t>--</t>
        </is>
      </c>
      <c r="BP91"/>
      <c r="BQ91"/>
      <c r="BR91"/>
      <c r="BS91"/>
      <c r="BT91"/>
      <c r="BU91"/>
      <c r="BV91"/>
      <c r="BW91"/>
      <c r="BX91"/>
      <c r="BY91"/>
      <c r="BZ91"/>
      <c r="CA91"/>
      <c r="CB91"/>
      <c r="CC91"/>
      <c r="CD91" t="inlineStr">
        <is>
          <t>Huang,H., C. Huang, L. Wang, X. Ye, C. Bai, M.T. Simonich, R.L. Tanguay, and Q. Dong</t>
        </is>
      </c>
      <c r="CE91" t="n">
        <v>151614.0</v>
      </c>
      <c r="CF91" t="inlineStr">
        <is>
          <t>Toxicity, Uptake Kinetics and Behavior Assessment in Zebrafish Embryos Following Exposure to Perfluorooctanesulphonicacid (PFOS)</t>
        </is>
      </c>
      <c r="CG91" t="inlineStr">
        <is>
          <t>Aquat. Toxicol.98(2): 139-147</t>
        </is>
      </c>
      <c r="CH91" t="n">
        <v>2010.0</v>
      </c>
      <c r="CI91" t="inlineStr">
        <is>
          <t>Huang,H., C. Huang, L. Wang, X. Ye, C. Bai, M.T. Simonich, R.L. Tanguay, and Q. Dong (2010). Toxicity, Uptake Kinetics and Behavior Assessment in Zebrafish Embryos Following Exposure to Perfluorooctanesulphonicacid (PFOS). Aquat. Toxicol., 98, (2), 139-147. doi:10.1016/j.aquatox.2010.02.003. ECOREF#:151614</t>
        </is>
      </c>
    </row>
    <row r="92">
      <c r="A92" t="n">
        <v>1763231.0</v>
      </c>
      <c r="B92" t="inlineStr">
        <is>
          <t>1,1,2,2,3,3,4,4,5,5,6,6,7,7,8,8,8-Heptadecafluoro-1-octanesulfonic acid</t>
        </is>
      </c>
      <c r="C92"/>
      <c r="D92" t="inlineStr">
        <is>
          <t>Unmeasured</t>
        </is>
      </c>
      <c r="E92" t="inlineStr">
        <is>
          <t>&gt;</t>
        </is>
      </c>
      <c r="F92" t="n">
        <v>96.0</v>
      </c>
      <c r="G92"/>
      <c r="H92"/>
      <c r="I92"/>
      <c r="J92"/>
      <c r="K92" t="inlineStr">
        <is>
          <t>Danio rerio</t>
        </is>
      </c>
      <c r="L92" t="inlineStr">
        <is>
          <t>Zebra Danio</t>
        </is>
      </c>
      <c r="M92" t="inlineStr">
        <is>
          <t>Fish; Standard Test Species</t>
        </is>
      </c>
      <c r="N92" t="inlineStr">
        <is>
          <t>Embryo</t>
        </is>
      </c>
      <c r="O92"/>
      <c r="P92"/>
      <c r="Q92"/>
      <c r="R92"/>
      <c r="S92"/>
      <c r="T92"/>
      <c r="U92"/>
      <c r="V92" t="inlineStr">
        <is>
          <t>Renewal</t>
        </is>
      </c>
      <c r="W92" t="inlineStr">
        <is>
          <t>Fresh water</t>
        </is>
      </c>
      <c r="X92" t="inlineStr">
        <is>
          <t>Lab</t>
        </is>
      </c>
      <c r="Y92" t="n">
        <v>2.0</v>
      </c>
      <c r="Z92" t="inlineStr">
        <is>
          <t>Active ingredient</t>
        </is>
      </c>
      <c r="AA92"/>
      <c r="AB92" t="n">
        <v>0.25</v>
      </c>
      <c r="AC92"/>
      <c r="AD92"/>
      <c r="AE92"/>
      <c r="AF92"/>
      <c r="AG92" t="inlineStr">
        <is>
          <t>AI mg/L</t>
        </is>
      </c>
      <c r="AH92"/>
      <c r="AI92"/>
      <c r="AJ92"/>
      <c r="AK92"/>
      <c r="AL92"/>
      <c r="AM92"/>
      <c r="AN92"/>
      <c r="AO92"/>
      <c r="AP92"/>
      <c r="AQ92"/>
      <c r="AR92"/>
      <c r="AS92"/>
      <c r="AT92"/>
      <c r="AU92"/>
      <c r="AV92"/>
      <c r="AW92"/>
      <c r="AX92" t="inlineStr">
        <is>
          <t>Accumulation</t>
        </is>
      </c>
      <c r="AY92" t="inlineStr">
        <is>
          <t>Residue</t>
        </is>
      </c>
      <c r="AZ92" t="inlineStr">
        <is>
          <t>NOEC</t>
        </is>
      </c>
      <c r="BA92"/>
      <c r="BB92"/>
      <c r="BC92" t="n">
        <v>72.0</v>
      </c>
      <c r="BD92"/>
      <c r="BE92"/>
      <c r="BF92"/>
      <c r="BG92"/>
      <c r="BH92" t="inlineStr">
        <is>
          <t>Day(s) post-fertilization</t>
        </is>
      </c>
      <c r="BI92"/>
      <c r="BJ92"/>
      <c r="BK92"/>
      <c r="BL92"/>
      <c r="BM92"/>
      <c r="BN92"/>
      <c r="BO92" t="inlineStr">
        <is>
          <t>--</t>
        </is>
      </c>
      <c r="BP92"/>
      <c r="BQ92"/>
      <c r="BR92"/>
      <c r="BS92"/>
      <c r="BT92"/>
      <c r="BU92"/>
      <c r="BV92"/>
      <c r="BW92"/>
      <c r="BX92"/>
      <c r="BY92"/>
      <c r="BZ92"/>
      <c r="CA92"/>
      <c r="CB92"/>
      <c r="CC92"/>
      <c r="CD92" t="inlineStr">
        <is>
          <t>Wang,M., J. Chen, K. Lin, Y. Chen, W. Hu, R.L. Tanguay, C. Huang, and Q. Dong</t>
        </is>
      </c>
      <c r="CE92" t="n">
        <v>164068.0</v>
      </c>
      <c r="CF92" t="inlineStr">
        <is>
          <t>Chronic Zebrafish PFOS Exposure Alters Sex Ratio and Maternal Related Effects in F1 Offspring</t>
        </is>
      </c>
      <c r="CG92" t="inlineStr">
        <is>
          <t>Environ. Toxicol. Chem.30(9): 2073-2080</t>
        </is>
      </c>
      <c r="CH92" t="n">
        <v>2011.0</v>
      </c>
      <c r="CI92" t="inlineStr">
        <is>
          <t>Wang,M., J. Chen, K. Lin, Y. Chen, W. Hu, R.L. Tanguay, C. Huang, and Q. Dong (2011). Chronic Zebrafish PFOS Exposure Alters Sex Ratio and Maternal Related Effects in F1 Offspring. Environ. Toxicol. Chem., 30, (9), 2073-2080. doi:10.1002/etc.594. ECOREF#:164068</t>
        </is>
      </c>
    </row>
    <row r="93">
      <c r="A93" t="n">
        <v>1763231.0</v>
      </c>
      <c r="B93" t="inlineStr">
        <is>
          <t>1,1,2,2,3,3,4,4,5,5,6,6,7,7,8,8,8-Heptadecafluoro-1-octanesulfonic acid</t>
        </is>
      </c>
      <c r="C93"/>
      <c r="D93" t="inlineStr">
        <is>
          <t>Unmeasured</t>
        </is>
      </c>
      <c r="E93" t="inlineStr">
        <is>
          <t>&gt;</t>
        </is>
      </c>
      <c r="F93" t="n">
        <v>96.0</v>
      </c>
      <c r="G93"/>
      <c r="H93"/>
      <c r="I93"/>
      <c r="J93"/>
      <c r="K93" t="inlineStr">
        <is>
          <t>Danio rerio</t>
        </is>
      </c>
      <c r="L93" t="inlineStr">
        <is>
          <t>Zebra Danio</t>
        </is>
      </c>
      <c r="M93" t="inlineStr">
        <is>
          <t>Fish; Standard Test Species</t>
        </is>
      </c>
      <c r="N93" t="inlineStr">
        <is>
          <t>Embryo</t>
        </is>
      </c>
      <c r="O93"/>
      <c r="P93"/>
      <c r="Q93"/>
      <c r="R93"/>
      <c r="S93"/>
      <c r="T93"/>
      <c r="U93"/>
      <c r="V93" t="inlineStr">
        <is>
          <t>Renewal</t>
        </is>
      </c>
      <c r="W93" t="inlineStr">
        <is>
          <t>Fresh water</t>
        </is>
      </c>
      <c r="X93" t="inlineStr">
        <is>
          <t>Lab</t>
        </is>
      </c>
      <c r="Y93" t="n">
        <v>4.0</v>
      </c>
      <c r="Z93" t="inlineStr">
        <is>
          <t>Active ingredient</t>
        </is>
      </c>
      <c r="AA93"/>
      <c r="AB93" t="n">
        <v>0.005</v>
      </c>
      <c r="AC93"/>
      <c r="AD93"/>
      <c r="AE93"/>
      <c r="AF93"/>
      <c r="AG93" t="inlineStr">
        <is>
          <t>AI mg/L</t>
        </is>
      </c>
      <c r="AH93"/>
      <c r="AI93"/>
      <c r="AJ93"/>
      <c r="AK93"/>
      <c r="AL93"/>
      <c r="AM93"/>
      <c r="AN93"/>
      <c r="AO93"/>
      <c r="AP93"/>
      <c r="AQ93"/>
      <c r="AR93"/>
      <c r="AS93"/>
      <c r="AT93"/>
      <c r="AU93"/>
      <c r="AV93"/>
      <c r="AW93"/>
      <c r="AX93" t="inlineStr">
        <is>
          <t>Accumulation</t>
        </is>
      </c>
      <c r="AY93" t="inlineStr">
        <is>
          <t>Residue</t>
        </is>
      </c>
      <c r="AZ93" t="inlineStr">
        <is>
          <t>NOEC</t>
        </is>
      </c>
      <c r="BA93"/>
      <c r="BB93"/>
      <c r="BC93" t="n">
        <v>72.0</v>
      </c>
      <c r="BD93"/>
      <c r="BE93"/>
      <c r="BF93"/>
      <c r="BG93"/>
      <c r="BH93" t="inlineStr">
        <is>
          <t>Day(s) post-fertilization</t>
        </is>
      </c>
      <c r="BI93"/>
      <c r="BJ93"/>
      <c r="BK93"/>
      <c r="BL93"/>
      <c r="BM93"/>
      <c r="BN93"/>
      <c r="BO93" t="inlineStr">
        <is>
          <t>--</t>
        </is>
      </c>
      <c r="BP93"/>
      <c r="BQ93"/>
      <c r="BR93"/>
      <c r="BS93"/>
      <c r="BT93"/>
      <c r="BU93"/>
      <c r="BV93"/>
      <c r="BW93"/>
      <c r="BX93"/>
      <c r="BY93"/>
      <c r="BZ93"/>
      <c r="CA93"/>
      <c r="CB93"/>
      <c r="CC93"/>
      <c r="CD93" t="inlineStr">
        <is>
          <t>Wang,M., J. Chen, K. Lin, Y. Chen, W. Hu, R.L. Tanguay, C. Huang, and Q. Dong</t>
        </is>
      </c>
      <c r="CE93" t="n">
        <v>164068.0</v>
      </c>
      <c r="CF93" t="inlineStr">
        <is>
          <t>Chronic Zebrafish PFOS Exposure Alters Sex Ratio and Maternal Related Effects in F1 Offspring</t>
        </is>
      </c>
      <c r="CG93" t="inlineStr">
        <is>
          <t>Environ. Toxicol. Chem.30(9): 2073-2080</t>
        </is>
      </c>
      <c r="CH93" t="n">
        <v>2011.0</v>
      </c>
      <c r="CI93" t="inlineStr">
        <is>
          <t>Wang,M., J. Chen, K. Lin, Y. Chen, W. Hu, R.L. Tanguay, C. Huang, and Q. Dong (2011). Chronic Zebrafish PFOS Exposure Alters Sex Ratio and Maternal Related Effects in F1 Offspring. Environ. Toxicol. Chem., 30, (9), 2073-2080. doi:10.1002/etc.594. ECOREF#:164068</t>
        </is>
      </c>
    </row>
    <row r="94">
      <c r="A94" t="n">
        <v>1763231.0</v>
      </c>
      <c r="B94" t="inlineStr">
        <is>
          <t>1,1,2,2,3,3,4,4,5,5,6,6,7,7,8,8,8-Heptadecafluoro-1-octanesulfonic acid</t>
        </is>
      </c>
      <c r="C94"/>
      <c r="D94" t="inlineStr">
        <is>
          <t>Unmeasured</t>
        </is>
      </c>
      <c r="E94"/>
      <c r="F94"/>
      <c r="G94"/>
      <c r="H94"/>
      <c r="I94"/>
      <c r="J94"/>
      <c r="K94" t="inlineStr">
        <is>
          <t>Danio rerio</t>
        </is>
      </c>
      <c r="L94" t="inlineStr">
        <is>
          <t>Zebra Danio</t>
        </is>
      </c>
      <c r="M94" t="inlineStr">
        <is>
          <t>Fish; Standard Test Species</t>
        </is>
      </c>
      <c r="N94" t="inlineStr">
        <is>
          <t>Embryo</t>
        </is>
      </c>
      <c r="O94"/>
      <c r="P94" t="n">
        <v>4.0</v>
      </c>
      <c r="Q94"/>
      <c r="R94"/>
      <c r="S94"/>
      <c r="T94"/>
      <c r="U94" t="inlineStr">
        <is>
          <t>Hours post fertilization</t>
        </is>
      </c>
      <c r="V94" t="inlineStr">
        <is>
          <t>Static</t>
        </is>
      </c>
      <c r="W94" t="inlineStr">
        <is>
          <t>Culture</t>
        </is>
      </c>
      <c r="X94" t="inlineStr">
        <is>
          <t>Lab</t>
        </is>
      </c>
      <c r="Y94" t="n">
        <v>3.0</v>
      </c>
      <c r="Z94" t="inlineStr">
        <is>
          <t>Formulation</t>
        </is>
      </c>
      <c r="AA94"/>
      <c r="AB94"/>
      <c r="AC94"/>
      <c r="AD94" t="n">
        <v>14.003556</v>
      </c>
      <c r="AE94"/>
      <c r="AF94" t="n">
        <v>28.007112</v>
      </c>
      <c r="AG94" t="inlineStr">
        <is>
          <t>AI mg/L</t>
        </is>
      </c>
      <c r="AH94"/>
      <c r="AI94"/>
      <c r="AJ94"/>
      <c r="AK94"/>
      <c r="AL94"/>
      <c r="AM94"/>
      <c r="AN94"/>
      <c r="AO94"/>
      <c r="AP94"/>
      <c r="AQ94"/>
      <c r="AR94"/>
      <c r="AS94"/>
      <c r="AT94"/>
      <c r="AU94"/>
      <c r="AV94"/>
      <c r="AW94"/>
      <c r="AX94" t="inlineStr">
        <is>
          <t>Accumulation</t>
        </is>
      </c>
      <c r="AY94" t="inlineStr">
        <is>
          <t>Residue</t>
        </is>
      </c>
      <c r="AZ94"/>
      <c r="BA94" t="inlineStr">
        <is>
          <t>Whole organism</t>
        </is>
      </c>
      <c r="BB94"/>
      <c r="BC94"/>
      <c r="BD94"/>
      <c r="BE94" t="n">
        <v>1.8333</v>
      </c>
      <c r="BF94"/>
      <c r="BG94" t="n">
        <v>2.8333</v>
      </c>
      <c r="BH94" t="inlineStr">
        <is>
          <t>Day(s)</t>
        </is>
      </c>
      <c r="BI94"/>
      <c r="BJ94"/>
      <c r="BK94"/>
      <c r="BL94"/>
      <c r="BM94"/>
      <c r="BN94"/>
      <c r="BO94" t="inlineStr">
        <is>
          <t>--</t>
        </is>
      </c>
      <c r="BP94"/>
      <c r="BQ94"/>
      <c r="BR94"/>
      <c r="BS94"/>
      <c r="BT94"/>
      <c r="BU94"/>
      <c r="BV94"/>
      <c r="BW94"/>
      <c r="BX94"/>
      <c r="BY94"/>
      <c r="BZ94"/>
      <c r="CA94"/>
      <c r="CB94"/>
      <c r="CC94"/>
      <c r="CD94" t="inlineStr">
        <is>
          <t>Paquette,S.E., N.R. Martin, A. Rodd, K.E. Manz, E. Allen, M. Camarillo, H.I. Weller, K. Pennell, and J.S. Plavicki</t>
        </is>
      </c>
      <c r="CE94" t="n">
        <v>193606.0</v>
      </c>
      <c r="CF94" t="inlineStr">
        <is>
          <t>Evaluation of Neural Regulation and Microglial Responses to Brain Injury in Larval Zebrafish Exposed to Perfluorooctane Sulfonate</t>
        </is>
      </c>
      <c r="CG94" t="inlineStr">
        <is>
          <t>Environ. Health Perspect.131(11): 17 p.</t>
        </is>
      </c>
      <c r="CH94" t="n">
        <v>2023.0</v>
      </c>
      <c r="CI94" t="inlineStr">
        <is>
          <t>Paquette,S.E., N.R. Martin, A. Rodd, K.E. Manz, E. Allen, M. Camarillo, H.I. Weller, K. Pennell, and J.S. Plavicki (2023). Evaluation of Neural Regulation and Microglial Responses to Brain Injury in Larval Zebrafish Exposed to Perfluorooctane Sulfonate. Environ. Health Perspect., 131, (11), 17 p. ECOREF#:193606</t>
        </is>
      </c>
    </row>
    <row r="95">
      <c r="A95" t="n">
        <v>1763231.0</v>
      </c>
      <c r="B95" t="inlineStr">
        <is>
          <t>1,1,2,2,3,3,4,4,5,5,6,6,7,7,8,8,8-Heptadecafluoro-1-octanesulfonic acid</t>
        </is>
      </c>
      <c r="C95"/>
      <c r="D95" t="inlineStr">
        <is>
          <t>Unmeasured values (some measured values reported in article)</t>
        </is>
      </c>
      <c r="E95"/>
      <c r="F95" t="n">
        <v>95.9</v>
      </c>
      <c r="G95"/>
      <c r="H95"/>
      <c r="I95"/>
      <c r="J95"/>
      <c r="K95" t="inlineStr">
        <is>
          <t>Danio rerio</t>
        </is>
      </c>
      <c r="L95" t="inlineStr">
        <is>
          <t>Zebra Danio</t>
        </is>
      </c>
      <c r="M95" t="inlineStr">
        <is>
          <t>Fish; Standard Test Species</t>
        </is>
      </c>
      <c r="N95" t="inlineStr">
        <is>
          <t>Embryo</t>
        </is>
      </c>
      <c r="O95"/>
      <c r="P95" t="n">
        <v>3.0</v>
      </c>
      <c r="Q95"/>
      <c r="R95"/>
      <c r="S95"/>
      <c r="T95"/>
      <c r="U95" t="inlineStr">
        <is>
          <t>Hours post fertilization</t>
        </is>
      </c>
      <c r="V95" t="inlineStr">
        <is>
          <t>Renewal</t>
        </is>
      </c>
      <c r="W95" t="inlineStr">
        <is>
          <t>Fresh water</t>
        </is>
      </c>
      <c r="X95" t="inlineStr">
        <is>
          <t>Lab</t>
        </is>
      </c>
      <c r="Y95" t="n">
        <v>3.0</v>
      </c>
      <c r="Z95" t="inlineStr">
        <is>
          <t>Active ingredient</t>
        </is>
      </c>
      <c r="AA95"/>
      <c r="AB95"/>
      <c r="AC95"/>
      <c r="AD95" t="n">
        <v>1.0E-5</v>
      </c>
      <c r="AE95"/>
      <c r="AF95" t="n">
        <v>1.0539E-4</v>
      </c>
      <c r="AG95" t="inlineStr">
        <is>
          <t>AI mg/L</t>
        </is>
      </c>
      <c r="AH95"/>
      <c r="AI95"/>
      <c r="AJ95"/>
      <c r="AK95"/>
      <c r="AL95"/>
      <c r="AM95"/>
      <c r="AN95"/>
      <c r="AO95"/>
      <c r="AP95"/>
      <c r="AQ95"/>
      <c r="AR95"/>
      <c r="AS95"/>
      <c r="AT95"/>
      <c r="AU95"/>
      <c r="AV95"/>
      <c r="AW95"/>
      <c r="AX95" t="inlineStr">
        <is>
          <t>Accumulation</t>
        </is>
      </c>
      <c r="AY95" t="inlineStr">
        <is>
          <t>Residue</t>
        </is>
      </c>
      <c r="AZ95"/>
      <c r="BA95" t="inlineStr">
        <is>
          <t>Whole organism</t>
        </is>
      </c>
      <c r="BB95"/>
      <c r="BC95" t="n">
        <v>4.875</v>
      </c>
      <c r="BD95"/>
      <c r="BE95"/>
      <c r="BF95"/>
      <c r="BG95"/>
      <c r="BH95" t="inlineStr">
        <is>
          <t>Day(s)</t>
        </is>
      </c>
      <c r="BI95"/>
      <c r="BJ95"/>
      <c r="BK95"/>
      <c r="BL95"/>
      <c r="BM95"/>
      <c r="BN95"/>
      <c r="BO95" t="inlineStr">
        <is>
          <t>--</t>
        </is>
      </c>
      <c r="BP95"/>
      <c r="BQ95"/>
      <c r="BR95"/>
      <c r="BS95"/>
      <c r="BT95"/>
      <c r="BU95"/>
      <c r="BV95"/>
      <c r="BW95"/>
      <c r="BX95"/>
      <c r="BY95"/>
      <c r="BZ95"/>
      <c r="CA95"/>
      <c r="CB95"/>
      <c r="CC95"/>
      <c r="CD95" t="inlineStr">
        <is>
          <t>Cao,X., Y. Li, X. Liu, K. Li, S. Hong, H. Chen, Q. Rao, H. Li, Z. Deng, and W. Song</t>
        </is>
      </c>
      <c r="CE95" t="n">
        <v>194975.0</v>
      </c>
      <c r="CF95" t="inlineStr">
        <is>
          <t>Neurodevelopmental Effects of Exposure to Environmentally Relevant Concentrations of Perfluorooctane Sulfonic Acid (PFOS), Perfluorobutanesulfonic Acid (PFBS) and 6:2 Chlorinated Polyfluorinated Ether Sulfonate (6:2 Cl-</t>
        </is>
      </c>
      <c r="CG95" t="inlineStr">
        <is>
          <t>J. Hazard. Mater.494:16 p.</t>
        </is>
      </c>
      <c r="CH95" t="n">
        <v>2025.0</v>
      </c>
      <c r="CI95" t="inlineStr">
        <is>
          <t>Cao,X., Y. Li, X. Liu, K. Li, S. Hong, H. Chen, Q. Rao, H. Li, Z. Deng, and W. Song (2025). Neurodevelopmental Effects of Exposure to Environmentally Relevant Concentrations of Perfluorooctane Sulfonic Acid (PFOS), Perfluorobutanesulfonic Acid (PFBS) and 6:2 Chlorinated Polyfluorinated Ether Sulfonate (6:2 Cl-. J. Hazard. Mater., 494, 16 p. doi:10.1016/j.jhazmat.2025.138744. ECOREF#:194975</t>
        </is>
      </c>
    </row>
    <row r="96">
      <c r="A96" t="n">
        <v>1763231.0</v>
      </c>
      <c r="B96" t="inlineStr">
        <is>
          <t>1,1,2,2,3,3,4,4,5,5,6,6,7,7,8,8,8-Heptadecafluoro-1-octanesulfonic acid</t>
        </is>
      </c>
      <c r="C96"/>
      <c r="D96" t="inlineStr">
        <is>
          <t>Measured</t>
        </is>
      </c>
      <c r="E96"/>
      <c r="F96" t="n">
        <v>99.0</v>
      </c>
      <c r="G96"/>
      <c r="H96"/>
      <c r="I96"/>
      <c r="J96"/>
      <c r="K96" t="inlineStr">
        <is>
          <t>Danio rerio</t>
        </is>
      </c>
      <c r="L96" t="inlineStr">
        <is>
          <t>Zebra Danio</t>
        </is>
      </c>
      <c r="M96" t="inlineStr">
        <is>
          <t>Fish; Standard Test Species</t>
        </is>
      </c>
      <c r="N96" t="inlineStr">
        <is>
          <t>Embryo</t>
        </is>
      </c>
      <c r="O96" t="inlineStr">
        <is>
          <t>&lt;</t>
        </is>
      </c>
      <c r="P96" t="n">
        <v>4.0</v>
      </c>
      <c r="Q96"/>
      <c r="R96"/>
      <c r="S96"/>
      <c r="T96"/>
      <c r="U96" t="inlineStr">
        <is>
          <t>Hours post fertilization</t>
        </is>
      </c>
      <c r="V96" t="inlineStr">
        <is>
          <t>Renewal</t>
        </is>
      </c>
      <c r="W96" t="inlineStr">
        <is>
          <t>Culture</t>
        </is>
      </c>
      <c r="X96" t="inlineStr">
        <is>
          <t>Lab</t>
        </is>
      </c>
      <c r="Y96" t="n">
        <v>3.0</v>
      </c>
      <c r="Z96" t="inlineStr">
        <is>
          <t>Active ingredient</t>
        </is>
      </c>
      <c r="AA96"/>
      <c r="AB96"/>
      <c r="AC96"/>
      <c r="AD96" t="n">
        <v>0.00993</v>
      </c>
      <c r="AE96"/>
      <c r="AF96" t="n">
        <v>0.10429</v>
      </c>
      <c r="AG96" t="inlineStr">
        <is>
          <t>AI mg/L</t>
        </is>
      </c>
      <c r="AH96"/>
      <c r="AI96"/>
      <c r="AJ96"/>
      <c r="AK96"/>
      <c r="AL96"/>
      <c r="AM96"/>
      <c r="AN96"/>
      <c r="AO96"/>
      <c r="AP96"/>
      <c r="AQ96"/>
      <c r="AR96"/>
      <c r="AS96"/>
      <c r="AT96"/>
      <c r="AU96"/>
      <c r="AV96"/>
      <c r="AW96"/>
      <c r="AX96" t="inlineStr">
        <is>
          <t>Accumulation</t>
        </is>
      </c>
      <c r="AY96" t="inlineStr">
        <is>
          <t>Residue</t>
        </is>
      </c>
      <c r="AZ96"/>
      <c r="BA96" t="inlineStr">
        <is>
          <t>Whole organism</t>
        </is>
      </c>
      <c r="BB96"/>
      <c r="BC96" t="n">
        <v>4.8333</v>
      </c>
      <c r="BD96"/>
      <c r="BE96"/>
      <c r="BF96"/>
      <c r="BG96"/>
      <c r="BH96" t="inlineStr">
        <is>
          <t>Day(s)</t>
        </is>
      </c>
      <c r="BI96"/>
      <c r="BJ96"/>
      <c r="BK96"/>
      <c r="BL96"/>
      <c r="BM96"/>
      <c r="BN96"/>
      <c r="BO96" t="inlineStr">
        <is>
          <t>--</t>
        </is>
      </c>
      <c r="BP96"/>
      <c r="BQ96"/>
      <c r="BR96"/>
      <c r="BS96"/>
      <c r="BT96"/>
      <c r="BU96"/>
      <c r="BV96"/>
      <c r="BW96"/>
      <c r="BX96"/>
      <c r="BY96"/>
      <c r="BZ96"/>
      <c r="CA96"/>
      <c r="CB96"/>
      <c r="CC96"/>
      <c r="CD96" t="inlineStr">
        <is>
          <t>Zhou,C., W. Chen, R. Xuan, X. Kang, J. Wang, J.T. Magnuson, J. Li, D. Fang, and W. Qiu</t>
        </is>
      </c>
      <c r="CE96" t="n">
        <v>195274.0</v>
      </c>
      <c r="CF96" t="inlineStr">
        <is>
          <t>Perfluorodecanesulfonate (PFDS) Induces Innate Immune Toxicity Through the Nf-kB Pathway in Early Life Stage Zebrafish</t>
        </is>
      </c>
      <c r="CG96" t="inlineStr">
        <is>
          <t>Environ. Int.202(109688): 11 p.</t>
        </is>
      </c>
      <c r="CH96" t="n">
        <v>2025.0</v>
      </c>
      <c r="CI96" t="inlineStr">
        <is>
          <t>Zhou,C., W. Chen, R. Xuan, X. Kang, J. Wang, J.T. Magnuson, J. Li, D. Fang, and W. Qiu (2025). Perfluorodecanesulfonate (PFDS) Induces Innate Immune Toxicity Through the Nf-kB Pathway in Early Life Stage Zebrafish. Environ. Int., 202, (109688), 11 p. doi:10.1016/j.envint.2025.109688. ECOREF#:195274</t>
        </is>
      </c>
    </row>
    <row r="97">
      <c r="A97" t="n">
        <v>1763231.0</v>
      </c>
      <c r="B97" t="inlineStr">
        <is>
          <t>1,1,2,2,3,3,4,4,5,5,6,6,7,7,8,8,8-Heptadecafluoro-1-octanesulfonic acid</t>
        </is>
      </c>
      <c r="C97"/>
      <c r="D97" t="inlineStr">
        <is>
          <t>Measured</t>
        </is>
      </c>
      <c r="E97" t="inlineStr">
        <is>
          <t>&gt;</t>
        </is>
      </c>
      <c r="F97" t="n">
        <v>98.0</v>
      </c>
      <c r="G97"/>
      <c r="H97"/>
      <c r="I97"/>
      <c r="J97"/>
      <c r="K97" t="inlineStr">
        <is>
          <t>Carassius auratus</t>
        </is>
      </c>
      <c r="L97" t="inlineStr">
        <is>
          <t>Goldfish</t>
        </is>
      </c>
      <c r="M97" t="inlineStr">
        <is>
          <t>Fish; Standard Test Species</t>
        </is>
      </c>
      <c r="N97" t="inlineStr">
        <is>
          <t>Juvenile</t>
        </is>
      </c>
      <c r="O97"/>
      <c r="P97"/>
      <c r="Q97"/>
      <c r="R97"/>
      <c r="S97"/>
      <c r="T97"/>
      <c r="U97"/>
      <c r="V97" t="inlineStr">
        <is>
          <t>Renewal</t>
        </is>
      </c>
      <c r="W97" t="inlineStr">
        <is>
          <t>Fresh water</t>
        </is>
      </c>
      <c r="X97" t="inlineStr">
        <is>
          <t>Lab</t>
        </is>
      </c>
      <c r="Y97" t="n">
        <v>3.0</v>
      </c>
      <c r="Z97" t="inlineStr">
        <is>
          <t>Active ingredient</t>
        </is>
      </c>
      <c r="AA97"/>
      <c r="AB97"/>
      <c r="AC97"/>
      <c r="AD97" t="n">
        <v>0.52013208</v>
      </c>
      <c r="AE97"/>
      <c r="AF97" t="n">
        <v>5.09129286</v>
      </c>
      <c r="AG97" t="inlineStr">
        <is>
          <t>AI mg/L</t>
        </is>
      </c>
      <c r="AH97"/>
      <c r="AI97"/>
      <c r="AJ97"/>
      <c r="AK97"/>
      <c r="AL97"/>
      <c r="AM97"/>
      <c r="AN97"/>
      <c r="AO97"/>
      <c r="AP97"/>
      <c r="AQ97"/>
      <c r="AR97"/>
      <c r="AS97"/>
      <c r="AT97"/>
      <c r="AU97"/>
      <c r="AV97"/>
      <c r="AW97"/>
      <c r="AX97" t="inlineStr">
        <is>
          <t>Accumulation</t>
        </is>
      </c>
      <c r="AY97" t="inlineStr">
        <is>
          <t>Residue</t>
        </is>
      </c>
      <c r="AZ97"/>
      <c r="BA97" t="inlineStr">
        <is>
          <t>Multiple entries</t>
        </is>
      </c>
      <c r="BB97"/>
      <c r="BC97" t="n">
        <v>4.0</v>
      </c>
      <c r="BD97"/>
      <c r="BE97"/>
      <c r="BF97"/>
      <c r="BG97"/>
      <c r="BH97" t="inlineStr">
        <is>
          <t>Day(s)</t>
        </is>
      </c>
      <c r="BI97"/>
      <c r="BJ97"/>
      <c r="BK97"/>
      <c r="BL97"/>
      <c r="BM97"/>
      <c r="BN97"/>
      <c r="BO97" t="inlineStr">
        <is>
          <t>--</t>
        </is>
      </c>
      <c r="BP97"/>
      <c r="BQ97"/>
      <c r="BR97"/>
      <c r="BS97"/>
      <c r="BT97"/>
      <c r="BU97"/>
      <c r="BV97"/>
      <c r="BW97"/>
      <c r="BX97"/>
      <c r="BY97"/>
      <c r="BZ97"/>
      <c r="CA97"/>
      <c r="CB97"/>
      <c r="CC97"/>
      <c r="CD97" t="inlineStr">
        <is>
          <t>Feng,M., Q. He, L. Meng, X. Zhang, P. Sun, and Z. Wang</t>
        </is>
      </c>
      <c r="CE97" t="n">
        <v>169773.0</v>
      </c>
      <c r="CF97" t="inlineStr">
        <is>
          <t>Evaluation of Single and Joint Toxicity of Perfluorooctane Sulfonate, Perfluorooctanoic Acid, and Copper to Carassius auratus Using Oxidative Stress Biomarkers</t>
        </is>
      </c>
      <c r="CG97" t="inlineStr">
        <is>
          <t>Aquat. Toxicol.161:108-116</t>
        </is>
      </c>
      <c r="CH97" t="n">
        <v>2015.0</v>
      </c>
      <c r="CI97" t="inlineStr">
        <is>
          <t>Feng,M., Q. He, L. Meng, X. Zhang, P. Sun, and Z. Wang (2015). Evaluation of Single and Joint Toxicity of Perfluorooctane Sulfonate, Perfluorooctanoic Acid, and Copper to Carassius auratus Using Oxidative Stress Biomarkers. Aquat. Toxicol., 161, 108-116. doi:10.1016/j.aquatox.2015.01.025. ECOREF#:169773</t>
        </is>
      </c>
    </row>
    <row r="98">
      <c r="A98" t="n">
        <v>1763231.0</v>
      </c>
      <c r="B98" t="inlineStr">
        <is>
          <t>1,1,2,2,3,3,4,4,5,5,6,6,7,7,8,8,8-Heptadecafluoro-1-octanesulfonic acid</t>
        </is>
      </c>
      <c r="C98"/>
      <c r="D98" t="inlineStr">
        <is>
          <t>Unmeasured</t>
        </is>
      </c>
      <c r="E98" t="inlineStr">
        <is>
          <t>&gt;</t>
        </is>
      </c>
      <c r="F98" t="n">
        <v>96.0</v>
      </c>
      <c r="G98"/>
      <c r="H98"/>
      <c r="I98"/>
      <c r="J98"/>
      <c r="K98" t="inlineStr">
        <is>
          <t>Danio rerio</t>
        </is>
      </c>
      <c r="L98" t="inlineStr">
        <is>
          <t>Zebra Danio</t>
        </is>
      </c>
      <c r="M98" t="inlineStr">
        <is>
          <t>Fish; Standard Test Species</t>
        </is>
      </c>
      <c r="N98" t="inlineStr">
        <is>
          <t>Embryo</t>
        </is>
      </c>
      <c r="O98"/>
      <c r="P98" t="n">
        <v>1.0</v>
      </c>
      <c r="Q98"/>
      <c r="R98"/>
      <c r="S98"/>
      <c r="T98"/>
      <c r="U98" t="inlineStr">
        <is>
          <t>Hours post fertilization</t>
        </is>
      </c>
      <c r="V98" t="inlineStr">
        <is>
          <t>Static</t>
        </is>
      </c>
      <c r="W98" t="inlineStr">
        <is>
          <t>Fresh water</t>
        </is>
      </c>
      <c r="X98" t="inlineStr">
        <is>
          <t>Lab</t>
        </is>
      </c>
      <c r="Y98" t="n">
        <v>2.0</v>
      </c>
      <c r="Z98" t="inlineStr">
        <is>
          <t>Active ingredient</t>
        </is>
      </c>
      <c r="AA98"/>
      <c r="AB98" t="n">
        <v>2.0</v>
      </c>
      <c r="AC98"/>
      <c r="AD98"/>
      <c r="AE98"/>
      <c r="AF98"/>
      <c r="AG98" t="inlineStr">
        <is>
          <t>AI mg/L</t>
        </is>
      </c>
      <c r="AH98"/>
      <c r="AI98"/>
      <c r="AJ98"/>
      <c r="AK98"/>
      <c r="AL98"/>
      <c r="AM98"/>
      <c r="AN98"/>
      <c r="AO98"/>
      <c r="AP98"/>
      <c r="AQ98"/>
      <c r="AR98"/>
      <c r="AS98"/>
      <c r="AT98"/>
      <c r="AU98"/>
      <c r="AV98"/>
      <c r="AW98"/>
      <c r="AX98" t="inlineStr">
        <is>
          <t>Accumulation</t>
        </is>
      </c>
      <c r="AY98" t="inlineStr">
        <is>
          <t>Uptake</t>
        </is>
      </c>
      <c r="AZ98"/>
      <c r="BA98" t="inlineStr">
        <is>
          <t>Whole organism</t>
        </is>
      </c>
      <c r="BB98"/>
      <c r="BC98"/>
      <c r="BD98"/>
      <c r="BE98" t="n">
        <v>0.0833</v>
      </c>
      <c r="BF98"/>
      <c r="BG98" t="n">
        <v>5.0</v>
      </c>
      <c r="BH98" t="inlineStr">
        <is>
          <t>Day(s)</t>
        </is>
      </c>
      <c r="BI98"/>
      <c r="BJ98"/>
      <c r="BK98"/>
      <c r="BL98"/>
      <c r="BM98"/>
      <c r="BN98"/>
      <c r="BO98" t="inlineStr">
        <is>
          <t>--</t>
        </is>
      </c>
      <c r="BP98"/>
      <c r="BQ98"/>
      <c r="BR98"/>
      <c r="BS98"/>
      <c r="BT98"/>
      <c r="BU98"/>
      <c r="BV98"/>
      <c r="BW98"/>
      <c r="BX98"/>
      <c r="BY98"/>
      <c r="BZ98"/>
      <c r="CA98"/>
      <c r="CB98"/>
      <c r="CC98"/>
      <c r="CD98" t="inlineStr">
        <is>
          <t>Huang,H., C. Huang, L. Wang, X. Ye, C. Bai, M.T. Simonich, R.L. Tanguay, and Q. Dong</t>
        </is>
      </c>
      <c r="CE98" t="n">
        <v>151614.0</v>
      </c>
      <c r="CF98" t="inlineStr">
        <is>
          <t>Toxicity, Uptake Kinetics and Behavior Assessment in Zebrafish Embryos Following Exposure to Perfluorooctanesulphonicacid (PFOS)</t>
        </is>
      </c>
      <c r="CG98" t="inlineStr">
        <is>
          <t>Aquat. Toxicol.98(2): 139-147</t>
        </is>
      </c>
      <c r="CH98" t="n">
        <v>2010.0</v>
      </c>
      <c r="CI98" t="inlineStr">
        <is>
          <t>Huang,H., C. Huang, L. Wang, X. Ye, C. Bai, M.T. Simonich, R.L. Tanguay, and Q. Dong (2010). Toxicity, Uptake Kinetics and Behavior Assessment in Zebrafish Embryos Following Exposure to Perfluorooctanesulphonicacid (PFOS). Aquat. Toxicol., 98, (2), 139-147. doi:10.1016/j.aquatox.2010.02.003. ECOREF#:151614</t>
        </is>
      </c>
    </row>
    <row r="99">
      <c r="A99" t="n">
        <v>1763231.0</v>
      </c>
      <c r="B99" t="inlineStr">
        <is>
          <t>1,1,2,2,3,3,4,4,5,5,6,6,7,7,8,8,8-Heptadecafluoro-1-octanesulfonic acid</t>
        </is>
      </c>
      <c r="C99"/>
      <c r="D99" t="inlineStr">
        <is>
          <t>Measured</t>
        </is>
      </c>
      <c r="E99"/>
      <c r="F99"/>
      <c r="G99"/>
      <c r="H99"/>
      <c r="I99"/>
      <c r="J99"/>
      <c r="K99" t="inlineStr">
        <is>
          <t>Danio rerio</t>
        </is>
      </c>
      <c r="L99" t="inlineStr">
        <is>
          <t>Zebra Danio</t>
        </is>
      </c>
      <c r="M99" t="inlineStr">
        <is>
          <t>Fish; Standard Test Species</t>
        </is>
      </c>
      <c r="N99" t="inlineStr">
        <is>
          <t>Embryo</t>
        </is>
      </c>
      <c r="O99"/>
      <c r="P99" t="n">
        <v>4.0</v>
      </c>
      <c r="Q99"/>
      <c r="R99"/>
      <c r="S99"/>
      <c r="T99"/>
      <c r="U99" t="inlineStr">
        <is>
          <t>Hours post fertilization</t>
        </is>
      </c>
      <c r="V99" t="inlineStr">
        <is>
          <t>Renewal</t>
        </is>
      </c>
      <c r="W99" t="inlineStr">
        <is>
          <t>Culture</t>
        </is>
      </c>
      <c r="X99" t="inlineStr">
        <is>
          <t>Lab</t>
        </is>
      </c>
      <c r="Y99" t="n">
        <v>3.0</v>
      </c>
      <c r="Z99" t="inlineStr">
        <is>
          <t>Active ingredient</t>
        </is>
      </c>
      <c r="AA99"/>
      <c r="AB99"/>
      <c r="AC99"/>
      <c r="AD99" t="n">
        <v>0.00993</v>
      </c>
      <c r="AE99"/>
      <c r="AF99" t="n">
        <v>0.10429</v>
      </c>
      <c r="AG99" t="inlineStr">
        <is>
          <t>AI mg/L</t>
        </is>
      </c>
      <c r="AH99"/>
      <c r="AI99"/>
      <c r="AJ99"/>
      <c r="AK99"/>
      <c r="AL99"/>
      <c r="AM99"/>
      <c r="AN99"/>
      <c r="AO99"/>
      <c r="AP99"/>
      <c r="AQ99"/>
      <c r="AR99"/>
      <c r="AS99"/>
      <c r="AT99"/>
      <c r="AU99"/>
      <c r="AV99"/>
      <c r="AW99"/>
      <c r="AX99" t="inlineStr">
        <is>
          <t>Accumulation</t>
        </is>
      </c>
      <c r="AY99" t="inlineStr">
        <is>
          <t>Residue</t>
        </is>
      </c>
      <c r="AZ99"/>
      <c r="BA99" t="inlineStr">
        <is>
          <t>Whole organism</t>
        </is>
      </c>
      <c r="BB99"/>
      <c r="BC99" t="n">
        <v>4.8333</v>
      </c>
      <c r="BD99"/>
      <c r="BE99"/>
      <c r="BF99"/>
      <c r="BG99"/>
      <c r="BH99" t="inlineStr">
        <is>
          <t>Day(s)</t>
        </is>
      </c>
      <c r="BI99"/>
      <c r="BJ99"/>
      <c r="BK99"/>
      <c r="BL99"/>
      <c r="BM99"/>
      <c r="BN99"/>
      <c r="BO99" t="inlineStr">
        <is>
          <t>--</t>
        </is>
      </c>
      <c r="BP99"/>
      <c r="BQ99"/>
      <c r="BR99"/>
      <c r="BS99"/>
      <c r="BT99"/>
      <c r="BU99"/>
      <c r="BV99"/>
      <c r="BW99"/>
      <c r="BX99"/>
      <c r="BY99"/>
      <c r="BZ99"/>
      <c r="CA99"/>
      <c r="CB99"/>
      <c r="CC99"/>
      <c r="CD99" t="inlineStr">
        <is>
          <t>Chen,H., Y. Zou, X. Kang, G. Yang, X. Yang, Y. Yao, J.T. Magnuson, X. Cao, W. Qiu, E.G. Xu, and C. Zheng</t>
        </is>
      </c>
      <c r="CE99" t="n">
        <v>193643.0</v>
      </c>
      <c r="CF99" t="inlineStr">
        <is>
          <t>Perfluorooctane Sulfonamide Induced Autotoxic Effects on the Zebrafish Immune System</t>
        </is>
      </c>
      <c r="CG99" t="inlineStr">
        <is>
          <t>Environ. Sci. Technol.58(30): 13205-13216</t>
        </is>
      </c>
      <c r="CH99" t="n">
        <v>2024.0</v>
      </c>
      <c r="CI99" t="inlineStr">
        <is>
          <t>Chen,H., Y. Zou, X. Kang, G. Yang, X. Yang, Y. Yao, J.T. Magnuson, X. Cao, W. Qiu, E.G. Xu, and C. Zheng (2024). Perfluorooctane Sulfonamide Induced Autotoxic Effects on the Zebrafish Immune System. Environ. Sci. Technol., 58, (30), 13205-13216. ECOREF#:193643</t>
        </is>
      </c>
    </row>
    <row r="100">
      <c r="A100" t="n">
        <v>1763231.0</v>
      </c>
      <c r="B100" t="inlineStr">
        <is>
          <t>1,1,2,2,3,3,4,4,5,5,6,6,7,7,8,8,8-Heptadecafluoro-1-octanesulfonic acid</t>
        </is>
      </c>
      <c r="C100"/>
      <c r="D100" t="inlineStr">
        <is>
          <t>Unmeasured</t>
        </is>
      </c>
      <c r="E100" t="inlineStr">
        <is>
          <t>&gt;</t>
        </is>
      </c>
      <c r="F100" t="n">
        <v>96.0</v>
      </c>
      <c r="G100"/>
      <c r="H100"/>
      <c r="I100"/>
      <c r="J100"/>
      <c r="K100" t="inlineStr">
        <is>
          <t>Danio rerio</t>
        </is>
      </c>
      <c r="L100" t="inlineStr">
        <is>
          <t>Zebra Danio</t>
        </is>
      </c>
      <c r="M100" t="inlineStr">
        <is>
          <t>Fish; Standard Test Species</t>
        </is>
      </c>
      <c r="N100" t="inlineStr">
        <is>
          <t>Embryo</t>
        </is>
      </c>
      <c r="O100"/>
      <c r="P100" t="n">
        <v>8.0</v>
      </c>
      <c r="Q100"/>
      <c r="R100"/>
      <c r="S100"/>
      <c r="T100"/>
      <c r="U100" t="inlineStr">
        <is>
          <t>Days post fertilization</t>
        </is>
      </c>
      <c r="V100" t="inlineStr">
        <is>
          <t>Renewal</t>
        </is>
      </c>
      <c r="W100" t="inlineStr">
        <is>
          <t>Fresh water</t>
        </is>
      </c>
      <c r="X100" t="inlineStr">
        <is>
          <t>Lab</t>
        </is>
      </c>
      <c r="Y100" t="n">
        <v>4.0</v>
      </c>
      <c r="Z100" t="inlineStr">
        <is>
          <t>Active ingredient</t>
        </is>
      </c>
      <c r="AA100"/>
      <c r="AB100"/>
      <c r="AC100"/>
      <c r="AD100" t="n">
        <v>0.005</v>
      </c>
      <c r="AE100"/>
      <c r="AF100" t="n">
        <v>0.25</v>
      </c>
      <c r="AG100" t="inlineStr">
        <is>
          <t>AI mg/L</t>
        </is>
      </c>
      <c r="AH100"/>
      <c r="AI100"/>
      <c r="AJ100"/>
      <c r="AK100"/>
      <c r="AL100"/>
      <c r="AM100"/>
      <c r="AN100"/>
      <c r="AO100"/>
      <c r="AP100"/>
      <c r="AQ100"/>
      <c r="AR100"/>
      <c r="AS100"/>
      <c r="AT100"/>
      <c r="AU100"/>
      <c r="AV100"/>
      <c r="AW100"/>
      <c r="AX100" t="inlineStr">
        <is>
          <t>Accumulation</t>
        </is>
      </c>
      <c r="AY100" t="inlineStr">
        <is>
          <t>Uptake</t>
        </is>
      </c>
      <c r="AZ100"/>
      <c r="BA100" t="inlineStr">
        <is>
          <t>Whole organism</t>
        </is>
      </c>
      <c r="BB100"/>
      <c r="BC100" t="n">
        <v>152.2</v>
      </c>
      <c r="BD100"/>
      <c r="BE100"/>
      <c r="BF100"/>
      <c r="BG100"/>
      <c r="BH100" t="inlineStr">
        <is>
          <t>Day(s)</t>
        </is>
      </c>
      <c r="BI100"/>
      <c r="BJ100"/>
      <c r="BK100"/>
      <c r="BL100"/>
      <c r="BM100"/>
      <c r="BN100"/>
      <c r="BO100" t="inlineStr">
        <is>
          <t>--</t>
        </is>
      </c>
      <c r="BP100"/>
      <c r="BQ100"/>
      <c r="BR100"/>
      <c r="BS100"/>
      <c r="BT100"/>
      <c r="BU100"/>
      <c r="BV100"/>
      <c r="BW100"/>
      <c r="BX100"/>
      <c r="BY100"/>
      <c r="BZ100"/>
      <c r="CA100"/>
      <c r="CB100"/>
      <c r="CC100"/>
      <c r="CD100" t="inlineStr">
        <is>
          <t>Wang,M., J. Chen, K. Lin, Y. Chen, W. Hu, R.L. Tanguay, C. Huang, and Q. Dong</t>
        </is>
      </c>
      <c r="CE100" t="n">
        <v>164068.0</v>
      </c>
      <c r="CF100" t="inlineStr">
        <is>
          <t>Chronic Zebrafish PFOS Exposure Alters Sex Ratio and Maternal Related Effects in F1 Offspring</t>
        </is>
      </c>
      <c r="CG100" t="inlineStr">
        <is>
          <t>Environ. Toxicol. Chem.30(9): 2073-2080</t>
        </is>
      </c>
      <c r="CH100" t="n">
        <v>2011.0</v>
      </c>
      <c r="CI100" t="inlineStr">
        <is>
          <t>Wang,M., J. Chen, K. Lin, Y. Chen, W. Hu, R.L. Tanguay, C. Huang, and Q. Dong (2011). Chronic Zebrafish PFOS Exposure Alters Sex Ratio and Maternal Related Effects in F1 Offspring. Environ. Toxicol. Chem., 30, (9), 2073-2080. doi:10.1002/etc.594. ECOREF#:164068</t>
        </is>
      </c>
    </row>
    <row r="101">
      <c r="A101" t="n">
        <v>1763231.0</v>
      </c>
      <c r="B101" t="inlineStr">
        <is>
          <t>1,1,2,2,3,3,4,4,5,5,6,6,7,7,8,8,8-Heptadecafluoro-1-octanesulfonic acid</t>
        </is>
      </c>
      <c r="C101"/>
      <c r="D101" t="inlineStr">
        <is>
          <t>Unmeasured</t>
        </is>
      </c>
      <c r="E101" t="inlineStr">
        <is>
          <t>&gt;</t>
        </is>
      </c>
      <c r="F101" t="n">
        <v>96.0</v>
      </c>
      <c r="G101"/>
      <c r="H101"/>
      <c r="I101"/>
      <c r="J101"/>
      <c r="K101" t="inlineStr">
        <is>
          <t>Danio rerio</t>
        </is>
      </c>
      <c r="L101" t="inlineStr">
        <is>
          <t>Zebra Danio</t>
        </is>
      </c>
      <c r="M101" t="inlineStr">
        <is>
          <t>Fish; Standard Test Species</t>
        </is>
      </c>
      <c r="N101" t="inlineStr">
        <is>
          <t>Embryo</t>
        </is>
      </c>
      <c r="O101"/>
      <c r="P101" t="n">
        <v>8.0</v>
      </c>
      <c r="Q101"/>
      <c r="R101"/>
      <c r="S101"/>
      <c r="T101"/>
      <c r="U101" t="inlineStr">
        <is>
          <t>Hours post fertilization</t>
        </is>
      </c>
      <c r="V101" t="inlineStr">
        <is>
          <t>Aquatic, unspecified</t>
        </is>
      </c>
      <c r="W101" t="inlineStr">
        <is>
          <t>Fresh water</t>
        </is>
      </c>
      <c r="X101" t="inlineStr">
        <is>
          <t>Lab</t>
        </is>
      </c>
      <c r="Y101" t="n">
        <v>2.0</v>
      </c>
      <c r="Z101" t="inlineStr">
        <is>
          <t>Active ingredient</t>
        </is>
      </c>
      <c r="AA101"/>
      <c r="AB101" t="n">
        <v>0.25</v>
      </c>
      <c r="AC101"/>
      <c r="AD101"/>
      <c r="AE101"/>
      <c r="AF101"/>
      <c r="AG101" t="inlineStr">
        <is>
          <t>AI mg/L</t>
        </is>
      </c>
      <c r="AH101"/>
      <c r="AI101"/>
      <c r="AJ101"/>
      <c r="AK101"/>
      <c r="AL101"/>
      <c r="AM101"/>
      <c r="AN101"/>
      <c r="AO101"/>
      <c r="AP101"/>
      <c r="AQ101"/>
      <c r="AR101"/>
      <c r="AS101"/>
      <c r="AT101"/>
      <c r="AU101"/>
      <c r="AV101"/>
      <c r="AW101"/>
      <c r="AX101" t="inlineStr">
        <is>
          <t>Accumulation</t>
        </is>
      </c>
      <c r="AY101" t="inlineStr">
        <is>
          <t>Residue</t>
        </is>
      </c>
      <c r="AZ101"/>
      <c r="BA101" t="inlineStr">
        <is>
          <t>Whole organism</t>
        </is>
      </c>
      <c r="BB101"/>
      <c r="BC101" t="n">
        <v>150.0</v>
      </c>
      <c r="BD101"/>
      <c r="BE101"/>
      <c r="BF101"/>
      <c r="BG101"/>
      <c r="BH101" t="inlineStr">
        <is>
          <t>Day(s) post-fertilization</t>
        </is>
      </c>
      <c r="BI101"/>
      <c r="BJ101"/>
      <c r="BK101"/>
      <c r="BL101"/>
      <c r="BM101"/>
      <c r="BN101"/>
      <c r="BO101" t="inlineStr">
        <is>
          <t>--</t>
        </is>
      </c>
      <c r="BP101"/>
      <c r="BQ101"/>
      <c r="BR101"/>
      <c r="BS101"/>
      <c r="BT101"/>
      <c r="BU101"/>
      <c r="BV101"/>
      <c r="BW101"/>
      <c r="BX101"/>
      <c r="BY101"/>
      <c r="BZ101"/>
      <c r="CA101"/>
      <c r="CB101"/>
      <c r="CC101"/>
      <c r="CD101" t="inlineStr">
        <is>
          <t>Chen,J., L. Zheng, L. Tian, N. Wang, L. Lei, Y. Wang, Q. Dong, C. Huang, and D. Yang</t>
        </is>
      </c>
      <c r="CE101" t="n">
        <v>178023.0</v>
      </c>
      <c r="CF101" t="inlineStr">
        <is>
          <t>Chronic PFOS Exposure Disrupts Thyroid Structure and Function in Zebrafish</t>
        </is>
      </c>
      <c r="CG101" t="inlineStr">
        <is>
          <t>Bull. Environ. Contam. Toxicol.101(1): 75-79</t>
        </is>
      </c>
      <c r="CH101" t="n">
        <v>2018.0</v>
      </c>
      <c r="CI101" t="inlineStr">
        <is>
          <t>Chen,J., L. Zheng, L. Tian, N. Wang, L. Lei, Y. Wang, Q. Dong, C. Huang, and D. Yang (2018). Chronic PFOS Exposure Disrupts Thyroid Structure and Function in Zebrafish. Bull. Environ. Contam. Toxicol., 101, (1), 75-79. doi:10.1007/s00128-018-2359-8. ECOREF#:178023</t>
        </is>
      </c>
    </row>
    <row r="102">
      <c r="A102" t="n">
        <v>1763231.0</v>
      </c>
      <c r="B102" t="inlineStr">
        <is>
          <t>1,1,2,2,3,3,4,4,5,5,6,6,7,7,8,8,8-Heptadecafluoro-1-octanesulfonic acid</t>
        </is>
      </c>
      <c r="C102"/>
      <c r="D102" t="inlineStr">
        <is>
          <t>Unmeasured</t>
        </is>
      </c>
      <c r="E102" t="inlineStr">
        <is>
          <t>&gt;</t>
        </is>
      </c>
      <c r="F102" t="n">
        <v>95.0</v>
      </c>
      <c r="G102"/>
      <c r="H102"/>
      <c r="I102"/>
      <c r="J102"/>
      <c r="K102" t="inlineStr">
        <is>
          <t>Danio rerio</t>
        </is>
      </c>
      <c r="L102" t="inlineStr">
        <is>
          <t>Zebra Danio</t>
        </is>
      </c>
      <c r="M102" t="inlineStr">
        <is>
          <t>Fish; Standard Test Species</t>
        </is>
      </c>
      <c r="N102" t="inlineStr">
        <is>
          <t>Embryo</t>
        </is>
      </c>
      <c r="O102"/>
      <c r="P102" t="n">
        <v>2.0</v>
      </c>
      <c r="Q102"/>
      <c r="R102"/>
      <c r="S102"/>
      <c r="T102"/>
      <c r="U102" t="inlineStr">
        <is>
          <t>Hours post fertilization</t>
        </is>
      </c>
      <c r="V102" t="inlineStr">
        <is>
          <t>Renewal</t>
        </is>
      </c>
      <c r="W102" t="inlineStr">
        <is>
          <t>Fresh water</t>
        </is>
      </c>
      <c r="X102" t="inlineStr">
        <is>
          <t>Lab</t>
        </is>
      </c>
      <c r="Y102" t="n">
        <v>3.0</v>
      </c>
      <c r="Z102" t="inlineStr">
        <is>
          <t>Active ingredient</t>
        </is>
      </c>
      <c r="AA102"/>
      <c r="AB102"/>
      <c r="AC102"/>
      <c r="AD102" t="n">
        <v>0.0500127</v>
      </c>
      <c r="AE102"/>
      <c r="AF102" t="n">
        <v>0.2500635</v>
      </c>
      <c r="AG102" t="inlineStr">
        <is>
          <t>AI mg/L</t>
        </is>
      </c>
      <c r="AH102"/>
      <c r="AI102"/>
      <c r="AJ102"/>
      <c r="AK102"/>
      <c r="AL102"/>
      <c r="AM102"/>
      <c r="AN102"/>
      <c r="AO102"/>
      <c r="AP102"/>
      <c r="AQ102"/>
      <c r="AR102"/>
      <c r="AS102"/>
      <c r="AT102"/>
      <c r="AU102"/>
      <c r="AV102"/>
      <c r="AW102"/>
      <c r="AX102" t="inlineStr">
        <is>
          <t>Accumulation</t>
        </is>
      </c>
      <c r="AY102" t="inlineStr">
        <is>
          <t>Residue</t>
        </is>
      </c>
      <c r="AZ102"/>
      <c r="BA102" t="inlineStr">
        <is>
          <t>Whole organism</t>
        </is>
      </c>
      <c r="BB102"/>
      <c r="BC102" t="n">
        <v>7.0</v>
      </c>
      <c r="BD102"/>
      <c r="BE102"/>
      <c r="BF102"/>
      <c r="BG102"/>
      <c r="BH102" t="inlineStr">
        <is>
          <t>Day(s)</t>
        </is>
      </c>
      <c r="BI102"/>
      <c r="BJ102"/>
      <c r="BK102"/>
      <c r="BL102"/>
      <c r="BM102"/>
      <c r="BN102"/>
      <c r="BO102" t="inlineStr">
        <is>
          <t>--</t>
        </is>
      </c>
      <c r="BP102"/>
      <c r="BQ102"/>
      <c r="BR102"/>
      <c r="BS102"/>
      <c r="BT102"/>
      <c r="BU102"/>
      <c r="BV102"/>
      <c r="BW102"/>
      <c r="BX102"/>
      <c r="BY102"/>
      <c r="BZ102"/>
      <c r="CA102"/>
      <c r="CB102"/>
      <c r="CC102"/>
      <c r="CD102" t="inlineStr">
        <is>
          <t>Xin,Y., B. Wan, B. Yu, Y. Fan, Chen, and L.H. Guo</t>
        </is>
      </c>
      <c r="CE102" t="n">
        <v>182584.0</v>
      </c>
      <c r="CF102" t="inlineStr">
        <is>
          <t>Chlorinated Polyfluoroalkylether Sulfonic Acids Exhibit Stronger Estrogenic Effects than Perfluorooctane Sulfonate by Activating Nuclear Estrogen Receptor Pathways</t>
        </is>
      </c>
      <c r="CG102" t="inlineStr">
        <is>
          <t>Environ. Sci. Technol.54(6): 3455-3464</t>
        </is>
      </c>
      <c r="CH102" t="n">
        <v>2020.0</v>
      </c>
      <c r="CI102" t="inlineStr">
        <is>
          <t>Xin,Y., B. Wan, B. Yu, Y. Fan, Chen, and L.H. Guo (2020). Chlorinated Polyfluoroalkylether Sulfonic Acids Exhibit Stronger Estrogenic Effects than Perfluorooctane Sulfonate by Activating Nuclear Estrogen Receptor Pathways. Environ. Sci. Technol., 54, (6), 3455-3464. doi:10.1021/acs.est.9b07708. ECOREF#:182584</t>
        </is>
      </c>
    </row>
    <row r="103">
      <c r="A103" t="n">
        <v>1763231.0</v>
      </c>
      <c r="B103" t="inlineStr">
        <is>
          <t>1,1,2,2,3,3,4,4,5,5,6,6,7,7,8,8,8-Heptadecafluoro-1-octanesulfonic acid</t>
        </is>
      </c>
      <c r="C103"/>
      <c r="D103" t="inlineStr">
        <is>
          <t>Unmeasured</t>
        </is>
      </c>
      <c r="E103"/>
      <c r="F103"/>
      <c r="G103"/>
      <c r="H103"/>
      <c r="I103"/>
      <c r="J103"/>
      <c r="K103" t="inlineStr">
        <is>
          <t>Cyprinus carpio</t>
        </is>
      </c>
      <c r="L103" t="inlineStr">
        <is>
          <t>Common Carp</t>
        </is>
      </c>
      <c r="M103" t="inlineStr">
        <is>
          <t>Fish; Standard Test Species</t>
        </is>
      </c>
      <c r="N103" t="inlineStr">
        <is>
          <t>Juvenile</t>
        </is>
      </c>
      <c r="O103"/>
      <c r="P103" t="n">
        <v>6.0</v>
      </c>
      <c r="Q103"/>
      <c r="R103"/>
      <c r="S103"/>
      <c r="T103"/>
      <c r="U103" t="inlineStr">
        <is>
          <t>Month(s)</t>
        </is>
      </c>
      <c r="V103" t="inlineStr">
        <is>
          <t>Intraperitoneal</t>
        </is>
      </c>
      <c r="W103" t="inlineStr">
        <is>
          <t>Fresh water</t>
        </is>
      </c>
      <c r="X103" t="inlineStr">
        <is>
          <t>Lab</t>
        </is>
      </c>
      <c r="Y103" t="n">
        <v>4.0</v>
      </c>
      <c r="Z103" t="inlineStr">
        <is>
          <t>Formulation</t>
        </is>
      </c>
      <c r="AA103"/>
      <c r="AB103"/>
      <c r="AC103"/>
      <c r="AD103" t="n">
        <v>2.0</v>
      </c>
      <c r="AE103"/>
      <c r="AF103" t="n">
        <v>75.0</v>
      </c>
      <c r="AG103" t="inlineStr">
        <is>
          <t>AI mg/kg bdwt</t>
        </is>
      </c>
      <c r="AH103"/>
      <c r="AI103"/>
      <c r="AJ103"/>
      <c r="AK103"/>
      <c r="AL103"/>
      <c r="AM103"/>
      <c r="AN103"/>
      <c r="AO103"/>
      <c r="AP103"/>
      <c r="AQ103"/>
      <c r="AR103"/>
      <c r="AS103"/>
      <c r="AT103"/>
      <c r="AU103"/>
      <c r="AV103"/>
      <c r="AW103"/>
      <c r="AX103" t="inlineStr">
        <is>
          <t>Accumulation</t>
        </is>
      </c>
      <c r="AY103" t="inlineStr">
        <is>
          <t>Residue</t>
        </is>
      </c>
      <c r="AZ103"/>
      <c r="BA103" t="inlineStr">
        <is>
          <t>Multiple entries</t>
        </is>
      </c>
      <c r="BB103"/>
      <c r="BC103"/>
      <c r="BD103"/>
      <c r="BE103" t="n">
        <v>1.0</v>
      </c>
      <c r="BF103"/>
      <c r="BG103" t="n">
        <v>5.0</v>
      </c>
      <c r="BH103" t="inlineStr">
        <is>
          <t>Day(s)</t>
        </is>
      </c>
      <c r="BI103"/>
      <c r="BJ103"/>
      <c r="BK103"/>
      <c r="BL103"/>
      <c r="BM103"/>
      <c r="BN103"/>
      <c r="BO103" t="inlineStr">
        <is>
          <t>--</t>
        </is>
      </c>
      <c r="BP103"/>
      <c r="BQ103"/>
      <c r="BR103"/>
      <c r="BS103"/>
      <c r="BT103"/>
      <c r="BU103"/>
      <c r="BV103"/>
      <c r="BW103"/>
      <c r="BX103"/>
      <c r="BY103"/>
      <c r="BZ103"/>
      <c r="CA103"/>
      <c r="CB103"/>
      <c r="CC103"/>
      <c r="CD103" t="inlineStr">
        <is>
          <t>Hoff,P.T., W. Van Dongen, E.L. Esmans, R. Blust, and W.M. De Coen</t>
        </is>
      </c>
      <c r="CE103" t="n">
        <v>71222.0</v>
      </c>
      <c r="CF103" t="inlineStr">
        <is>
          <t>Evaluation of the Toxicological Effects of Perfluorooctane Sulfonic Acid in the Common Carp (Cyprinus carpio)</t>
        </is>
      </c>
      <c r="CG103" t="inlineStr">
        <is>
          <t>Aquat. Toxicol.62(4): 349-359</t>
        </is>
      </c>
      <c r="CH103" t="n">
        <v>2003.0</v>
      </c>
      <c r="CI103" t="inlineStr">
        <is>
          <t>Hoff,P.T., W. Van Dongen, E.L. Esmans, R. Blust, and W.M. De Coen (2003). Evaluation of the Toxicological Effects of Perfluorooctane Sulfonic Acid in the Common Carp (Cyprinus carpio). Aquat. Toxicol., 62, (4), 349-359. doi:10.1016/S0166-445X(02)00145-5. ECOREF#:71222</t>
        </is>
      </c>
    </row>
    <row r="104">
      <c r="A104" t="n">
        <v>1763231.0</v>
      </c>
      <c r="B104" t="inlineStr">
        <is>
          <t>1,1,2,2,3,3,4,4,5,5,6,6,7,7,8,8,8-Heptadecafluoro-1-octanesulfonic acid</t>
        </is>
      </c>
      <c r="C104"/>
      <c r="D104" t="inlineStr">
        <is>
          <t>Measured</t>
        </is>
      </c>
      <c r="E104" t="inlineStr">
        <is>
          <t>&gt;</t>
        </is>
      </c>
      <c r="F104" t="n">
        <v>96.0</v>
      </c>
      <c r="G104"/>
      <c r="H104"/>
      <c r="I104"/>
      <c r="J104"/>
      <c r="K104" t="inlineStr">
        <is>
          <t>Danio rerio</t>
        </is>
      </c>
      <c r="L104" t="inlineStr">
        <is>
          <t>Zebra Danio</t>
        </is>
      </c>
      <c r="M104" t="inlineStr">
        <is>
          <t>Fish; Standard Test Species</t>
        </is>
      </c>
      <c r="N104" t="inlineStr">
        <is>
          <t>Embryo</t>
        </is>
      </c>
      <c r="O104"/>
      <c r="P104" t="n">
        <v>6.0</v>
      </c>
      <c r="Q104"/>
      <c r="R104"/>
      <c r="S104"/>
      <c r="T104"/>
      <c r="U104" t="inlineStr">
        <is>
          <t>Hours post fertilization</t>
        </is>
      </c>
      <c r="V104" t="inlineStr">
        <is>
          <t>Static</t>
        </is>
      </c>
      <c r="W104" t="inlineStr">
        <is>
          <t>Fresh water</t>
        </is>
      </c>
      <c r="X104" t="inlineStr">
        <is>
          <t>Lab</t>
        </is>
      </c>
      <c r="Y104" t="n">
        <v>4.0</v>
      </c>
      <c r="Z104" t="inlineStr">
        <is>
          <t>Active ingredient</t>
        </is>
      </c>
      <c r="AA104"/>
      <c r="AB104"/>
      <c r="AC104"/>
      <c r="AD104" t="n">
        <v>0.5051</v>
      </c>
      <c r="AE104"/>
      <c r="AF104" t="n">
        <v>4.2228</v>
      </c>
      <c r="AG104" t="inlineStr">
        <is>
          <t>AI mg/L</t>
        </is>
      </c>
      <c r="AH104"/>
      <c r="AI104"/>
      <c r="AJ104"/>
      <c r="AK104"/>
      <c r="AL104"/>
      <c r="AM104"/>
      <c r="AN104"/>
      <c r="AO104"/>
      <c r="AP104"/>
      <c r="AQ104"/>
      <c r="AR104"/>
      <c r="AS104"/>
      <c r="AT104"/>
      <c r="AU104"/>
      <c r="AV104"/>
      <c r="AW104"/>
      <c r="AX104" t="inlineStr">
        <is>
          <t>Accumulation</t>
        </is>
      </c>
      <c r="AY104" t="inlineStr">
        <is>
          <t>Residue</t>
        </is>
      </c>
      <c r="AZ104"/>
      <c r="BA104" t="inlineStr">
        <is>
          <t>Whole organism</t>
        </is>
      </c>
      <c r="BB104"/>
      <c r="BC104" t="n">
        <v>4.75</v>
      </c>
      <c r="BD104"/>
      <c r="BE104"/>
      <c r="BF104"/>
      <c r="BG104"/>
      <c r="BH104" t="inlineStr">
        <is>
          <t>Day(s)</t>
        </is>
      </c>
      <c r="BI104"/>
      <c r="BJ104"/>
      <c r="BK104"/>
      <c r="BL104"/>
      <c r="BM104"/>
      <c r="BN104"/>
      <c r="BO104" t="inlineStr">
        <is>
          <t>--</t>
        </is>
      </c>
      <c r="BP104"/>
      <c r="BQ104"/>
      <c r="BR104"/>
      <c r="BS104"/>
      <c r="BT104"/>
      <c r="BU104"/>
      <c r="BV104"/>
      <c r="BW104"/>
      <c r="BX104"/>
      <c r="BY104"/>
      <c r="BZ104"/>
      <c r="CA104"/>
      <c r="CB104"/>
      <c r="CC104"/>
      <c r="CD104" t="inlineStr">
        <is>
          <t>Huang,H., C. Huang, L. Wang, X. Ye, C. Bai, M.T. Simonich, R.L. Tanguay, and Q. Dong</t>
        </is>
      </c>
      <c r="CE104" t="n">
        <v>151614.0</v>
      </c>
      <c r="CF104" t="inlineStr">
        <is>
          <t>Toxicity, Uptake Kinetics and Behavior Assessment in Zebrafish Embryos Following Exposure to Perfluorooctanesulphonicacid (PFOS)</t>
        </is>
      </c>
      <c r="CG104" t="inlineStr">
        <is>
          <t>Aquat. Toxicol.98(2): 139-147</t>
        </is>
      </c>
      <c r="CH104" t="n">
        <v>2010.0</v>
      </c>
      <c r="CI104" t="inlineStr">
        <is>
          <t>Huang,H., C. Huang, L. Wang, X. Ye, C. Bai, M.T. Simonich, R.L. Tanguay, and Q. Dong (2010). Toxicity, Uptake Kinetics and Behavior Assessment in Zebrafish Embryos Following Exposure to Perfluorooctanesulphonicacid (PFOS). Aquat. Toxicol., 98, (2), 139-147. doi:10.1016/j.aquatox.2010.02.003. ECOREF#:151614</t>
        </is>
      </c>
    </row>
    <row r="105">
      <c r="A105" t="n">
        <v>1763231.0</v>
      </c>
      <c r="B105" t="inlineStr">
        <is>
          <t>1,1,2,2,3,3,4,4,5,5,6,6,7,7,8,8,8-Heptadecafluoro-1-octanesulfonic acid</t>
        </is>
      </c>
      <c r="C105" t="inlineStr">
        <is>
          <t>Analytical grade</t>
        </is>
      </c>
      <c r="D105" t="inlineStr">
        <is>
          <t>Measured</t>
        </is>
      </c>
      <c r="E105" t="inlineStr">
        <is>
          <t>&gt;=</t>
        </is>
      </c>
      <c r="F105" t="n">
        <v>98.0</v>
      </c>
      <c r="G105"/>
      <c r="H105"/>
      <c r="I105"/>
      <c r="J105"/>
      <c r="K105" t="inlineStr">
        <is>
          <t>Danio rerio</t>
        </is>
      </c>
      <c r="L105" t="inlineStr">
        <is>
          <t>Zebra Danio</t>
        </is>
      </c>
      <c r="M105" t="inlineStr">
        <is>
          <t>Fish; Standard Test Species</t>
        </is>
      </c>
      <c r="N105"/>
      <c r="O105"/>
      <c r="P105" t="n">
        <v>6.0</v>
      </c>
      <c r="Q105"/>
      <c r="R105"/>
      <c r="S105"/>
      <c r="T105"/>
      <c r="U105" t="inlineStr">
        <is>
          <t>Month(s)</t>
        </is>
      </c>
      <c r="V105" t="inlineStr">
        <is>
          <t>Renewal</t>
        </is>
      </c>
      <c r="W105" t="inlineStr">
        <is>
          <t>Fresh water</t>
        </is>
      </c>
      <c r="X105" t="inlineStr">
        <is>
          <t>Lab</t>
        </is>
      </c>
      <c r="Y105" t="n">
        <v>3.0</v>
      </c>
      <c r="Z105" t="inlineStr">
        <is>
          <t>Active ingredient</t>
        </is>
      </c>
      <c r="AA105"/>
      <c r="AB105"/>
      <c r="AC105"/>
      <c r="AD105" t="n">
        <v>0.066</v>
      </c>
      <c r="AE105"/>
      <c r="AF105" t="n">
        <v>0.97</v>
      </c>
      <c r="AG105" t="inlineStr">
        <is>
          <t>AI mg/L</t>
        </is>
      </c>
      <c r="AH105"/>
      <c r="AI105"/>
      <c r="AJ105"/>
      <c r="AK105"/>
      <c r="AL105"/>
      <c r="AM105"/>
      <c r="AN105"/>
      <c r="AO105"/>
      <c r="AP105"/>
      <c r="AQ105"/>
      <c r="AR105"/>
      <c r="AS105"/>
      <c r="AT105"/>
      <c r="AU105"/>
      <c r="AV105"/>
      <c r="AW105"/>
      <c r="AX105" t="inlineStr">
        <is>
          <t>Accumulation</t>
        </is>
      </c>
      <c r="AY105" t="inlineStr">
        <is>
          <t>Residue</t>
        </is>
      </c>
      <c r="AZ105"/>
      <c r="BA105" t="inlineStr">
        <is>
          <t>Multiple entries</t>
        </is>
      </c>
      <c r="BB105"/>
      <c r="BC105" t="n">
        <v>7.0</v>
      </c>
      <c r="BD105"/>
      <c r="BE105"/>
      <c r="BF105"/>
      <c r="BG105"/>
      <c r="BH105" t="inlineStr">
        <is>
          <t>Day(s)</t>
        </is>
      </c>
      <c r="BI105"/>
      <c r="BJ105"/>
      <c r="BK105"/>
      <c r="BL105"/>
      <c r="BM105"/>
      <c r="BN105"/>
      <c r="BO105" t="inlineStr">
        <is>
          <t>--</t>
        </is>
      </c>
      <c r="BP105"/>
      <c r="BQ105"/>
      <c r="BR105"/>
      <c r="BS105"/>
      <c r="BT105"/>
      <c r="BU105"/>
      <c r="BV105"/>
      <c r="BW105"/>
      <c r="BX105"/>
      <c r="BY105"/>
      <c r="BZ105"/>
      <c r="CA105"/>
      <c r="CB105"/>
      <c r="CC105"/>
      <c r="CD105" t="inlineStr">
        <is>
          <t>Khazaee,M., M.G.E. Guardian, D.S. Aga, and C.A. Ng</t>
        </is>
      </c>
      <c r="CE105" t="n">
        <v>181967.0</v>
      </c>
      <c r="CF105" t="inlineStr">
        <is>
          <t>Impacts of Sex and Exposure Duration on Gene Expression in Zebrafish Following Perfluorooctane Sulfonate Exposure</t>
        </is>
      </c>
      <c r="CG105" t="inlineStr">
        <is>
          <t>Environ. Toxicol. Chem.39(2): 437-449</t>
        </is>
      </c>
      <c r="CH105" t="n">
        <v>2020.0</v>
      </c>
      <c r="CI105" t="inlineStr">
        <is>
          <t>Khazaee,M., M.G.E. Guardian, D.S. Aga, and C.A. Ng (2020). Impacts of Sex and Exposure Duration on Gene Expression in Zebrafish Following Perfluorooctane Sulfonate Exposure. Environ. Toxicol. Chem., 39, (2), 437-449. doi:10.1002/etc.4628. ECOREF#:181967</t>
        </is>
      </c>
    </row>
    <row r="106">
      <c r="A106" t="n">
        <v>1763231.0</v>
      </c>
      <c r="B106" t="inlineStr">
        <is>
          <t>1,1,2,2,3,3,4,4,5,5,6,6,7,7,8,8,8-Heptadecafluoro-1-octanesulfonic acid</t>
        </is>
      </c>
      <c r="C106" t="inlineStr">
        <is>
          <t>Analytical grade</t>
        </is>
      </c>
      <c r="D106" t="inlineStr">
        <is>
          <t>Measured</t>
        </is>
      </c>
      <c r="E106" t="inlineStr">
        <is>
          <t>&gt;=</t>
        </is>
      </c>
      <c r="F106" t="n">
        <v>98.0</v>
      </c>
      <c r="G106"/>
      <c r="H106"/>
      <c r="I106"/>
      <c r="J106"/>
      <c r="K106" t="inlineStr">
        <is>
          <t>Danio rerio</t>
        </is>
      </c>
      <c r="L106" t="inlineStr">
        <is>
          <t>Zebra Danio</t>
        </is>
      </c>
      <c r="M106" t="inlineStr">
        <is>
          <t>Fish; Standard Test Species</t>
        </is>
      </c>
      <c r="N106"/>
      <c r="O106"/>
      <c r="P106" t="n">
        <v>6.0</v>
      </c>
      <c r="Q106"/>
      <c r="R106"/>
      <c r="S106"/>
      <c r="T106"/>
      <c r="U106" t="inlineStr">
        <is>
          <t>Month(s)</t>
        </is>
      </c>
      <c r="V106" t="inlineStr">
        <is>
          <t>Renewal</t>
        </is>
      </c>
      <c r="W106" t="inlineStr">
        <is>
          <t>Fresh water</t>
        </is>
      </c>
      <c r="X106" t="inlineStr">
        <is>
          <t>Lab</t>
        </is>
      </c>
      <c r="Y106" t="n">
        <v>3.0</v>
      </c>
      <c r="Z106" t="inlineStr">
        <is>
          <t>Active ingredient</t>
        </is>
      </c>
      <c r="AA106"/>
      <c r="AB106"/>
      <c r="AC106"/>
      <c r="AD106" t="n">
        <v>0.754</v>
      </c>
      <c r="AE106"/>
      <c r="AF106" t="n">
        <v>0.97</v>
      </c>
      <c r="AG106" t="inlineStr">
        <is>
          <t>AI mg/L</t>
        </is>
      </c>
      <c r="AH106"/>
      <c r="AI106"/>
      <c r="AJ106"/>
      <c r="AK106"/>
      <c r="AL106"/>
      <c r="AM106"/>
      <c r="AN106"/>
      <c r="AO106"/>
      <c r="AP106"/>
      <c r="AQ106"/>
      <c r="AR106"/>
      <c r="AS106"/>
      <c r="AT106"/>
      <c r="AU106"/>
      <c r="AV106"/>
      <c r="AW106"/>
      <c r="AX106" t="inlineStr">
        <is>
          <t>Accumulation</t>
        </is>
      </c>
      <c r="AY106" t="inlineStr">
        <is>
          <t>Residue</t>
        </is>
      </c>
      <c r="AZ106"/>
      <c r="BA106" t="inlineStr">
        <is>
          <t>Liver</t>
        </is>
      </c>
      <c r="BB106"/>
      <c r="BC106" t="n">
        <v>7.0</v>
      </c>
      <c r="BD106"/>
      <c r="BE106"/>
      <c r="BF106"/>
      <c r="BG106"/>
      <c r="BH106" t="inlineStr">
        <is>
          <t>Day(s)</t>
        </is>
      </c>
      <c r="BI106"/>
      <c r="BJ106"/>
      <c r="BK106"/>
      <c r="BL106"/>
      <c r="BM106"/>
      <c r="BN106"/>
      <c r="BO106" t="inlineStr">
        <is>
          <t>--</t>
        </is>
      </c>
      <c r="BP106"/>
      <c r="BQ106"/>
      <c r="BR106"/>
      <c r="BS106"/>
      <c r="BT106"/>
      <c r="BU106"/>
      <c r="BV106"/>
      <c r="BW106"/>
      <c r="BX106"/>
      <c r="BY106"/>
      <c r="BZ106"/>
      <c r="CA106"/>
      <c r="CB106"/>
      <c r="CC106"/>
      <c r="CD106" t="inlineStr">
        <is>
          <t>Khazaee,M., M.G.E. Guardian, D.S. Aga, and C.A. Ng</t>
        </is>
      </c>
      <c r="CE106" t="n">
        <v>181967.0</v>
      </c>
      <c r="CF106" t="inlineStr">
        <is>
          <t>Impacts of Sex and Exposure Duration on Gene Expression in Zebrafish Following Perfluorooctane Sulfonate Exposure</t>
        </is>
      </c>
      <c r="CG106" t="inlineStr">
        <is>
          <t>Environ. Toxicol. Chem.39(2): 437-449</t>
        </is>
      </c>
      <c r="CH106" t="n">
        <v>2020.0</v>
      </c>
      <c r="CI106" t="inlineStr">
        <is>
          <t>Khazaee,M., M.G.E. Guardian, D.S. Aga, and C.A. Ng (2020). Impacts of Sex and Exposure Duration on Gene Expression in Zebrafish Following Perfluorooctane Sulfonate Exposure. Environ. Toxicol. Chem., 39, (2), 437-449. doi:10.1002/etc.4628. ECOREF#:181967</t>
        </is>
      </c>
    </row>
    <row r="107">
      <c r="A107" t="n">
        <v>1763231.0</v>
      </c>
      <c r="B107" t="inlineStr">
        <is>
          <t>1,1,2,2,3,3,4,4,5,5,6,6,7,7,8,8,8-Heptadecafluoro-1-octanesulfonic acid</t>
        </is>
      </c>
      <c r="C107"/>
      <c r="D107" t="inlineStr">
        <is>
          <t>Unmeasured</t>
        </is>
      </c>
      <c r="E107" t="inlineStr">
        <is>
          <t>&gt;</t>
        </is>
      </c>
      <c r="F107" t="n">
        <v>96.0</v>
      </c>
      <c r="G107"/>
      <c r="H107"/>
      <c r="I107"/>
      <c r="J107"/>
      <c r="K107" t="inlineStr">
        <is>
          <t>Danio rerio</t>
        </is>
      </c>
      <c r="L107" t="inlineStr">
        <is>
          <t>Zebra Danio</t>
        </is>
      </c>
      <c r="M107" t="inlineStr">
        <is>
          <t>Fish; Standard Test Species</t>
        </is>
      </c>
      <c r="N107" t="inlineStr">
        <is>
          <t>Embryo</t>
        </is>
      </c>
      <c r="O107"/>
      <c r="P107" t="n">
        <v>8.0</v>
      </c>
      <c r="Q107"/>
      <c r="R107"/>
      <c r="S107"/>
      <c r="T107"/>
      <c r="U107" t="inlineStr">
        <is>
          <t>Days post fertilization</t>
        </is>
      </c>
      <c r="V107" t="inlineStr">
        <is>
          <t>Renewal</t>
        </is>
      </c>
      <c r="W107" t="inlineStr">
        <is>
          <t>Fresh water</t>
        </is>
      </c>
      <c r="X107" t="inlineStr">
        <is>
          <t>Lab</t>
        </is>
      </c>
      <c r="Y107" t="n">
        <v>4.0</v>
      </c>
      <c r="Z107" t="inlineStr">
        <is>
          <t>Active ingredient</t>
        </is>
      </c>
      <c r="AA107"/>
      <c r="AB107"/>
      <c r="AC107"/>
      <c r="AD107" t="n">
        <v>0.005</v>
      </c>
      <c r="AE107"/>
      <c r="AF107" t="n">
        <v>0.25</v>
      </c>
      <c r="AG107" t="inlineStr">
        <is>
          <t>AI mg/L</t>
        </is>
      </c>
      <c r="AH107"/>
      <c r="AI107"/>
      <c r="AJ107"/>
      <c r="AK107"/>
      <c r="AL107"/>
      <c r="AM107"/>
      <c r="AN107"/>
      <c r="AO107"/>
      <c r="AP107"/>
      <c r="AQ107"/>
      <c r="AR107"/>
      <c r="AS107"/>
      <c r="AT107"/>
      <c r="AU107"/>
      <c r="AV107"/>
      <c r="AW107"/>
      <c r="AX107" t="inlineStr">
        <is>
          <t>Accumulation</t>
        </is>
      </c>
      <c r="AY107" t="inlineStr">
        <is>
          <t>Uptake</t>
        </is>
      </c>
      <c r="AZ107"/>
      <c r="BA107" t="inlineStr">
        <is>
          <t>Whole organism</t>
        </is>
      </c>
      <c r="BB107"/>
      <c r="BC107" t="n">
        <v>152.2</v>
      </c>
      <c r="BD107"/>
      <c r="BE107"/>
      <c r="BF107"/>
      <c r="BG107"/>
      <c r="BH107" t="inlineStr">
        <is>
          <t>Day(s)</t>
        </is>
      </c>
      <c r="BI107"/>
      <c r="BJ107"/>
      <c r="BK107"/>
      <c r="BL107"/>
      <c r="BM107"/>
      <c r="BN107"/>
      <c r="BO107" t="inlineStr">
        <is>
          <t>--</t>
        </is>
      </c>
      <c r="BP107"/>
      <c r="BQ107"/>
      <c r="BR107"/>
      <c r="BS107"/>
      <c r="BT107"/>
      <c r="BU107"/>
      <c r="BV107"/>
      <c r="BW107"/>
      <c r="BX107"/>
      <c r="BY107"/>
      <c r="BZ107"/>
      <c r="CA107"/>
      <c r="CB107"/>
      <c r="CC107"/>
      <c r="CD107" t="inlineStr">
        <is>
          <t>Wang,M., J. Chen, K. Lin, Y. Chen, W. Hu, R.L. Tanguay, C. Huang, and Q. Dong</t>
        </is>
      </c>
      <c r="CE107" t="n">
        <v>164068.0</v>
      </c>
      <c r="CF107" t="inlineStr">
        <is>
          <t>Chronic Zebrafish PFOS Exposure Alters Sex Ratio and Maternal Related Effects in F1 Offspring</t>
        </is>
      </c>
      <c r="CG107" t="inlineStr">
        <is>
          <t>Environ. Toxicol. Chem.30(9): 2073-2080</t>
        </is>
      </c>
      <c r="CH107" t="n">
        <v>2011.0</v>
      </c>
      <c r="CI107" t="inlineStr">
        <is>
          <t>Wang,M., J. Chen, K. Lin, Y. Chen, W. Hu, R.L. Tanguay, C. Huang, and Q. Dong (2011). Chronic Zebrafish PFOS Exposure Alters Sex Ratio and Maternal Related Effects in F1 Offspring. Environ. Toxicol. Chem., 30, (9), 2073-2080. doi:10.1002/etc.594. ECOREF#:164068</t>
        </is>
      </c>
    </row>
    <row r="108">
      <c r="A108" t="n">
        <v>1763231.0</v>
      </c>
      <c r="B108" t="inlineStr">
        <is>
          <t>1,1,2,2,3,3,4,4,5,5,6,6,7,7,8,8,8-Heptadecafluoro-1-octanesulfonic acid</t>
        </is>
      </c>
      <c r="C108"/>
      <c r="D108" t="inlineStr">
        <is>
          <t>Measured</t>
        </is>
      </c>
      <c r="E108" t="inlineStr">
        <is>
          <t>&gt;</t>
        </is>
      </c>
      <c r="F108" t="n">
        <v>98.0</v>
      </c>
      <c r="G108"/>
      <c r="H108"/>
      <c r="I108"/>
      <c r="J108"/>
      <c r="K108" t="inlineStr">
        <is>
          <t>Oncorhynchus mykiss</t>
        </is>
      </c>
      <c r="L108" t="inlineStr">
        <is>
          <t>Rainbow Trout</t>
        </is>
      </c>
      <c r="M108" t="inlineStr">
        <is>
          <t>Fish; Standard Test Species; U.S. Threatened and Endangered Species</t>
        </is>
      </c>
      <c r="N108" t="inlineStr">
        <is>
          <t>Juvenile</t>
        </is>
      </c>
      <c r="O108"/>
      <c r="P108"/>
      <c r="Q108"/>
      <c r="R108"/>
      <c r="S108"/>
      <c r="T108"/>
      <c r="U108"/>
      <c r="V108" t="inlineStr">
        <is>
          <t>Food</t>
        </is>
      </c>
      <c r="W108" t="inlineStr">
        <is>
          <t>Fresh water</t>
        </is>
      </c>
      <c r="X108" t="inlineStr">
        <is>
          <t>Lab</t>
        </is>
      </c>
      <c r="Y108" t="n">
        <v>2.0</v>
      </c>
      <c r="Z108" t="inlineStr">
        <is>
          <t>Active ingredient</t>
        </is>
      </c>
      <c r="AA108"/>
      <c r="AB108" t="n">
        <v>7.25</v>
      </c>
      <c r="AC108"/>
      <c r="AD108"/>
      <c r="AE108"/>
      <c r="AF108"/>
      <c r="AG108" t="inlineStr">
        <is>
          <t>AI mg/kg food</t>
        </is>
      </c>
      <c r="AH108"/>
      <c r="AI108"/>
      <c r="AJ108"/>
      <c r="AK108"/>
      <c r="AL108"/>
      <c r="AM108"/>
      <c r="AN108"/>
      <c r="AO108"/>
      <c r="AP108"/>
      <c r="AQ108"/>
      <c r="AR108"/>
      <c r="AS108"/>
      <c r="AT108"/>
      <c r="AU108"/>
      <c r="AV108"/>
      <c r="AW108"/>
      <c r="AX108" t="inlineStr">
        <is>
          <t>Accumulation</t>
        </is>
      </c>
      <c r="AY108" t="inlineStr">
        <is>
          <t>Residue</t>
        </is>
      </c>
      <c r="AZ108" t="inlineStr">
        <is>
          <t>BAF</t>
        </is>
      </c>
      <c r="BA108" t="inlineStr">
        <is>
          <t>Kidney</t>
        </is>
      </c>
      <c r="BB108" t="inlineStr">
        <is>
          <t>&lt;=</t>
        </is>
      </c>
      <c r="BC108" t="n">
        <v>64.0</v>
      </c>
      <c r="BD108"/>
      <c r="BE108"/>
      <c r="BF108"/>
      <c r="BG108"/>
      <c r="BH108" t="inlineStr">
        <is>
          <t>Day(s)</t>
        </is>
      </c>
      <c r="BI108"/>
      <c r="BJ108" t="n">
        <v>0.345</v>
      </c>
      <c r="BK108"/>
      <c r="BL108"/>
      <c r="BM108"/>
      <c r="BN108"/>
      <c r="BO108" t="inlineStr">
        <is>
          <t>RA</t>
        </is>
      </c>
      <c r="BP108"/>
      <c r="BQ108"/>
      <c r="BR108"/>
      <c r="BS108"/>
      <c r="BT108"/>
      <c r="BU108"/>
      <c r="BV108"/>
      <c r="BW108"/>
      <c r="BX108"/>
      <c r="BY108"/>
      <c r="BZ108"/>
      <c r="CA108"/>
      <c r="CB108"/>
      <c r="CC108"/>
      <c r="CD108" t="inlineStr">
        <is>
          <t>Yi,S., L. Zhu, and S.A. Mabury</t>
        </is>
      </c>
      <c r="CE108" t="n">
        <v>184260.0</v>
      </c>
      <c r="CF108" t="inlineStr">
        <is>
          <t>First Report on In Vivo Pharmacokinetics and Biotransformation of Chlorinated Polyfluoroalkyl Ether Sulfonates in Rainbow Trout</t>
        </is>
      </c>
      <c r="CG108" t="inlineStr">
        <is>
          <t>Environ. Sci. Technol.1:345-354</t>
        </is>
      </c>
      <c r="CH108" t="n">
        <v>2020.0</v>
      </c>
      <c r="CI108" t="inlineStr">
        <is>
          <t>Yi,S., L. Zhu, and S.A. Mabury (2020). First Report on In Vivo Pharmacokinetics and Biotransformation of Chlorinated Polyfluoroalkyl Ether Sulfonates in Rainbow Trout. Environ. Sci. Technol., 1, 345-354. doi:10.1021/acs.est.9b05258. ECOREF#:184260</t>
        </is>
      </c>
    </row>
    <row r="109">
      <c r="A109" t="n">
        <v>1763231.0</v>
      </c>
      <c r="B109" t="inlineStr">
        <is>
          <t>1,1,2,2,3,3,4,4,5,5,6,6,7,7,8,8,8-Heptadecafluoro-1-octanesulfonic acid</t>
        </is>
      </c>
      <c r="C109"/>
      <c r="D109" t="inlineStr">
        <is>
          <t>Measured</t>
        </is>
      </c>
      <c r="E109" t="inlineStr">
        <is>
          <t>&gt;</t>
        </is>
      </c>
      <c r="F109" t="n">
        <v>98.0</v>
      </c>
      <c r="G109"/>
      <c r="H109"/>
      <c r="I109"/>
      <c r="J109"/>
      <c r="K109" t="inlineStr">
        <is>
          <t>Oncorhynchus mykiss</t>
        </is>
      </c>
      <c r="L109" t="inlineStr">
        <is>
          <t>Rainbow Trout</t>
        </is>
      </c>
      <c r="M109" t="inlineStr">
        <is>
          <t>Fish; Standard Test Species; U.S. Threatened and Endangered Species</t>
        </is>
      </c>
      <c r="N109" t="inlineStr">
        <is>
          <t>Juvenile</t>
        </is>
      </c>
      <c r="O109"/>
      <c r="P109"/>
      <c r="Q109"/>
      <c r="R109"/>
      <c r="S109"/>
      <c r="T109"/>
      <c r="U109"/>
      <c r="V109" t="inlineStr">
        <is>
          <t>Food</t>
        </is>
      </c>
      <c r="W109" t="inlineStr">
        <is>
          <t>Fresh water</t>
        </is>
      </c>
      <c r="X109" t="inlineStr">
        <is>
          <t>Lab</t>
        </is>
      </c>
      <c r="Y109" t="n">
        <v>2.0</v>
      </c>
      <c r="Z109" t="inlineStr">
        <is>
          <t>Active ingredient</t>
        </is>
      </c>
      <c r="AA109"/>
      <c r="AB109" t="n">
        <v>7.25</v>
      </c>
      <c r="AC109"/>
      <c r="AD109"/>
      <c r="AE109"/>
      <c r="AF109"/>
      <c r="AG109" t="inlineStr">
        <is>
          <t>AI mg/kg food</t>
        </is>
      </c>
      <c r="AH109"/>
      <c r="AI109"/>
      <c r="AJ109"/>
      <c r="AK109"/>
      <c r="AL109"/>
      <c r="AM109"/>
      <c r="AN109"/>
      <c r="AO109"/>
      <c r="AP109"/>
      <c r="AQ109"/>
      <c r="AR109"/>
      <c r="AS109"/>
      <c r="AT109"/>
      <c r="AU109"/>
      <c r="AV109"/>
      <c r="AW109"/>
      <c r="AX109" t="inlineStr">
        <is>
          <t>Accumulation</t>
        </is>
      </c>
      <c r="AY109" t="inlineStr">
        <is>
          <t>Residue</t>
        </is>
      </c>
      <c r="AZ109" t="inlineStr">
        <is>
          <t>BAF</t>
        </is>
      </c>
      <c r="BA109" t="inlineStr">
        <is>
          <t>Liver</t>
        </is>
      </c>
      <c r="BB109" t="inlineStr">
        <is>
          <t>&lt;=</t>
        </is>
      </c>
      <c r="BC109" t="n">
        <v>64.0</v>
      </c>
      <c r="BD109"/>
      <c r="BE109"/>
      <c r="BF109"/>
      <c r="BG109"/>
      <c r="BH109" t="inlineStr">
        <is>
          <t>Day(s)</t>
        </is>
      </c>
      <c r="BI109"/>
      <c r="BJ109" t="n">
        <v>0.383</v>
      </c>
      <c r="BK109"/>
      <c r="BL109"/>
      <c r="BM109"/>
      <c r="BN109"/>
      <c r="BO109" t="inlineStr">
        <is>
          <t>RA</t>
        </is>
      </c>
      <c r="BP109"/>
      <c r="BQ109"/>
      <c r="BR109"/>
      <c r="BS109"/>
      <c r="BT109"/>
      <c r="BU109"/>
      <c r="BV109"/>
      <c r="BW109"/>
      <c r="BX109"/>
      <c r="BY109"/>
      <c r="BZ109"/>
      <c r="CA109"/>
      <c r="CB109"/>
      <c r="CC109"/>
      <c r="CD109" t="inlineStr">
        <is>
          <t>Yi,S., L. Zhu, and S.A. Mabury</t>
        </is>
      </c>
      <c r="CE109" t="n">
        <v>184260.0</v>
      </c>
      <c r="CF109" t="inlineStr">
        <is>
          <t>First Report on In Vivo Pharmacokinetics and Biotransformation of Chlorinated Polyfluoroalkyl Ether Sulfonates in Rainbow Trout</t>
        </is>
      </c>
      <c r="CG109" t="inlineStr">
        <is>
          <t>Environ. Sci. Technol.1:345-354</t>
        </is>
      </c>
      <c r="CH109" t="n">
        <v>2020.0</v>
      </c>
      <c r="CI109" t="inlineStr">
        <is>
          <t>Yi,S., L. Zhu, and S.A. Mabury (2020). First Report on In Vivo Pharmacokinetics and Biotransformation of Chlorinated Polyfluoroalkyl Ether Sulfonates in Rainbow Trout. Environ. Sci. Technol., 1, 345-354. doi:10.1021/acs.est.9b05258. ECOREF#:184260</t>
        </is>
      </c>
    </row>
    <row r="110">
      <c r="A110" t="n">
        <v>1763231.0</v>
      </c>
      <c r="B110" t="inlineStr">
        <is>
          <t>1,1,2,2,3,3,4,4,5,5,6,6,7,7,8,8,8-Heptadecafluoro-1-octanesulfonic acid</t>
        </is>
      </c>
      <c r="C110"/>
      <c r="D110" t="inlineStr">
        <is>
          <t>Measured</t>
        </is>
      </c>
      <c r="E110" t="inlineStr">
        <is>
          <t>&gt;</t>
        </is>
      </c>
      <c r="F110" t="n">
        <v>98.0</v>
      </c>
      <c r="G110"/>
      <c r="H110"/>
      <c r="I110"/>
      <c r="J110"/>
      <c r="K110" t="inlineStr">
        <is>
          <t>Oncorhynchus mykiss</t>
        </is>
      </c>
      <c r="L110" t="inlineStr">
        <is>
          <t>Rainbow Trout</t>
        </is>
      </c>
      <c r="M110" t="inlineStr">
        <is>
          <t>Fish; Standard Test Species; U.S. Threatened and Endangered Species</t>
        </is>
      </c>
      <c r="N110" t="inlineStr">
        <is>
          <t>Juvenile</t>
        </is>
      </c>
      <c r="O110"/>
      <c r="P110"/>
      <c r="Q110"/>
      <c r="R110"/>
      <c r="S110"/>
      <c r="T110"/>
      <c r="U110"/>
      <c r="V110" t="inlineStr">
        <is>
          <t>Food</t>
        </is>
      </c>
      <c r="W110" t="inlineStr">
        <is>
          <t>Fresh water</t>
        </is>
      </c>
      <c r="X110" t="inlineStr">
        <is>
          <t>Lab</t>
        </is>
      </c>
      <c r="Y110" t="n">
        <v>2.0</v>
      </c>
      <c r="Z110" t="inlineStr">
        <is>
          <t>Active ingredient</t>
        </is>
      </c>
      <c r="AA110"/>
      <c r="AB110" t="n">
        <v>7.25</v>
      </c>
      <c r="AC110"/>
      <c r="AD110"/>
      <c r="AE110"/>
      <c r="AF110"/>
      <c r="AG110" t="inlineStr">
        <is>
          <t>AI mg/kg food</t>
        </is>
      </c>
      <c r="AH110"/>
      <c r="AI110"/>
      <c r="AJ110"/>
      <c r="AK110"/>
      <c r="AL110"/>
      <c r="AM110"/>
      <c r="AN110"/>
      <c r="AO110"/>
      <c r="AP110"/>
      <c r="AQ110"/>
      <c r="AR110"/>
      <c r="AS110"/>
      <c r="AT110"/>
      <c r="AU110"/>
      <c r="AV110"/>
      <c r="AW110"/>
      <c r="AX110" t="inlineStr">
        <is>
          <t>Accumulation</t>
        </is>
      </c>
      <c r="AY110" t="inlineStr">
        <is>
          <t>Residue</t>
        </is>
      </c>
      <c r="AZ110" t="inlineStr">
        <is>
          <t>BAF</t>
        </is>
      </c>
      <c r="BA110" t="inlineStr">
        <is>
          <t>Blood</t>
        </is>
      </c>
      <c r="BB110" t="inlineStr">
        <is>
          <t>&lt;=</t>
        </is>
      </c>
      <c r="BC110" t="n">
        <v>64.0</v>
      </c>
      <c r="BD110"/>
      <c r="BE110"/>
      <c r="BF110"/>
      <c r="BG110"/>
      <c r="BH110" t="inlineStr">
        <is>
          <t>Day(s)</t>
        </is>
      </c>
      <c r="BI110"/>
      <c r="BJ110" t="n">
        <v>0.63</v>
      </c>
      <c r="BK110"/>
      <c r="BL110"/>
      <c r="BM110"/>
      <c r="BN110"/>
      <c r="BO110" t="inlineStr">
        <is>
          <t>RA</t>
        </is>
      </c>
      <c r="BP110"/>
      <c r="BQ110"/>
      <c r="BR110"/>
      <c r="BS110"/>
      <c r="BT110"/>
      <c r="BU110"/>
      <c r="BV110"/>
      <c r="BW110"/>
      <c r="BX110"/>
      <c r="BY110"/>
      <c r="BZ110"/>
      <c r="CA110"/>
      <c r="CB110"/>
      <c r="CC110"/>
      <c r="CD110" t="inlineStr">
        <is>
          <t>Yi,S., L. Zhu, and S.A. Mabury</t>
        </is>
      </c>
      <c r="CE110" t="n">
        <v>184260.0</v>
      </c>
      <c r="CF110" t="inlineStr">
        <is>
          <t>First Report on In Vivo Pharmacokinetics and Biotransformation of Chlorinated Polyfluoroalkyl Ether Sulfonates in Rainbow Trout</t>
        </is>
      </c>
      <c r="CG110" t="inlineStr">
        <is>
          <t>Environ. Sci. Technol.1:345-354</t>
        </is>
      </c>
      <c r="CH110" t="n">
        <v>2020.0</v>
      </c>
      <c r="CI110" t="inlineStr">
        <is>
          <t>Yi,S., L. Zhu, and S.A. Mabury (2020). First Report on In Vivo Pharmacokinetics and Biotransformation of Chlorinated Polyfluoroalkyl Ether Sulfonates in Rainbow Trout. Environ. Sci. Technol., 1, 345-354. doi:10.1021/acs.est.9b05258. ECOREF#:184260</t>
        </is>
      </c>
    </row>
    <row r="111">
      <c r="A111" t="n">
        <v>1763231.0</v>
      </c>
      <c r="B111" t="inlineStr">
        <is>
          <t>1,1,2,2,3,3,4,4,5,5,6,6,7,7,8,8,8-Heptadecafluoro-1-octanesulfonic acid</t>
        </is>
      </c>
      <c r="C111"/>
      <c r="D111" t="inlineStr">
        <is>
          <t>Measured</t>
        </is>
      </c>
      <c r="E111" t="inlineStr">
        <is>
          <t>&gt;</t>
        </is>
      </c>
      <c r="F111" t="n">
        <v>97.0</v>
      </c>
      <c r="G111"/>
      <c r="H111"/>
      <c r="I111"/>
      <c r="J111"/>
      <c r="K111" t="inlineStr">
        <is>
          <t>Oncorhynchus mykiss</t>
        </is>
      </c>
      <c r="L111" t="inlineStr">
        <is>
          <t>Rainbow Trout</t>
        </is>
      </c>
      <c r="M111" t="inlineStr">
        <is>
          <t>Fish; Standard Test Species; U.S. Threatened and Endangered Species</t>
        </is>
      </c>
      <c r="N111" t="inlineStr">
        <is>
          <t>Oocyte, ova</t>
        </is>
      </c>
      <c r="O111"/>
      <c r="P111"/>
      <c r="Q111"/>
      <c r="R111"/>
      <c r="S111"/>
      <c r="T111"/>
      <c r="U111"/>
      <c r="V111" t="inlineStr">
        <is>
          <t>Static</t>
        </is>
      </c>
      <c r="W111" t="inlineStr">
        <is>
          <t>Culture</t>
        </is>
      </c>
      <c r="X111" t="inlineStr">
        <is>
          <t>Lab</t>
        </is>
      </c>
      <c r="Y111" t="n">
        <v>5.0</v>
      </c>
      <c r="Z111" t="inlineStr">
        <is>
          <t>Active ingredient</t>
        </is>
      </c>
      <c r="AA111"/>
      <c r="AB111" t="n">
        <v>0.87</v>
      </c>
      <c r="AC111"/>
      <c r="AD111"/>
      <c r="AE111"/>
      <c r="AF111"/>
      <c r="AG111" t="inlineStr">
        <is>
          <t>AI mg/L</t>
        </is>
      </c>
      <c r="AH111"/>
      <c r="AI111"/>
      <c r="AJ111"/>
      <c r="AK111"/>
      <c r="AL111"/>
      <c r="AM111"/>
      <c r="AN111"/>
      <c r="AO111"/>
      <c r="AP111"/>
      <c r="AQ111"/>
      <c r="AR111"/>
      <c r="AS111"/>
      <c r="AT111"/>
      <c r="AU111"/>
      <c r="AV111"/>
      <c r="AW111"/>
      <c r="AX111" t="inlineStr">
        <is>
          <t>Accumulation</t>
        </is>
      </c>
      <c r="AY111" t="inlineStr">
        <is>
          <t>Residue</t>
        </is>
      </c>
      <c r="AZ111" t="inlineStr">
        <is>
          <t>BCF</t>
        </is>
      </c>
      <c r="BA111" t="inlineStr">
        <is>
          <t>Yolk</t>
        </is>
      </c>
      <c r="BB111"/>
      <c r="BC111" t="n">
        <v>0.125</v>
      </c>
      <c r="BD111"/>
      <c r="BE111"/>
      <c r="BF111"/>
      <c r="BG111"/>
      <c r="BH111" t="inlineStr">
        <is>
          <t>Day(s)</t>
        </is>
      </c>
      <c r="BI111"/>
      <c r="BJ111" t="n">
        <v>0.03</v>
      </c>
      <c r="BK111"/>
      <c r="BL111"/>
      <c r="BM111"/>
      <c r="BN111"/>
      <c r="BO111" t="inlineStr">
        <is>
          <t>RA</t>
        </is>
      </c>
      <c r="BP111"/>
      <c r="BQ111"/>
      <c r="BR111"/>
      <c r="BS111"/>
      <c r="BT111"/>
      <c r="BU111"/>
      <c r="BV111"/>
      <c r="BW111"/>
      <c r="BX111"/>
      <c r="BY111"/>
      <c r="BZ111"/>
      <c r="CA111"/>
      <c r="CB111"/>
      <c r="CC111"/>
      <c r="CD111" t="inlineStr">
        <is>
          <t>Raine,J.C., S. Su, E. Lin, Z.L. Yang, J.P. Giesy, and P.D. Jones</t>
        </is>
      </c>
      <c r="CE111" t="n">
        <v>187197.0</v>
      </c>
      <c r="CF111" t="inlineStr">
        <is>
          <t>Prefertilization Exposure of Rainbow Trout Eggs to Per- and Polyfluoroalkyl Substances to Simulate Accumulation During Oogenesis</t>
        </is>
      </c>
      <c r="CG111" t="inlineStr">
        <is>
          <t>Environ. Toxicol. Chem.40(11): 3159-3165</t>
        </is>
      </c>
      <c r="CH111" t="n">
        <v>2021.0</v>
      </c>
      <c r="CI111"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12">
      <c r="A112" t="n">
        <v>1763231.0</v>
      </c>
      <c r="B112" t="inlineStr">
        <is>
          <t>1,1,2,2,3,3,4,4,5,5,6,6,7,7,8,8,8-Heptadecafluoro-1-octanesulfonic acid</t>
        </is>
      </c>
      <c r="C112"/>
      <c r="D112" t="inlineStr">
        <is>
          <t>Measured</t>
        </is>
      </c>
      <c r="E112" t="inlineStr">
        <is>
          <t>&gt;</t>
        </is>
      </c>
      <c r="F112" t="n">
        <v>97.0</v>
      </c>
      <c r="G112"/>
      <c r="H112"/>
      <c r="I112"/>
      <c r="J112"/>
      <c r="K112" t="inlineStr">
        <is>
          <t>Oncorhynchus mykiss</t>
        </is>
      </c>
      <c r="L112" t="inlineStr">
        <is>
          <t>Rainbow Trout</t>
        </is>
      </c>
      <c r="M112" t="inlineStr">
        <is>
          <t>Fish; Standard Test Species; U.S. Threatened and Endangered Species</t>
        </is>
      </c>
      <c r="N112" t="inlineStr">
        <is>
          <t>Oocyte, ova</t>
        </is>
      </c>
      <c r="O112"/>
      <c r="P112"/>
      <c r="Q112"/>
      <c r="R112"/>
      <c r="S112"/>
      <c r="T112"/>
      <c r="U112"/>
      <c r="V112" t="inlineStr">
        <is>
          <t>Static</t>
        </is>
      </c>
      <c r="W112" t="inlineStr">
        <is>
          <t>Culture</t>
        </is>
      </c>
      <c r="X112" t="inlineStr">
        <is>
          <t>Lab</t>
        </is>
      </c>
      <c r="Y112" t="n">
        <v>4.0</v>
      </c>
      <c r="Z112" t="inlineStr">
        <is>
          <t>Active ingredient</t>
        </is>
      </c>
      <c r="AA112"/>
      <c r="AB112" t="n">
        <v>5.76</v>
      </c>
      <c r="AC112"/>
      <c r="AD112"/>
      <c r="AE112"/>
      <c r="AF112"/>
      <c r="AG112" t="inlineStr">
        <is>
          <t>AI mg/L</t>
        </is>
      </c>
      <c r="AH112"/>
      <c r="AI112"/>
      <c r="AJ112"/>
      <c r="AK112"/>
      <c r="AL112"/>
      <c r="AM112"/>
      <c r="AN112"/>
      <c r="AO112"/>
      <c r="AP112"/>
      <c r="AQ112"/>
      <c r="AR112"/>
      <c r="AS112"/>
      <c r="AT112"/>
      <c r="AU112"/>
      <c r="AV112"/>
      <c r="AW112"/>
      <c r="AX112" t="inlineStr">
        <is>
          <t>Accumulation</t>
        </is>
      </c>
      <c r="AY112" t="inlineStr">
        <is>
          <t>Residue</t>
        </is>
      </c>
      <c r="AZ112" t="inlineStr">
        <is>
          <t>BCF</t>
        </is>
      </c>
      <c r="BA112" t="inlineStr">
        <is>
          <t>Yolk</t>
        </is>
      </c>
      <c r="BB112"/>
      <c r="BC112" t="n">
        <v>0.125</v>
      </c>
      <c r="BD112"/>
      <c r="BE112"/>
      <c r="BF112"/>
      <c r="BG112"/>
      <c r="BH112" t="inlineStr">
        <is>
          <t>Day(s)</t>
        </is>
      </c>
      <c r="BI112"/>
      <c r="BJ112" t="n">
        <v>0.05</v>
      </c>
      <c r="BK112"/>
      <c r="BL112"/>
      <c r="BM112"/>
      <c r="BN112"/>
      <c r="BO112" t="inlineStr">
        <is>
          <t>RA</t>
        </is>
      </c>
      <c r="BP112"/>
      <c r="BQ112"/>
      <c r="BR112"/>
      <c r="BS112"/>
      <c r="BT112"/>
      <c r="BU112"/>
      <c r="BV112"/>
      <c r="BW112"/>
      <c r="BX112"/>
      <c r="BY112"/>
      <c r="BZ112"/>
      <c r="CA112"/>
      <c r="CB112"/>
      <c r="CC112"/>
      <c r="CD112" t="inlineStr">
        <is>
          <t>Raine,J.C., S. Su, E. Lin, Z.L. Yang, J.P. Giesy, and P.D. Jones</t>
        </is>
      </c>
      <c r="CE112" t="n">
        <v>187197.0</v>
      </c>
      <c r="CF112" t="inlineStr">
        <is>
          <t>Prefertilization Exposure of Rainbow Trout Eggs to Per- and Polyfluoroalkyl Substances to Simulate Accumulation During Oogenesis</t>
        </is>
      </c>
      <c r="CG112" t="inlineStr">
        <is>
          <t>Environ. Toxicol. Chem.40(11): 3159-3165</t>
        </is>
      </c>
      <c r="CH112" t="n">
        <v>2021.0</v>
      </c>
      <c r="CI112"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13">
      <c r="A113" t="n">
        <v>1763231.0</v>
      </c>
      <c r="B113" t="inlineStr">
        <is>
          <t>1,1,2,2,3,3,4,4,5,5,6,6,7,7,8,8,8-Heptadecafluoro-1-octanesulfonic acid</t>
        </is>
      </c>
      <c r="C113"/>
      <c r="D113" t="inlineStr">
        <is>
          <t>Measured</t>
        </is>
      </c>
      <c r="E113" t="inlineStr">
        <is>
          <t>&gt;</t>
        </is>
      </c>
      <c r="F113" t="n">
        <v>97.0</v>
      </c>
      <c r="G113"/>
      <c r="H113"/>
      <c r="I113"/>
      <c r="J113"/>
      <c r="K113" t="inlineStr">
        <is>
          <t>Oncorhynchus mykiss</t>
        </is>
      </c>
      <c r="L113" t="inlineStr">
        <is>
          <t>Rainbow Trout</t>
        </is>
      </c>
      <c r="M113" t="inlineStr">
        <is>
          <t>Fish; Standard Test Species; U.S. Threatened and Endangered Species</t>
        </is>
      </c>
      <c r="N113" t="inlineStr">
        <is>
          <t>Oocyte, ova</t>
        </is>
      </c>
      <c r="O113"/>
      <c r="P113"/>
      <c r="Q113"/>
      <c r="R113"/>
      <c r="S113"/>
      <c r="T113"/>
      <c r="U113"/>
      <c r="V113" t="inlineStr">
        <is>
          <t>Static</t>
        </is>
      </c>
      <c r="W113" t="inlineStr">
        <is>
          <t>Culture</t>
        </is>
      </c>
      <c r="X113" t="inlineStr">
        <is>
          <t>Lab</t>
        </is>
      </c>
      <c r="Y113" t="n">
        <v>5.0</v>
      </c>
      <c r="Z113" t="inlineStr">
        <is>
          <t>Active ingredient</t>
        </is>
      </c>
      <c r="AA113"/>
      <c r="AB113" t="n">
        <v>7.47</v>
      </c>
      <c r="AC113"/>
      <c r="AD113"/>
      <c r="AE113"/>
      <c r="AF113"/>
      <c r="AG113" t="inlineStr">
        <is>
          <t>AI mg/L</t>
        </is>
      </c>
      <c r="AH113"/>
      <c r="AI113"/>
      <c r="AJ113"/>
      <c r="AK113"/>
      <c r="AL113"/>
      <c r="AM113"/>
      <c r="AN113"/>
      <c r="AO113"/>
      <c r="AP113"/>
      <c r="AQ113"/>
      <c r="AR113"/>
      <c r="AS113"/>
      <c r="AT113"/>
      <c r="AU113"/>
      <c r="AV113"/>
      <c r="AW113"/>
      <c r="AX113" t="inlineStr">
        <is>
          <t>Accumulation</t>
        </is>
      </c>
      <c r="AY113" t="inlineStr">
        <is>
          <t>Residue</t>
        </is>
      </c>
      <c r="AZ113" t="inlineStr">
        <is>
          <t>BCF</t>
        </is>
      </c>
      <c r="BA113" t="inlineStr">
        <is>
          <t>Yolk</t>
        </is>
      </c>
      <c r="BB113"/>
      <c r="BC113" t="n">
        <v>0.125</v>
      </c>
      <c r="BD113"/>
      <c r="BE113"/>
      <c r="BF113"/>
      <c r="BG113"/>
      <c r="BH113" t="inlineStr">
        <is>
          <t>Day(s)</t>
        </is>
      </c>
      <c r="BI113"/>
      <c r="BJ113" t="n">
        <v>0.06</v>
      </c>
      <c r="BK113"/>
      <c r="BL113"/>
      <c r="BM113"/>
      <c r="BN113"/>
      <c r="BO113" t="inlineStr">
        <is>
          <t>RA</t>
        </is>
      </c>
      <c r="BP113"/>
      <c r="BQ113"/>
      <c r="BR113"/>
      <c r="BS113"/>
      <c r="BT113"/>
      <c r="BU113"/>
      <c r="BV113"/>
      <c r="BW113"/>
      <c r="BX113"/>
      <c r="BY113"/>
      <c r="BZ113"/>
      <c r="CA113"/>
      <c r="CB113"/>
      <c r="CC113"/>
      <c r="CD113" t="inlineStr">
        <is>
          <t>Raine,J.C., S. Su, E. Lin, Z.L. Yang, J.P. Giesy, and P.D. Jones</t>
        </is>
      </c>
      <c r="CE113" t="n">
        <v>187197.0</v>
      </c>
      <c r="CF113" t="inlineStr">
        <is>
          <t>Prefertilization Exposure of Rainbow Trout Eggs to Per- and Polyfluoroalkyl Substances to Simulate Accumulation During Oogenesis</t>
        </is>
      </c>
      <c r="CG113" t="inlineStr">
        <is>
          <t>Environ. Toxicol. Chem.40(11): 3159-3165</t>
        </is>
      </c>
      <c r="CH113" t="n">
        <v>2021.0</v>
      </c>
      <c r="CI113"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14">
      <c r="A114" t="n">
        <v>1763231.0</v>
      </c>
      <c r="B114" t="inlineStr">
        <is>
          <t>1,1,2,2,3,3,4,4,5,5,6,6,7,7,8,8,8-Heptadecafluoro-1-octanesulfonic acid</t>
        </is>
      </c>
      <c r="C114"/>
      <c r="D114" t="inlineStr">
        <is>
          <t>Measured</t>
        </is>
      </c>
      <c r="E114" t="inlineStr">
        <is>
          <t>&gt;</t>
        </is>
      </c>
      <c r="F114" t="n">
        <v>97.0</v>
      </c>
      <c r="G114"/>
      <c r="H114"/>
      <c r="I114"/>
      <c r="J114"/>
      <c r="K114" t="inlineStr">
        <is>
          <t>Oncorhynchus mykiss</t>
        </is>
      </c>
      <c r="L114" t="inlineStr">
        <is>
          <t>Rainbow Trout</t>
        </is>
      </c>
      <c r="M114" t="inlineStr">
        <is>
          <t>Fish; Standard Test Species; U.S. Threatened and Endangered Species</t>
        </is>
      </c>
      <c r="N114" t="inlineStr">
        <is>
          <t>Oocyte, ova</t>
        </is>
      </c>
      <c r="O114"/>
      <c r="P114"/>
      <c r="Q114"/>
      <c r="R114"/>
      <c r="S114"/>
      <c r="T114"/>
      <c r="U114"/>
      <c r="V114" t="inlineStr">
        <is>
          <t>Static</t>
        </is>
      </c>
      <c r="W114" t="inlineStr">
        <is>
          <t>Culture</t>
        </is>
      </c>
      <c r="X114" t="inlineStr">
        <is>
          <t>Lab</t>
        </is>
      </c>
      <c r="Y114" t="n">
        <v>4.0</v>
      </c>
      <c r="Z114" t="inlineStr">
        <is>
          <t>Active ingredient</t>
        </is>
      </c>
      <c r="AA114"/>
      <c r="AB114" t="n">
        <v>1.2</v>
      </c>
      <c r="AC114"/>
      <c r="AD114"/>
      <c r="AE114"/>
      <c r="AF114"/>
      <c r="AG114" t="inlineStr">
        <is>
          <t>AI mg/L</t>
        </is>
      </c>
      <c r="AH114"/>
      <c r="AI114"/>
      <c r="AJ114"/>
      <c r="AK114"/>
      <c r="AL114"/>
      <c r="AM114"/>
      <c r="AN114"/>
      <c r="AO114"/>
      <c r="AP114"/>
      <c r="AQ114"/>
      <c r="AR114"/>
      <c r="AS114"/>
      <c r="AT114"/>
      <c r="AU114"/>
      <c r="AV114"/>
      <c r="AW114"/>
      <c r="AX114" t="inlineStr">
        <is>
          <t>Accumulation</t>
        </is>
      </c>
      <c r="AY114" t="inlineStr">
        <is>
          <t>Residue</t>
        </is>
      </c>
      <c r="AZ114" t="inlineStr">
        <is>
          <t>BCF</t>
        </is>
      </c>
      <c r="BA114" t="inlineStr">
        <is>
          <t>Yolk</t>
        </is>
      </c>
      <c r="BB114"/>
      <c r="BC114" t="n">
        <v>0.125</v>
      </c>
      <c r="BD114"/>
      <c r="BE114"/>
      <c r="BF114"/>
      <c r="BG114"/>
      <c r="BH114" t="inlineStr">
        <is>
          <t>Day(s)</t>
        </is>
      </c>
      <c r="BI114"/>
      <c r="BJ114" t="n">
        <v>0.08</v>
      </c>
      <c r="BK114"/>
      <c r="BL114"/>
      <c r="BM114"/>
      <c r="BN114"/>
      <c r="BO114" t="inlineStr">
        <is>
          <t>RA</t>
        </is>
      </c>
      <c r="BP114"/>
      <c r="BQ114"/>
      <c r="BR114"/>
      <c r="BS114"/>
      <c r="BT114"/>
      <c r="BU114"/>
      <c r="BV114"/>
      <c r="BW114"/>
      <c r="BX114"/>
      <c r="BY114"/>
      <c r="BZ114"/>
      <c r="CA114"/>
      <c r="CB114"/>
      <c r="CC114"/>
      <c r="CD114" t="inlineStr">
        <is>
          <t>Raine,J.C., S. Su, E. Lin, Z.L. Yang, J.P. Giesy, and P.D. Jones</t>
        </is>
      </c>
      <c r="CE114" t="n">
        <v>187197.0</v>
      </c>
      <c r="CF114" t="inlineStr">
        <is>
          <t>Prefertilization Exposure of Rainbow Trout Eggs to Per- and Polyfluoroalkyl Substances to Simulate Accumulation During Oogenesis</t>
        </is>
      </c>
      <c r="CG114" t="inlineStr">
        <is>
          <t>Environ. Toxicol. Chem.40(11): 3159-3165</t>
        </is>
      </c>
      <c r="CH114" t="n">
        <v>2021.0</v>
      </c>
      <c r="CI114"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15">
      <c r="A115" t="n">
        <v>1763231.0</v>
      </c>
      <c r="B115" t="inlineStr">
        <is>
          <t>1,1,2,2,3,3,4,4,5,5,6,6,7,7,8,8,8-Heptadecafluoro-1-octanesulfonic acid</t>
        </is>
      </c>
      <c r="C115"/>
      <c r="D115" t="inlineStr">
        <is>
          <t>Measured</t>
        </is>
      </c>
      <c r="E115" t="inlineStr">
        <is>
          <t>&gt;</t>
        </is>
      </c>
      <c r="F115" t="n">
        <v>97.0</v>
      </c>
      <c r="G115"/>
      <c r="H115"/>
      <c r="I115"/>
      <c r="J115"/>
      <c r="K115" t="inlineStr">
        <is>
          <t>Oncorhynchus mykiss</t>
        </is>
      </c>
      <c r="L115" t="inlineStr">
        <is>
          <t>Rainbow Trout</t>
        </is>
      </c>
      <c r="M115" t="inlineStr">
        <is>
          <t>Fish; Standard Test Species; U.S. Threatened and Endangered Species</t>
        </is>
      </c>
      <c r="N115" t="inlineStr">
        <is>
          <t>Oocyte, ova</t>
        </is>
      </c>
      <c r="O115"/>
      <c r="P115"/>
      <c r="Q115"/>
      <c r="R115"/>
      <c r="S115"/>
      <c r="T115"/>
      <c r="U115"/>
      <c r="V115" t="inlineStr">
        <is>
          <t>Static</t>
        </is>
      </c>
      <c r="W115" t="inlineStr">
        <is>
          <t>Culture</t>
        </is>
      </c>
      <c r="X115" t="inlineStr">
        <is>
          <t>Lab</t>
        </is>
      </c>
      <c r="Y115" t="n">
        <v>4.0</v>
      </c>
      <c r="Z115" t="inlineStr">
        <is>
          <t>Active ingredient</t>
        </is>
      </c>
      <c r="AA115"/>
      <c r="AB115" t="n">
        <v>0.07</v>
      </c>
      <c r="AC115"/>
      <c r="AD115"/>
      <c r="AE115"/>
      <c r="AF115"/>
      <c r="AG115" t="inlineStr">
        <is>
          <t>AI mg/L</t>
        </is>
      </c>
      <c r="AH115"/>
      <c r="AI115"/>
      <c r="AJ115"/>
      <c r="AK115"/>
      <c r="AL115"/>
      <c r="AM115"/>
      <c r="AN115"/>
      <c r="AO115"/>
      <c r="AP115"/>
      <c r="AQ115"/>
      <c r="AR115"/>
      <c r="AS115"/>
      <c r="AT115"/>
      <c r="AU115"/>
      <c r="AV115"/>
      <c r="AW115"/>
      <c r="AX115" t="inlineStr">
        <is>
          <t>Accumulation</t>
        </is>
      </c>
      <c r="AY115" t="inlineStr">
        <is>
          <t>Residue</t>
        </is>
      </c>
      <c r="AZ115" t="inlineStr">
        <is>
          <t>BCF</t>
        </is>
      </c>
      <c r="BA115" t="inlineStr">
        <is>
          <t>Yolk</t>
        </is>
      </c>
      <c r="BB115"/>
      <c r="BC115" t="n">
        <v>0.125</v>
      </c>
      <c r="BD115"/>
      <c r="BE115"/>
      <c r="BF115"/>
      <c r="BG115"/>
      <c r="BH115" t="inlineStr">
        <is>
          <t>Day(s)</t>
        </is>
      </c>
      <c r="BI115"/>
      <c r="BJ115" t="n">
        <v>0.12</v>
      </c>
      <c r="BK115"/>
      <c r="BL115"/>
      <c r="BM115"/>
      <c r="BN115"/>
      <c r="BO115" t="inlineStr">
        <is>
          <t>RA</t>
        </is>
      </c>
      <c r="BP115"/>
      <c r="BQ115"/>
      <c r="BR115"/>
      <c r="BS115"/>
      <c r="BT115"/>
      <c r="BU115"/>
      <c r="BV115"/>
      <c r="BW115"/>
      <c r="BX115"/>
      <c r="BY115"/>
      <c r="BZ115"/>
      <c r="CA115"/>
      <c r="CB115"/>
      <c r="CC115"/>
      <c r="CD115" t="inlineStr">
        <is>
          <t>Raine,J.C., S. Su, E. Lin, Z.L. Yang, J.P. Giesy, and P.D. Jones</t>
        </is>
      </c>
      <c r="CE115" t="n">
        <v>187197.0</v>
      </c>
      <c r="CF115" t="inlineStr">
        <is>
          <t>Prefertilization Exposure of Rainbow Trout Eggs to Per- and Polyfluoroalkyl Substances to Simulate Accumulation During Oogenesis</t>
        </is>
      </c>
      <c r="CG115" t="inlineStr">
        <is>
          <t>Environ. Toxicol. Chem.40(11): 3159-3165</t>
        </is>
      </c>
      <c r="CH115" t="n">
        <v>2021.0</v>
      </c>
      <c r="CI115"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16">
      <c r="A116" t="n">
        <v>1763231.0</v>
      </c>
      <c r="B116" t="inlineStr">
        <is>
          <t>1,1,2,2,3,3,4,4,5,5,6,6,7,7,8,8,8-Heptadecafluoro-1-octanesulfonic acid</t>
        </is>
      </c>
      <c r="C116"/>
      <c r="D116" t="inlineStr">
        <is>
          <t>Measured</t>
        </is>
      </c>
      <c r="E116" t="inlineStr">
        <is>
          <t>&gt;</t>
        </is>
      </c>
      <c r="F116" t="n">
        <v>97.0</v>
      </c>
      <c r="G116"/>
      <c r="H116"/>
      <c r="I116"/>
      <c r="J116"/>
      <c r="K116" t="inlineStr">
        <is>
          <t>Oncorhynchus mykiss</t>
        </is>
      </c>
      <c r="L116" t="inlineStr">
        <is>
          <t>Rainbow Trout</t>
        </is>
      </c>
      <c r="M116" t="inlineStr">
        <is>
          <t>Fish; Standard Test Species; U.S. Threatened and Endangered Species</t>
        </is>
      </c>
      <c r="N116" t="inlineStr">
        <is>
          <t>Oocyte, ova</t>
        </is>
      </c>
      <c r="O116"/>
      <c r="P116"/>
      <c r="Q116"/>
      <c r="R116"/>
      <c r="S116"/>
      <c r="T116"/>
      <c r="U116"/>
      <c r="V116" t="inlineStr">
        <is>
          <t>Static</t>
        </is>
      </c>
      <c r="W116" t="inlineStr">
        <is>
          <t>Culture</t>
        </is>
      </c>
      <c r="X116" t="inlineStr">
        <is>
          <t>Lab</t>
        </is>
      </c>
      <c r="Y116" t="n">
        <v>5.0</v>
      </c>
      <c r="Z116" t="inlineStr">
        <is>
          <t>Active ingredient</t>
        </is>
      </c>
      <c r="AA116"/>
      <c r="AB116" t="n">
        <v>0.06</v>
      </c>
      <c r="AC116"/>
      <c r="AD116"/>
      <c r="AE116"/>
      <c r="AF116"/>
      <c r="AG116" t="inlineStr">
        <is>
          <t>AI mg/L</t>
        </is>
      </c>
      <c r="AH116"/>
      <c r="AI116"/>
      <c r="AJ116"/>
      <c r="AK116"/>
      <c r="AL116"/>
      <c r="AM116"/>
      <c r="AN116"/>
      <c r="AO116"/>
      <c r="AP116"/>
      <c r="AQ116"/>
      <c r="AR116"/>
      <c r="AS116"/>
      <c r="AT116"/>
      <c r="AU116"/>
      <c r="AV116"/>
      <c r="AW116"/>
      <c r="AX116" t="inlineStr">
        <is>
          <t>Accumulation</t>
        </is>
      </c>
      <c r="AY116" t="inlineStr">
        <is>
          <t>Residue</t>
        </is>
      </c>
      <c r="AZ116" t="inlineStr">
        <is>
          <t>BCF</t>
        </is>
      </c>
      <c r="BA116" t="inlineStr">
        <is>
          <t>Yolk</t>
        </is>
      </c>
      <c r="BB116"/>
      <c r="BC116" t="n">
        <v>0.125</v>
      </c>
      <c r="BD116"/>
      <c r="BE116"/>
      <c r="BF116"/>
      <c r="BG116"/>
      <c r="BH116" t="inlineStr">
        <is>
          <t>Day(s)</t>
        </is>
      </c>
      <c r="BI116"/>
      <c r="BJ116" t="n">
        <v>0.23</v>
      </c>
      <c r="BK116"/>
      <c r="BL116"/>
      <c r="BM116"/>
      <c r="BN116"/>
      <c r="BO116" t="inlineStr">
        <is>
          <t>RA</t>
        </is>
      </c>
      <c r="BP116"/>
      <c r="BQ116"/>
      <c r="BR116"/>
      <c r="BS116"/>
      <c r="BT116"/>
      <c r="BU116"/>
      <c r="BV116"/>
      <c r="BW116"/>
      <c r="BX116"/>
      <c r="BY116"/>
      <c r="BZ116"/>
      <c r="CA116"/>
      <c r="CB116"/>
      <c r="CC116"/>
      <c r="CD116" t="inlineStr">
        <is>
          <t>Raine,J.C., S. Su, E. Lin, Z.L. Yang, J.P. Giesy, and P.D. Jones</t>
        </is>
      </c>
      <c r="CE116" t="n">
        <v>187197.0</v>
      </c>
      <c r="CF116" t="inlineStr">
        <is>
          <t>Prefertilization Exposure of Rainbow Trout Eggs to Per- and Polyfluoroalkyl Substances to Simulate Accumulation During Oogenesis</t>
        </is>
      </c>
      <c r="CG116" t="inlineStr">
        <is>
          <t>Environ. Toxicol. Chem.40(11): 3159-3165</t>
        </is>
      </c>
      <c r="CH116" t="n">
        <v>2021.0</v>
      </c>
      <c r="CI116"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17">
      <c r="A117" t="n">
        <v>1763231.0</v>
      </c>
      <c r="B117" t="inlineStr">
        <is>
          <t>1,1,2,2,3,3,4,4,5,5,6,6,7,7,8,8,8-Heptadecafluoro-1-octanesulfonic acid</t>
        </is>
      </c>
      <c r="C117"/>
      <c r="D117" t="inlineStr">
        <is>
          <t>Measured</t>
        </is>
      </c>
      <c r="E117" t="inlineStr">
        <is>
          <t>&gt;</t>
        </is>
      </c>
      <c r="F117" t="n">
        <v>97.0</v>
      </c>
      <c r="G117"/>
      <c r="H117"/>
      <c r="I117"/>
      <c r="J117"/>
      <c r="K117" t="inlineStr">
        <is>
          <t>Oncorhynchus mykiss</t>
        </is>
      </c>
      <c r="L117" t="inlineStr">
        <is>
          <t>Rainbow Trout</t>
        </is>
      </c>
      <c r="M117" t="inlineStr">
        <is>
          <t>Fish; Standard Test Species; U.S. Threatened and Endangered Species</t>
        </is>
      </c>
      <c r="N117" t="inlineStr">
        <is>
          <t>Oocyte, ova</t>
        </is>
      </c>
      <c r="O117"/>
      <c r="P117"/>
      <c r="Q117"/>
      <c r="R117"/>
      <c r="S117"/>
      <c r="T117"/>
      <c r="U117"/>
      <c r="V117" t="inlineStr">
        <is>
          <t>Static</t>
        </is>
      </c>
      <c r="W117" t="inlineStr">
        <is>
          <t>Culture</t>
        </is>
      </c>
      <c r="X117" t="inlineStr">
        <is>
          <t>Lab</t>
        </is>
      </c>
      <c r="Y117" t="n">
        <v>5.0</v>
      </c>
      <c r="Z117" t="inlineStr">
        <is>
          <t>Active ingredient</t>
        </is>
      </c>
      <c r="AA117"/>
      <c r="AB117" t="n">
        <v>0.01</v>
      </c>
      <c r="AC117"/>
      <c r="AD117"/>
      <c r="AE117"/>
      <c r="AF117"/>
      <c r="AG117" t="inlineStr">
        <is>
          <t>AI mg/L</t>
        </is>
      </c>
      <c r="AH117"/>
      <c r="AI117"/>
      <c r="AJ117"/>
      <c r="AK117"/>
      <c r="AL117"/>
      <c r="AM117"/>
      <c r="AN117"/>
      <c r="AO117"/>
      <c r="AP117"/>
      <c r="AQ117"/>
      <c r="AR117"/>
      <c r="AS117"/>
      <c r="AT117"/>
      <c r="AU117"/>
      <c r="AV117"/>
      <c r="AW117"/>
      <c r="AX117" t="inlineStr">
        <is>
          <t>Accumulation</t>
        </is>
      </c>
      <c r="AY117" t="inlineStr">
        <is>
          <t>Residue</t>
        </is>
      </c>
      <c r="AZ117" t="inlineStr">
        <is>
          <t>BCF</t>
        </is>
      </c>
      <c r="BA117" t="inlineStr">
        <is>
          <t>Yolk</t>
        </is>
      </c>
      <c r="BB117"/>
      <c r="BC117" t="n">
        <v>0.125</v>
      </c>
      <c r="BD117"/>
      <c r="BE117"/>
      <c r="BF117"/>
      <c r="BG117"/>
      <c r="BH117" t="inlineStr">
        <is>
          <t>Day(s)</t>
        </is>
      </c>
      <c r="BI117"/>
      <c r="BJ117" t="n">
        <v>0.99</v>
      </c>
      <c r="BK117"/>
      <c r="BL117"/>
      <c r="BM117"/>
      <c r="BN117"/>
      <c r="BO117" t="inlineStr">
        <is>
          <t>RA</t>
        </is>
      </c>
      <c r="BP117"/>
      <c r="BQ117"/>
      <c r="BR117"/>
      <c r="BS117"/>
      <c r="BT117"/>
      <c r="BU117"/>
      <c r="BV117"/>
      <c r="BW117"/>
      <c r="BX117"/>
      <c r="BY117"/>
      <c r="BZ117"/>
      <c r="CA117"/>
      <c r="CB117"/>
      <c r="CC117"/>
      <c r="CD117" t="inlineStr">
        <is>
          <t>Raine,J.C., S. Su, E. Lin, Z.L. Yang, J.P. Giesy, and P.D. Jones</t>
        </is>
      </c>
      <c r="CE117" t="n">
        <v>187197.0</v>
      </c>
      <c r="CF117" t="inlineStr">
        <is>
          <t>Prefertilization Exposure of Rainbow Trout Eggs to Per- and Polyfluoroalkyl Substances to Simulate Accumulation During Oogenesis</t>
        </is>
      </c>
      <c r="CG117" t="inlineStr">
        <is>
          <t>Environ. Toxicol. Chem.40(11): 3159-3165</t>
        </is>
      </c>
      <c r="CH117" t="n">
        <v>2021.0</v>
      </c>
      <c r="CI117"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18">
      <c r="A118" t="n">
        <v>1763231.0</v>
      </c>
      <c r="B118" t="inlineStr">
        <is>
          <t>1,1,2,2,3,3,4,4,5,5,6,6,7,7,8,8,8-Heptadecafluoro-1-octanesulfonic acid</t>
        </is>
      </c>
      <c r="C118"/>
      <c r="D118" t="inlineStr">
        <is>
          <t>Measured</t>
        </is>
      </c>
      <c r="E118" t="inlineStr">
        <is>
          <t>&gt;</t>
        </is>
      </c>
      <c r="F118" t="n">
        <v>97.0</v>
      </c>
      <c r="G118"/>
      <c r="H118"/>
      <c r="I118"/>
      <c r="J118"/>
      <c r="K118" t="inlineStr">
        <is>
          <t>Oncorhynchus mykiss</t>
        </is>
      </c>
      <c r="L118" t="inlineStr">
        <is>
          <t>Rainbow Trout</t>
        </is>
      </c>
      <c r="M118" t="inlineStr">
        <is>
          <t>Fish; Standard Test Species; U.S. Threatened and Endangered Species</t>
        </is>
      </c>
      <c r="N118" t="inlineStr">
        <is>
          <t>Oocyte, ova</t>
        </is>
      </c>
      <c r="O118"/>
      <c r="P118"/>
      <c r="Q118"/>
      <c r="R118"/>
      <c r="S118"/>
      <c r="T118"/>
      <c r="U118"/>
      <c r="V118" t="inlineStr">
        <is>
          <t>Static</t>
        </is>
      </c>
      <c r="W118" t="inlineStr">
        <is>
          <t>Culture</t>
        </is>
      </c>
      <c r="X118" t="inlineStr">
        <is>
          <t>Lab</t>
        </is>
      </c>
      <c r="Y118" t="n">
        <v>4.0</v>
      </c>
      <c r="Z118" t="inlineStr">
        <is>
          <t>Active ingredient</t>
        </is>
      </c>
      <c r="AA118"/>
      <c r="AB118" t="n">
        <v>0.07</v>
      </c>
      <c r="AC118"/>
      <c r="AD118"/>
      <c r="AE118"/>
      <c r="AF118"/>
      <c r="AG118" t="inlineStr">
        <is>
          <t>AI mg/L</t>
        </is>
      </c>
      <c r="AH118"/>
      <c r="AI118"/>
      <c r="AJ118"/>
      <c r="AK118"/>
      <c r="AL118"/>
      <c r="AM118"/>
      <c r="AN118"/>
      <c r="AO118"/>
      <c r="AP118"/>
      <c r="AQ118"/>
      <c r="AR118"/>
      <c r="AS118"/>
      <c r="AT118"/>
      <c r="AU118"/>
      <c r="AV118"/>
      <c r="AW118"/>
      <c r="AX118" t="inlineStr">
        <is>
          <t>Accumulation</t>
        </is>
      </c>
      <c r="AY118" t="inlineStr">
        <is>
          <t>Residue</t>
        </is>
      </c>
      <c r="AZ118" t="inlineStr">
        <is>
          <t>LOEC</t>
        </is>
      </c>
      <c r="BA118" t="inlineStr">
        <is>
          <t>Yolk</t>
        </is>
      </c>
      <c r="BB118"/>
      <c r="BC118" t="n">
        <v>0.125</v>
      </c>
      <c r="BD118"/>
      <c r="BE118"/>
      <c r="BF118"/>
      <c r="BG118"/>
      <c r="BH118" t="inlineStr">
        <is>
          <t>Day(s)</t>
        </is>
      </c>
      <c r="BI118"/>
      <c r="BJ118"/>
      <c r="BK118"/>
      <c r="BL118"/>
      <c r="BM118"/>
      <c r="BN118"/>
      <c r="BO118" t="inlineStr">
        <is>
          <t>--</t>
        </is>
      </c>
      <c r="BP118"/>
      <c r="BQ118"/>
      <c r="BR118"/>
      <c r="BS118"/>
      <c r="BT118"/>
      <c r="BU118"/>
      <c r="BV118"/>
      <c r="BW118"/>
      <c r="BX118"/>
      <c r="BY118"/>
      <c r="BZ118"/>
      <c r="CA118"/>
      <c r="CB118"/>
      <c r="CC118"/>
      <c r="CD118" t="inlineStr">
        <is>
          <t>Raine,J.C., S. Su, E. Lin, Z.L. Yang, J.P. Giesy, and P.D. Jones</t>
        </is>
      </c>
      <c r="CE118" t="n">
        <v>187197.0</v>
      </c>
      <c r="CF118" t="inlineStr">
        <is>
          <t>Prefertilization Exposure of Rainbow Trout Eggs to Per- and Polyfluoroalkyl Substances to Simulate Accumulation During Oogenesis</t>
        </is>
      </c>
      <c r="CG118" t="inlineStr">
        <is>
          <t>Environ. Toxicol. Chem.40(11): 3159-3165</t>
        </is>
      </c>
      <c r="CH118" t="n">
        <v>2021.0</v>
      </c>
      <c r="CI118"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19">
      <c r="A119" t="n">
        <v>1763231.0</v>
      </c>
      <c r="B119" t="inlineStr">
        <is>
          <t>1,1,2,2,3,3,4,4,5,5,6,6,7,7,8,8,8-Heptadecafluoro-1-octanesulfonic acid</t>
        </is>
      </c>
      <c r="C119"/>
      <c r="D119" t="inlineStr">
        <is>
          <t>Measured</t>
        </is>
      </c>
      <c r="E119" t="inlineStr">
        <is>
          <t>&gt;</t>
        </is>
      </c>
      <c r="F119" t="n">
        <v>97.0</v>
      </c>
      <c r="G119"/>
      <c r="H119"/>
      <c r="I119"/>
      <c r="J119"/>
      <c r="K119" t="inlineStr">
        <is>
          <t>Oncorhynchus mykiss</t>
        </is>
      </c>
      <c r="L119" t="inlineStr">
        <is>
          <t>Rainbow Trout</t>
        </is>
      </c>
      <c r="M119" t="inlineStr">
        <is>
          <t>Fish; Standard Test Species; U.S. Threatened and Endangered Species</t>
        </is>
      </c>
      <c r="N119" t="inlineStr">
        <is>
          <t>Oocyte, ova</t>
        </is>
      </c>
      <c r="O119"/>
      <c r="P119"/>
      <c r="Q119"/>
      <c r="R119"/>
      <c r="S119"/>
      <c r="T119"/>
      <c r="U119"/>
      <c r="V119" t="inlineStr">
        <is>
          <t>Static</t>
        </is>
      </c>
      <c r="W119" t="inlineStr">
        <is>
          <t>Culture</t>
        </is>
      </c>
      <c r="X119" t="inlineStr">
        <is>
          <t>Lab</t>
        </is>
      </c>
      <c r="Y119" t="n">
        <v>5.0</v>
      </c>
      <c r="Z119" t="inlineStr">
        <is>
          <t>Active ingredient</t>
        </is>
      </c>
      <c r="AA119"/>
      <c r="AB119" t="n">
        <v>7.47</v>
      </c>
      <c r="AC119"/>
      <c r="AD119"/>
      <c r="AE119"/>
      <c r="AF119"/>
      <c r="AG119" t="inlineStr">
        <is>
          <t>AI mg/L</t>
        </is>
      </c>
      <c r="AH119"/>
      <c r="AI119"/>
      <c r="AJ119"/>
      <c r="AK119"/>
      <c r="AL119"/>
      <c r="AM119"/>
      <c r="AN119"/>
      <c r="AO119"/>
      <c r="AP119"/>
      <c r="AQ119"/>
      <c r="AR119"/>
      <c r="AS119"/>
      <c r="AT119"/>
      <c r="AU119"/>
      <c r="AV119"/>
      <c r="AW119"/>
      <c r="AX119" t="inlineStr">
        <is>
          <t>Accumulation</t>
        </is>
      </c>
      <c r="AY119" t="inlineStr">
        <is>
          <t>Residue</t>
        </is>
      </c>
      <c r="AZ119" t="inlineStr">
        <is>
          <t>LOEC</t>
        </is>
      </c>
      <c r="BA119" t="inlineStr">
        <is>
          <t>Yolk</t>
        </is>
      </c>
      <c r="BB119"/>
      <c r="BC119" t="n">
        <v>0.125</v>
      </c>
      <c r="BD119"/>
      <c r="BE119"/>
      <c r="BF119"/>
      <c r="BG119"/>
      <c r="BH119" t="inlineStr">
        <is>
          <t>Day(s)</t>
        </is>
      </c>
      <c r="BI119"/>
      <c r="BJ119"/>
      <c r="BK119"/>
      <c r="BL119"/>
      <c r="BM119"/>
      <c r="BN119"/>
      <c r="BO119" t="inlineStr">
        <is>
          <t>--</t>
        </is>
      </c>
      <c r="BP119"/>
      <c r="BQ119"/>
      <c r="BR119"/>
      <c r="BS119"/>
      <c r="BT119"/>
      <c r="BU119"/>
      <c r="BV119"/>
      <c r="BW119"/>
      <c r="BX119"/>
      <c r="BY119"/>
      <c r="BZ119"/>
      <c r="CA119"/>
      <c r="CB119"/>
      <c r="CC119"/>
      <c r="CD119" t="inlineStr">
        <is>
          <t>Raine,J.C., S. Su, E. Lin, Z.L. Yang, J.P. Giesy, and P.D. Jones</t>
        </is>
      </c>
      <c r="CE119" t="n">
        <v>187197.0</v>
      </c>
      <c r="CF119" t="inlineStr">
        <is>
          <t>Prefertilization Exposure of Rainbow Trout Eggs to Per- and Polyfluoroalkyl Substances to Simulate Accumulation During Oogenesis</t>
        </is>
      </c>
      <c r="CG119" t="inlineStr">
        <is>
          <t>Environ. Toxicol. Chem.40(11): 3159-3165</t>
        </is>
      </c>
      <c r="CH119" t="n">
        <v>2021.0</v>
      </c>
      <c r="CI119"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20">
      <c r="A120" t="n">
        <v>1763231.0</v>
      </c>
      <c r="B120" t="inlineStr">
        <is>
          <t>1,1,2,2,3,3,4,4,5,5,6,6,7,7,8,8,8-Heptadecafluoro-1-octanesulfonic acid</t>
        </is>
      </c>
      <c r="C120"/>
      <c r="D120" t="inlineStr">
        <is>
          <t>Measured</t>
        </is>
      </c>
      <c r="E120" t="inlineStr">
        <is>
          <t>&gt;</t>
        </is>
      </c>
      <c r="F120" t="n">
        <v>97.0</v>
      </c>
      <c r="G120"/>
      <c r="H120"/>
      <c r="I120"/>
      <c r="J120"/>
      <c r="K120" t="inlineStr">
        <is>
          <t>Oncorhynchus mykiss</t>
        </is>
      </c>
      <c r="L120" t="inlineStr">
        <is>
          <t>Rainbow Trout</t>
        </is>
      </c>
      <c r="M120" t="inlineStr">
        <is>
          <t>Fish; Standard Test Species; U.S. Threatened and Endangered Species</t>
        </is>
      </c>
      <c r="N120" t="inlineStr">
        <is>
          <t>Oocyte, ova</t>
        </is>
      </c>
      <c r="O120"/>
      <c r="P120"/>
      <c r="Q120"/>
      <c r="R120"/>
      <c r="S120"/>
      <c r="T120"/>
      <c r="U120"/>
      <c r="V120" t="inlineStr">
        <is>
          <t>Static</t>
        </is>
      </c>
      <c r="W120" t="inlineStr">
        <is>
          <t>Culture</t>
        </is>
      </c>
      <c r="X120" t="inlineStr">
        <is>
          <t>Lab</t>
        </is>
      </c>
      <c r="Y120" t="n">
        <v>5.0</v>
      </c>
      <c r="Z120" t="inlineStr">
        <is>
          <t>Active ingredient</t>
        </is>
      </c>
      <c r="AA120"/>
      <c r="AB120" t="n">
        <v>0.87</v>
      </c>
      <c r="AC120"/>
      <c r="AD120"/>
      <c r="AE120"/>
      <c r="AF120"/>
      <c r="AG120" t="inlineStr">
        <is>
          <t>AI mg/L</t>
        </is>
      </c>
      <c r="AH120"/>
      <c r="AI120"/>
      <c r="AJ120"/>
      <c r="AK120"/>
      <c r="AL120"/>
      <c r="AM120"/>
      <c r="AN120"/>
      <c r="AO120"/>
      <c r="AP120"/>
      <c r="AQ120"/>
      <c r="AR120"/>
      <c r="AS120"/>
      <c r="AT120"/>
      <c r="AU120"/>
      <c r="AV120"/>
      <c r="AW120"/>
      <c r="AX120" t="inlineStr">
        <is>
          <t>Accumulation</t>
        </is>
      </c>
      <c r="AY120" t="inlineStr">
        <is>
          <t>Residue</t>
        </is>
      </c>
      <c r="AZ120" t="inlineStr">
        <is>
          <t>NOEC</t>
        </is>
      </c>
      <c r="BA120" t="inlineStr">
        <is>
          <t>Yolk</t>
        </is>
      </c>
      <c r="BB120"/>
      <c r="BC120" t="n">
        <v>0.125</v>
      </c>
      <c r="BD120"/>
      <c r="BE120"/>
      <c r="BF120"/>
      <c r="BG120"/>
      <c r="BH120" t="inlineStr">
        <is>
          <t>Day(s)</t>
        </is>
      </c>
      <c r="BI120"/>
      <c r="BJ120"/>
      <c r="BK120"/>
      <c r="BL120"/>
      <c r="BM120"/>
      <c r="BN120"/>
      <c r="BO120" t="inlineStr">
        <is>
          <t>--</t>
        </is>
      </c>
      <c r="BP120"/>
      <c r="BQ120"/>
      <c r="BR120"/>
      <c r="BS120"/>
      <c r="BT120"/>
      <c r="BU120"/>
      <c r="BV120"/>
      <c r="BW120"/>
      <c r="BX120"/>
      <c r="BY120"/>
      <c r="BZ120"/>
      <c r="CA120"/>
      <c r="CB120"/>
      <c r="CC120"/>
      <c r="CD120" t="inlineStr">
        <is>
          <t>Raine,J.C., S. Su, E. Lin, Z.L. Yang, J.P. Giesy, and P.D. Jones</t>
        </is>
      </c>
      <c r="CE120" t="n">
        <v>187197.0</v>
      </c>
      <c r="CF120" t="inlineStr">
        <is>
          <t>Prefertilization Exposure of Rainbow Trout Eggs to Per- and Polyfluoroalkyl Substances to Simulate Accumulation During Oogenesis</t>
        </is>
      </c>
      <c r="CG120" t="inlineStr">
        <is>
          <t>Environ. Toxicol. Chem.40(11): 3159-3165</t>
        </is>
      </c>
      <c r="CH120" t="n">
        <v>2021.0</v>
      </c>
      <c r="CI120" t="inlineStr">
        <is>
          <t>Raine,J.C., S. Su, E. Lin, Z.L. Yang, J.P. Giesy, and P.D. Jones (2021). Prefertilization Exposure of Rainbow Trout Eggs to Per- and Polyfluoroalkyl Substances to Simulate Accumulation During Oogenesis. Environ. Toxicol. Chem., 40, (11), 3159-3165. doi:10.1002/etc.5200. ECOREF#:187197</t>
        </is>
      </c>
    </row>
    <row r="121">
      <c r="A121" t="n">
        <v>1763231.0</v>
      </c>
      <c r="B121" t="inlineStr">
        <is>
          <t>1,1,2,2,3,3,4,4,5,5,6,6,7,7,8,8,8-Heptadecafluoro-1-octanesulfonic acid</t>
        </is>
      </c>
      <c r="C121"/>
      <c r="D121" t="inlineStr">
        <is>
          <t>Unmeasured</t>
        </is>
      </c>
      <c r="E121"/>
      <c r="F121" t="n">
        <v>97.0</v>
      </c>
      <c r="G121"/>
      <c r="H121"/>
      <c r="I121"/>
      <c r="J121"/>
      <c r="K121" t="inlineStr">
        <is>
          <t>Oncorhynchus mykiss</t>
        </is>
      </c>
      <c r="L121" t="inlineStr">
        <is>
          <t>Rainbow Trout</t>
        </is>
      </c>
      <c r="M121" t="inlineStr">
        <is>
          <t>Fish; Standard Test Species; U.S. Threatened and Endangered Species</t>
        </is>
      </c>
      <c r="N121" t="inlineStr">
        <is>
          <t>Oocyte, ova</t>
        </is>
      </c>
      <c r="O121"/>
      <c r="P121"/>
      <c r="Q121"/>
      <c r="R121"/>
      <c r="S121"/>
      <c r="T121"/>
      <c r="U121"/>
      <c r="V121" t="inlineStr">
        <is>
          <t>Static</t>
        </is>
      </c>
      <c r="W121" t="inlineStr">
        <is>
          <t>Culture</t>
        </is>
      </c>
      <c r="X121" t="inlineStr">
        <is>
          <t>Lab</t>
        </is>
      </c>
      <c r="Y121" t="n">
        <v>5.0</v>
      </c>
      <c r="Z121" t="inlineStr">
        <is>
          <t>Active ingredient</t>
        </is>
      </c>
      <c r="AA121"/>
      <c r="AB121"/>
      <c r="AC121"/>
      <c r="AD121" t="n">
        <v>1.0</v>
      </c>
      <c r="AE121"/>
      <c r="AF121" t="n">
        <v>1000.0</v>
      </c>
      <c r="AG121" t="inlineStr">
        <is>
          <t>AI mg/L</t>
        </is>
      </c>
      <c r="AH121"/>
      <c r="AI121"/>
      <c r="AJ121"/>
      <c r="AK121"/>
      <c r="AL121"/>
      <c r="AM121"/>
      <c r="AN121"/>
      <c r="AO121"/>
      <c r="AP121"/>
      <c r="AQ121"/>
      <c r="AR121"/>
      <c r="AS121"/>
      <c r="AT121"/>
      <c r="AU121"/>
      <c r="AV121"/>
      <c r="AW121"/>
      <c r="AX121" t="inlineStr">
        <is>
          <t>Accumulation</t>
        </is>
      </c>
      <c r="AY121" t="inlineStr">
        <is>
          <t>Residue</t>
        </is>
      </c>
      <c r="AZ121"/>
      <c r="BA121" t="inlineStr">
        <is>
          <t>Multiple entries</t>
        </is>
      </c>
      <c r="BB121"/>
      <c r="BC121" t="n">
        <v>0.125</v>
      </c>
      <c r="BD121"/>
      <c r="BE121"/>
      <c r="BF121"/>
      <c r="BG121"/>
      <c r="BH121" t="inlineStr">
        <is>
          <t>Day(s)</t>
        </is>
      </c>
      <c r="BI121"/>
      <c r="BJ121"/>
      <c r="BK121"/>
      <c r="BL121"/>
      <c r="BM121"/>
      <c r="BN121"/>
      <c r="BO121" t="inlineStr">
        <is>
          <t>--</t>
        </is>
      </c>
      <c r="BP121"/>
      <c r="BQ121"/>
      <c r="BR121"/>
      <c r="BS121"/>
      <c r="BT121"/>
      <c r="BU121"/>
      <c r="BV121"/>
      <c r="BW121"/>
      <c r="BX121"/>
      <c r="BY121"/>
      <c r="BZ121"/>
      <c r="CA121"/>
      <c r="CB121"/>
      <c r="CC121"/>
      <c r="CD121" t="inlineStr">
        <is>
          <t>Su,S., Z. Yang, Y. Gong, Y. Xie, J. Tang, C. Wang, X. Zhao, J.C. Raine, J.P. Giesy, and P.D. Jones</t>
        </is>
      </c>
      <c r="CE121" t="n">
        <v>194792.0</v>
      </c>
      <c r="CF121" t="inlineStr">
        <is>
          <t>Apical Effects of Simulated Maternal Exposure of Salmonid Fishes to Novel and Typical Per- and Polyfluoroalkyl Substances</t>
        </is>
      </c>
      <c r="CG121" t="inlineStr">
        <is>
          <t>Environ. Toxicol. Chem.44(7): 1883-1890</t>
        </is>
      </c>
      <c r="CH121" t="n">
        <v>2025.0</v>
      </c>
      <c r="CI121"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row>
    <row r="122">
      <c r="A122" t="n">
        <v>1763231.0</v>
      </c>
      <c r="B122" t="inlineStr">
        <is>
          <t>1,1,2,2,3,3,4,4,5,5,6,6,7,7,8,8,8-Heptadecafluoro-1-octanesulfonic acid</t>
        </is>
      </c>
      <c r="C122"/>
      <c r="D122" t="inlineStr">
        <is>
          <t>Unmeasured</t>
        </is>
      </c>
      <c r="E122" t="inlineStr">
        <is>
          <t>&gt;=</t>
        </is>
      </c>
      <c r="F122" t="n">
        <v>95.0</v>
      </c>
      <c r="G122"/>
      <c r="H122"/>
      <c r="I122"/>
      <c r="J122"/>
      <c r="K122" t="inlineStr">
        <is>
          <t>Alisma plantagoaquatica ssp. orientale</t>
        </is>
      </c>
      <c r="L122" t="inlineStr">
        <is>
          <t>Asian Water Plantain</t>
        </is>
      </c>
      <c r="M122" t="inlineStr">
        <is>
          <t>Flowers, Trees, Shrubs, Ferns</t>
        </is>
      </c>
      <c r="N122" t="inlineStr">
        <is>
          <t>Seedling</t>
        </is>
      </c>
      <c r="O122"/>
      <c r="P122"/>
      <c r="Q122"/>
      <c r="R122"/>
      <c r="S122"/>
      <c r="T122"/>
      <c r="U122"/>
      <c r="V122" t="inlineStr">
        <is>
          <t>Static</t>
        </is>
      </c>
      <c r="W122" t="inlineStr">
        <is>
          <t>Fresh water</t>
        </is>
      </c>
      <c r="X122" t="inlineStr">
        <is>
          <t>Lab</t>
        </is>
      </c>
      <c r="Y122" t="n">
        <v>1.0</v>
      </c>
      <c r="Z122" t="inlineStr">
        <is>
          <t>Active ingredient</t>
        </is>
      </c>
      <c r="AA122"/>
      <c r="AB122" t="n">
        <v>1.0</v>
      </c>
      <c r="AC122"/>
      <c r="AD122"/>
      <c r="AE122"/>
      <c r="AF122"/>
      <c r="AG122" t="inlineStr">
        <is>
          <t>AI mg/L</t>
        </is>
      </c>
      <c r="AH122"/>
      <c r="AI122"/>
      <c r="AJ122"/>
      <c r="AK122"/>
      <c r="AL122"/>
      <c r="AM122"/>
      <c r="AN122"/>
      <c r="AO122"/>
      <c r="AP122"/>
      <c r="AQ122"/>
      <c r="AR122"/>
      <c r="AS122"/>
      <c r="AT122"/>
      <c r="AU122"/>
      <c r="AV122"/>
      <c r="AW122"/>
      <c r="AX122" t="inlineStr">
        <is>
          <t>Accumulation</t>
        </is>
      </c>
      <c r="AY122" t="inlineStr">
        <is>
          <t>Residue</t>
        </is>
      </c>
      <c r="AZ122" t="inlineStr">
        <is>
          <t>BCF</t>
        </is>
      </c>
      <c r="BA122" t="inlineStr">
        <is>
          <t>Root</t>
        </is>
      </c>
      <c r="BB122"/>
      <c r="BC122" t="n">
        <v>5.0</v>
      </c>
      <c r="BD122"/>
      <c r="BE122"/>
      <c r="BF122"/>
      <c r="BG122"/>
      <c r="BH122" t="inlineStr">
        <is>
          <t>Day(s)</t>
        </is>
      </c>
      <c r="BI122"/>
      <c r="BJ122" t="n">
        <v>3.406</v>
      </c>
      <c r="BK122"/>
      <c r="BL122"/>
      <c r="BM122"/>
      <c r="BN122"/>
      <c r="BO122" t="inlineStr">
        <is>
          <t>L/kg</t>
        </is>
      </c>
      <c r="BP122"/>
      <c r="BQ122"/>
      <c r="BR122"/>
      <c r="BS122"/>
      <c r="BT122"/>
      <c r="BU122"/>
      <c r="BV122"/>
      <c r="BW122"/>
      <c r="BX122"/>
      <c r="BY122"/>
      <c r="BZ122"/>
      <c r="CA122"/>
      <c r="CB122"/>
      <c r="CC122"/>
      <c r="CD122" t="inlineStr">
        <is>
          <t>Wang,T.T., G.G. Ying, L.Y. He, Y.S. Liu, and J.L. Zhao</t>
        </is>
      </c>
      <c r="CE122" t="n">
        <v>184779.0</v>
      </c>
      <c r="CF122" t="inlineStr">
        <is>
          <t>Uptake Mechanism, Subcellular Distribution, and Uptake Process of Perfluorooctanoic Acid and Perfluorooctane Sulfonic Acid by Wetland Plant Alisma orientale</t>
        </is>
      </c>
      <c r="CG122" t="inlineStr">
        <is>
          <t>Sci. Total Environ.733:11 p.</t>
        </is>
      </c>
      <c r="CH122" t="n">
        <v>2020.0</v>
      </c>
      <c r="CI122"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123">
      <c r="A123" t="n">
        <v>1763231.0</v>
      </c>
      <c r="B123" t="inlineStr">
        <is>
          <t>1,1,2,2,3,3,4,4,5,5,6,6,7,7,8,8,8-Heptadecafluoro-1-octanesulfonic acid</t>
        </is>
      </c>
      <c r="C123"/>
      <c r="D123" t="inlineStr">
        <is>
          <t>Unmeasured</t>
        </is>
      </c>
      <c r="E123"/>
      <c r="F123" t="n">
        <v>93.0</v>
      </c>
      <c r="G123"/>
      <c r="H123"/>
      <c r="I123"/>
      <c r="J123"/>
      <c r="K123" t="inlineStr">
        <is>
          <t>Vallisneria natans</t>
        </is>
      </c>
      <c r="L123" t="inlineStr">
        <is>
          <t>Eelgrass</t>
        </is>
      </c>
      <c r="M123" t="inlineStr">
        <is>
          <t>Flowers, Trees, Shrubs, Ferns</t>
        </is>
      </c>
      <c r="N123" t="inlineStr">
        <is>
          <t>Mature</t>
        </is>
      </c>
      <c r="O123"/>
      <c r="P123"/>
      <c r="Q123"/>
      <c r="R123"/>
      <c r="S123"/>
      <c r="T123"/>
      <c r="U123"/>
      <c r="V123" t="inlineStr">
        <is>
          <t>Static</t>
        </is>
      </c>
      <c r="W123" t="inlineStr">
        <is>
          <t>Fresh water</t>
        </is>
      </c>
      <c r="X123" t="inlineStr">
        <is>
          <t>Lab</t>
        </is>
      </c>
      <c r="Y123" t="n">
        <v>5.0</v>
      </c>
      <c r="Z123" t="inlineStr">
        <is>
          <t>Active ingredient</t>
        </is>
      </c>
      <c r="AA123"/>
      <c r="AB123"/>
      <c r="AC123"/>
      <c r="AD123" t="n">
        <v>0.01</v>
      </c>
      <c r="AE123"/>
      <c r="AF123" t="n">
        <v>0.1</v>
      </c>
      <c r="AG123" t="inlineStr">
        <is>
          <t>AI mg/L</t>
        </is>
      </c>
      <c r="AH123"/>
      <c r="AI123"/>
      <c r="AJ123"/>
      <c r="AK123"/>
      <c r="AL123"/>
      <c r="AM123"/>
      <c r="AN123"/>
      <c r="AO123"/>
      <c r="AP123"/>
      <c r="AQ123"/>
      <c r="AR123"/>
      <c r="AS123"/>
      <c r="AT123"/>
      <c r="AU123"/>
      <c r="AV123"/>
      <c r="AW123"/>
      <c r="AX123" t="inlineStr">
        <is>
          <t>Accumulation</t>
        </is>
      </c>
      <c r="AY123" t="inlineStr">
        <is>
          <t>Uptake</t>
        </is>
      </c>
      <c r="AZ123"/>
      <c r="BA123" t="inlineStr">
        <is>
          <t>Whole organism</t>
        </is>
      </c>
      <c r="BB123"/>
      <c r="BC123" t="n">
        <v>14.0</v>
      </c>
      <c r="BD123"/>
      <c r="BE123"/>
      <c r="BF123"/>
      <c r="BG123"/>
      <c r="BH123" t="inlineStr">
        <is>
          <t>Day(s)</t>
        </is>
      </c>
      <c r="BI123"/>
      <c r="BJ123"/>
      <c r="BK123"/>
      <c r="BL123"/>
      <c r="BM123"/>
      <c r="BN123"/>
      <c r="BO123" t="inlineStr">
        <is>
          <t>--</t>
        </is>
      </c>
      <c r="BP123"/>
      <c r="BQ123"/>
      <c r="BR123"/>
      <c r="BS123"/>
      <c r="BT123"/>
      <c r="BU123"/>
      <c r="BV123"/>
      <c r="BW123"/>
      <c r="BX123"/>
      <c r="BY123"/>
      <c r="BZ123"/>
      <c r="CA123"/>
      <c r="CB123"/>
      <c r="CC123"/>
      <c r="CD123" t="inlineStr">
        <is>
          <t>Xiao,Y., Q. Li, Y. Yang, Y. Zhang, Y. Shen, J. Liu, N. Lei, W. Zhang, and Q. Wang</t>
        </is>
      </c>
      <c r="CE123" t="n">
        <v>194040.0</v>
      </c>
      <c r="CF123" t="inlineStr">
        <is>
          <t>Unravelling the Mechanisms of PFAS Toxicity to Submerged Macrophytes and Epiphytic Biofilms at Metabolic and Molecular Levels</t>
        </is>
      </c>
      <c r="CG123" t="inlineStr">
        <is>
          <t>Sci. Total Environ.952:11 p.</t>
        </is>
      </c>
      <c r="CH123" t="n">
        <v>2024.0</v>
      </c>
      <c r="CI123" t="inlineStr">
        <is>
          <t>Xiao,Y., Q. Li, Y. Yang, Y. Zhang, Y. Shen, J. Liu, N. Lei, W. Zhang, and Q. Wang (2024). Unravelling the Mechanisms of PFAS Toxicity to Submerged Macrophytes and Epiphytic Biofilms at Metabolic and Molecular Levels. Sci. Total Environ., 952, 11 p. doi:10.1016/j.scitotenv.2024.175726. ECOREF#:194040</t>
        </is>
      </c>
    </row>
    <row r="124">
      <c r="A124" t="n">
        <v>1763231.0</v>
      </c>
      <c r="B124" t="inlineStr">
        <is>
          <t>1,1,2,2,3,3,4,4,5,5,6,6,7,7,8,8,8-Heptadecafluoro-1-octanesulfonic acid</t>
        </is>
      </c>
      <c r="C124"/>
      <c r="D124" t="inlineStr">
        <is>
          <t>Unmeasured</t>
        </is>
      </c>
      <c r="E124" t="inlineStr">
        <is>
          <t>&gt;=</t>
        </is>
      </c>
      <c r="F124" t="n">
        <v>95.0</v>
      </c>
      <c r="G124"/>
      <c r="H124"/>
      <c r="I124"/>
      <c r="J124"/>
      <c r="K124" t="inlineStr">
        <is>
          <t>Alisma plantagoaquatica ssp. orientale</t>
        </is>
      </c>
      <c r="L124" t="inlineStr">
        <is>
          <t>Asian Water Plantain</t>
        </is>
      </c>
      <c r="M124" t="inlineStr">
        <is>
          <t>Flowers, Trees, Shrubs, Ferns</t>
        </is>
      </c>
      <c r="N124" t="inlineStr">
        <is>
          <t>Seedling</t>
        </is>
      </c>
      <c r="O124"/>
      <c r="P124"/>
      <c r="Q124"/>
      <c r="R124"/>
      <c r="S124"/>
      <c r="T124"/>
      <c r="U124"/>
      <c r="V124" t="inlineStr">
        <is>
          <t>Static</t>
        </is>
      </c>
      <c r="W124" t="inlineStr">
        <is>
          <t>Fresh water</t>
        </is>
      </c>
      <c r="X124" t="inlineStr">
        <is>
          <t>Lab</t>
        </is>
      </c>
      <c r="Y124" t="n">
        <v>1.0</v>
      </c>
      <c r="Z124" t="inlineStr">
        <is>
          <t>Active ingredient</t>
        </is>
      </c>
      <c r="AA124"/>
      <c r="AB124" t="n">
        <v>1.0</v>
      </c>
      <c r="AC124"/>
      <c r="AD124"/>
      <c r="AE124"/>
      <c r="AF124"/>
      <c r="AG124" t="inlineStr">
        <is>
          <t>AI mg/L</t>
        </is>
      </c>
      <c r="AH124"/>
      <c r="AI124"/>
      <c r="AJ124"/>
      <c r="AK124"/>
      <c r="AL124"/>
      <c r="AM124"/>
      <c r="AN124"/>
      <c r="AO124"/>
      <c r="AP124"/>
      <c r="AQ124"/>
      <c r="AR124"/>
      <c r="AS124"/>
      <c r="AT124"/>
      <c r="AU124"/>
      <c r="AV124"/>
      <c r="AW124"/>
      <c r="AX124" t="inlineStr">
        <is>
          <t>Accumulation</t>
        </is>
      </c>
      <c r="AY124" t="inlineStr">
        <is>
          <t>Residue</t>
        </is>
      </c>
      <c r="AZ124"/>
      <c r="BA124" t="inlineStr">
        <is>
          <t>Root</t>
        </is>
      </c>
      <c r="BB124"/>
      <c r="BC124" t="n">
        <v>0.3333</v>
      </c>
      <c r="BD124"/>
      <c r="BE124"/>
      <c r="BF124"/>
      <c r="BG124"/>
      <c r="BH124" t="inlineStr">
        <is>
          <t>Day(s)</t>
        </is>
      </c>
      <c r="BI124"/>
      <c r="BJ124"/>
      <c r="BK124"/>
      <c r="BL124"/>
      <c r="BM124"/>
      <c r="BN124"/>
      <c r="BO124" t="inlineStr">
        <is>
          <t>--</t>
        </is>
      </c>
      <c r="BP124"/>
      <c r="BQ124"/>
      <c r="BR124"/>
      <c r="BS124"/>
      <c r="BT124"/>
      <c r="BU124"/>
      <c r="BV124"/>
      <c r="BW124"/>
      <c r="BX124"/>
      <c r="BY124"/>
      <c r="BZ124"/>
      <c r="CA124"/>
      <c r="CB124"/>
      <c r="CC124"/>
      <c r="CD124" t="inlineStr">
        <is>
          <t>Wang,T.T., G.G. Ying, L.Y. He, Y.S. Liu, and J.L. Zhao</t>
        </is>
      </c>
      <c r="CE124" t="n">
        <v>184779.0</v>
      </c>
      <c r="CF124" t="inlineStr">
        <is>
          <t>Uptake Mechanism, Subcellular Distribution, and Uptake Process of Perfluorooctanoic Acid and Perfluorooctane Sulfonic Acid by Wetland Plant Alisma orientale</t>
        </is>
      </c>
      <c r="CG124" t="inlineStr">
        <is>
          <t>Sci. Total Environ.733:11 p.</t>
        </is>
      </c>
      <c r="CH124" t="n">
        <v>2020.0</v>
      </c>
      <c r="CI124"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125">
      <c r="A125" t="n">
        <v>1763231.0</v>
      </c>
      <c r="B125" t="inlineStr">
        <is>
          <t>1,1,2,2,3,3,4,4,5,5,6,6,7,7,8,8,8-Heptadecafluoro-1-octanesulfonic acid</t>
        </is>
      </c>
      <c r="C125"/>
      <c r="D125" t="inlineStr">
        <is>
          <t>Measured</t>
        </is>
      </c>
      <c r="E125" t="inlineStr">
        <is>
          <t>&gt;=</t>
        </is>
      </c>
      <c r="F125" t="n">
        <v>95.0</v>
      </c>
      <c r="G125"/>
      <c r="H125"/>
      <c r="I125"/>
      <c r="J125"/>
      <c r="K125" t="inlineStr">
        <is>
          <t>Alisma plantagoaquatica ssp. orientale</t>
        </is>
      </c>
      <c r="L125" t="inlineStr">
        <is>
          <t>Asian Water Plantain</t>
        </is>
      </c>
      <c r="M125" t="inlineStr">
        <is>
          <t>Flowers, Trees, Shrubs, Ferns</t>
        </is>
      </c>
      <c r="N125" t="inlineStr">
        <is>
          <t>Seedling</t>
        </is>
      </c>
      <c r="O125"/>
      <c r="P125"/>
      <c r="Q125"/>
      <c r="R125"/>
      <c r="S125"/>
      <c r="T125"/>
      <c r="U125"/>
      <c r="V125" t="inlineStr">
        <is>
          <t>Static</t>
        </is>
      </c>
      <c r="W125" t="inlineStr">
        <is>
          <t>Fresh water</t>
        </is>
      </c>
      <c r="X125" t="inlineStr">
        <is>
          <t>Lab</t>
        </is>
      </c>
      <c r="Y125" t="n">
        <v>7.0</v>
      </c>
      <c r="Z125" t="inlineStr">
        <is>
          <t>Active ingredient</t>
        </is>
      </c>
      <c r="AA125"/>
      <c r="AB125"/>
      <c r="AC125"/>
      <c r="AD125" t="n">
        <v>0.0633</v>
      </c>
      <c r="AE125"/>
      <c r="AF125" t="n">
        <v>0.779</v>
      </c>
      <c r="AG125" t="inlineStr">
        <is>
          <t>AI mg/L</t>
        </is>
      </c>
      <c r="AH125"/>
      <c r="AI125"/>
      <c r="AJ125"/>
      <c r="AK125"/>
      <c r="AL125"/>
      <c r="AM125"/>
      <c r="AN125"/>
      <c r="AO125"/>
      <c r="AP125"/>
      <c r="AQ125"/>
      <c r="AR125"/>
      <c r="AS125"/>
      <c r="AT125"/>
      <c r="AU125"/>
      <c r="AV125"/>
      <c r="AW125"/>
      <c r="AX125" t="inlineStr">
        <is>
          <t>Accumulation</t>
        </is>
      </c>
      <c r="AY125" t="inlineStr">
        <is>
          <t>Uptake</t>
        </is>
      </c>
      <c r="AZ125"/>
      <c r="BA125" t="inlineStr">
        <is>
          <t>Root</t>
        </is>
      </c>
      <c r="BB125"/>
      <c r="BC125" t="n">
        <v>0.3333</v>
      </c>
      <c r="BD125"/>
      <c r="BE125"/>
      <c r="BF125"/>
      <c r="BG125"/>
      <c r="BH125" t="inlineStr">
        <is>
          <t>Day(s)</t>
        </is>
      </c>
      <c r="BI125"/>
      <c r="BJ125"/>
      <c r="BK125"/>
      <c r="BL125"/>
      <c r="BM125"/>
      <c r="BN125"/>
      <c r="BO125" t="inlineStr">
        <is>
          <t>--</t>
        </is>
      </c>
      <c r="BP125"/>
      <c r="BQ125"/>
      <c r="BR125"/>
      <c r="BS125"/>
      <c r="BT125"/>
      <c r="BU125"/>
      <c r="BV125"/>
      <c r="BW125"/>
      <c r="BX125"/>
      <c r="BY125"/>
      <c r="BZ125"/>
      <c r="CA125"/>
      <c r="CB125"/>
      <c r="CC125"/>
      <c r="CD125" t="inlineStr">
        <is>
          <t>Wang,T.T., G.G. Ying, L.Y. He, Y.S. Liu, and J.L. Zhao</t>
        </is>
      </c>
      <c r="CE125" t="n">
        <v>184779.0</v>
      </c>
      <c r="CF125" t="inlineStr">
        <is>
          <t>Uptake Mechanism, Subcellular Distribution, and Uptake Process of Perfluorooctanoic Acid and Perfluorooctane Sulfonic Acid by Wetland Plant Alisma orientale</t>
        </is>
      </c>
      <c r="CG125" t="inlineStr">
        <is>
          <t>Sci. Total Environ.733:11 p.</t>
        </is>
      </c>
      <c r="CH125" t="n">
        <v>2020.0</v>
      </c>
      <c r="CI125"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126">
      <c r="A126" t="n">
        <v>1763231.0</v>
      </c>
      <c r="B126" t="inlineStr">
        <is>
          <t>1,1,2,2,3,3,4,4,5,5,6,6,7,7,8,8,8-Heptadecafluoro-1-octanesulfonic acid</t>
        </is>
      </c>
      <c r="C126"/>
      <c r="D126" t="inlineStr">
        <is>
          <t>Unmeasured</t>
        </is>
      </c>
      <c r="E126" t="inlineStr">
        <is>
          <t>&gt;=</t>
        </is>
      </c>
      <c r="F126" t="n">
        <v>95.0</v>
      </c>
      <c r="G126"/>
      <c r="H126"/>
      <c r="I126"/>
      <c r="J126"/>
      <c r="K126" t="inlineStr">
        <is>
          <t>Alisma plantagoaquatica ssp. orientale</t>
        </is>
      </c>
      <c r="L126" t="inlineStr">
        <is>
          <t>Asian Water Plantain</t>
        </is>
      </c>
      <c r="M126" t="inlineStr">
        <is>
          <t>Flowers, Trees, Shrubs, Ferns</t>
        </is>
      </c>
      <c r="N126" t="inlineStr">
        <is>
          <t>Seedling</t>
        </is>
      </c>
      <c r="O126"/>
      <c r="P126"/>
      <c r="Q126"/>
      <c r="R126"/>
      <c r="S126"/>
      <c r="T126"/>
      <c r="U126"/>
      <c r="V126" t="inlineStr">
        <is>
          <t>Static</t>
        </is>
      </c>
      <c r="W126" t="inlineStr">
        <is>
          <t>Fresh water</t>
        </is>
      </c>
      <c r="X126" t="inlineStr">
        <is>
          <t>Lab</t>
        </is>
      </c>
      <c r="Y126" t="n">
        <v>1.0</v>
      </c>
      <c r="Z126" t="inlineStr">
        <is>
          <t>Active ingredient</t>
        </is>
      </c>
      <c r="AA126"/>
      <c r="AB126" t="n">
        <v>1.0</v>
      </c>
      <c r="AC126"/>
      <c r="AD126"/>
      <c r="AE126"/>
      <c r="AF126"/>
      <c r="AG126" t="inlineStr">
        <is>
          <t>AI mg/L</t>
        </is>
      </c>
      <c r="AH126"/>
      <c r="AI126"/>
      <c r="AJ126"/>
      <c r="AK126"/>
      <c r="AL126"/>
      <c r="AM126"/>
      <c r="AN126"/>
      <c r="AO126"/>
      <c r="AP126"/>
      <c r="AQ126"/>
      <c r="AR126"/>
      <c r="AS126"/>
      <c r="AT126"/>
      <c r="AU126"/>
      <c r="AV126"/>
      <c r="AW126"/>
      <c r="AX126" t="inlineStr">
        <is>
          <t>Accumulation</t>
        </is>
      </c>
      <c r="AY126" t="inlineStr">
        <is>
          <t>Residue</t>
        </is>
      </c>
      <c r="AZ126"/>
      <c r="BA126" t="inlineStr">
        <is>
          <t>Root</t>
        </is>
      </c>
      <c r="BB126"/>
      <c r="BC126" t="n">
        <v>0.3333</v>
      </c>
      <c r="BD126"/>
      <c r="BE126"/>
      <c r="BF126"/>
      <c r="BG126"/>
      <c r="BH126" t="inlineStr">
        <is>
          <t>Day(s)</t>
        </is>
      </c>
      <c r="BI126"/>
      <c r="BJ126"/>
      <c r="BK126"/>
      <c r="BL126"/>
      <c r="BM126"/>
      <c r="BN126"/>
      <c r="BO126" t="inlineStr">
        <is>
          <t>--</t>
        </is>
      </c>
      <c r="BP126"/>
      <c r="BQ126"/>
      <c r="BR126"/>
      <c r="BS126"/>
      <c r="BT126"/>
      <c r="BU126"/>
      <c r="BV126"/>
      <c r="BW126"/>
      <c r="BX126"/>
      <c r="BY126"/>
      <c r="BZ126"/>
      <c r="CA126"/>
      <c r="CB126"/>
      <c r="CC126"/>
      <c r="CD126" t="inlineStr">
        <is>
          <t>Wang,T.T., G.G. Ying, L.Y. He, Y.S. Liu, and J.L. Zhao</t>
        </is>
      </c>
      <c r="CE126" t="n">
        <v>184779.0</v>
      </c>
      <c r="CF126" t="inlineStr">
        <is>
          <t>Uptake Mechanism, Subcellular Distribution, and Uptake Process of Perfluorooctanoic Acid and Perfluorooctane Sulfonic Acid by Wetland Plant Alisma orientale</t>
        </is>
      </c>
      <c r="CG126" t="inlineStr">
        <is>
          <t>Sci. Total Environ.733:11 p.</t>
        </is>
      </c>
      <c r="CH126" t="n">
        <v>2020.0</v>
      </c>
      <c r="CI126"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127">
      <c r="A127" t="n">
        <v>1763231.0</v>
      </c>
      <c r="B127" t="inlineStr">
        <is>
          <t>1,1,2,2,3,3,4,4,5,5,6,6,7,7,8,8,8-Heptadecafluoro-1-octanesulfonic acid</t>
        </is>
      </c>
      <c r="C127"/>
      <c r="D127" t="inlineStr">
        <is>
          <t>Unmeasured</t>
        </is>
      </c>
      <c r="E127" t="inlineStr">
        <is>
          <t>&gt;=</t>
        </is>
      </c>
      <c r="F127" t="n">
        <v>95.0</v>
      </c>
      <c r="G127"/>
      <c r="H127"/>
      <c r="I127"/>
      <c r="J127"/>
      <c r="K127" t="inlineStr">
        <is>
          <t>Alisma plantagoaquatica ssp. orientale</t>
        </is>
      </c>
      <c r="L127" t="inlineStr">
        <is>
          <t>Asian Water Plantain</t>
        </is>
      </c>
      <c r="M127" t="inlineStr">
        <is>
          <t>Flowers, Trees, Shrubs, Ferns</t>
        </is>
      </c>
      <c r="N127" t="inlineStr">
        <is>
          <t>Seedling</t>
        </is>
      </c>
      <c r="O127"/>
      <c r="P127"/>
      <c r="Q127"/>
      <c r="R127"/>
      <c r="S127"/>
      <c r="T127"/>
      <c r="U127"/>
      <c r="V127" t="inlineStr">
        <is>
          <t>Static</t>
        </is>
      </c>
      <c r="W127" t="inlineStr">
        <is>
          <t>Fresh water</t>
        </is>
      </c>
      <c r="X127" t="inlineStr">
        <is>
          <t>Lab</t>
        </is>
      </c>
      <c r="Y127" t="n">
        <v>1.0</v>
      </c>
      <c r="Z127" t="inlineStr">
        <is>
          <t>Active ingredient</t>
        </is>
      </c>
      <c r="AA127"/>
      <c r="AB127" t="n">
        <v>1.0</v>
      </c>
      <c r="AC127"/>
      <c r="AD127"/>
      <c r="AE127"/>
      <c r="AF127"/>
      <c r="AG127" t="inlineStr">
        <is>
          <t>AI mg/L</t>
        </is>
      </c>
      <c r="AH127"/>
      <c r="AI127"/>
      <c r="AJ127"/>
      <c r="AK127"/>
      <c r="AL127"/>
      <c r="AM127"/>
      <c r="AN127"/>
      <c r="AO127"/>
      <c r="AP127"/>
      <c r="AQ127"/>
      <c r="AR127"/>
      <c r="AS127"/>
      <c r="AT127"/>
      <c r="AU127"/>
      <c r="AV127"/>
      <c r="AW127"/>
      <c r="AX127" t="inlineStr">
        <is>
          <t>Accumulation</t>
        </is>
      </c>
      <c r="AY127" t="inlineStr">
        <is>
          <t>Residue</t>
        </is>
      </c>
      <c r="AZ127"/>
      <c r="BA127" t="inlineStr">
        <is>
          <t>Root</t>
        </is>
      </c>
      <c r="BB127"/>
      <c r="BC127" t="n">
        <v>0.3333</v>
      </c>
      <c r="BD127"/>
      <c r="BE127"/>
      <c r="BF127"/>
      <c r="BG127"/>
      <c r="BH127" t="inlineStr">
        <is>
          <t>Day(s)</t>
        </is>
      </c>
      <c r="BI127"/>
      <c r="BJ127"/>
      <c r="BK127"/>
      <c r="BL127"/>
      <c r="BM127"/>
      <c r="BN127"/>
      <c r="BO127" t="inlineStr">
        <is>
          <t>--</t>
        </is>
      </c>
      <c r="BP127"/>
      <c r="BQ127"/>
      <c r="BR127"/>
      <c r="BS127"/>
      <c r="BT127"/>
      <c r="BU127"/>
      <c r="BV127"/>
      <c r="BW127"/>
      <c r="BX127"/>
      <c r="BY127"/>
      <c r="BZ127"/>
      <c r="CA127"/>
      <c r="CB127"/>
      <c r="CC127"/>
      <c r="CD127" t="inlineStr">
        <is>
          <t>Wang,T.T., G.G. Ying, L.Y. He, Y.S. Liu, and J.L. Zhao</t>
        </is>
      </c>
      <c r="CE127" t="n">
        <v>184779.0</v>
      </c>
      <c r="CF127" t="inlineStr">
        <is>
          <t>Uptake Mechanism, Subcellular Distribution, and Uptake Process of Perfluorooctanoic Acid and Perfluorooctane Sulfonic Acid by Wetland Plant Alisma orientale</t>
        </is>
      </c>
      <c r="CG127" t="inlineStr">
        <is>
          <t>Sci. Total Environ.733:11 p.</t>
        </is>
      </c>
      <c r="CH127" t="n">
        <v>2020.0</v>
      </c>
      <c r="CI127"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128">
      <c r="A128" t="n">
        <v>1763231.0</v>
      </c>
      <c r="B128" t="inlineStr">
        <is>
          <t>1,1,2,2,3,3,4,4,5,5,6,6,7,7,8,8,8-Heptadecafluoro-1-octanesulfonic acid</t>
        </is>
      </c>
      <c r="C128"/>
      <c r="D128" t="inlineStr">
        <is>
          <t>Unmeasured</t>
        </is>
      </c>
      <c r="E128" t="inlineStr">
        <is>
          <t>&gt;=</t>
        </is>
      </c>
      <c r="F128" t="n">
        <v>95.0</v>
      </c>
      <c r="G128"/>
      <c r="H128"/>
      <c r="I128"/>
      <c r="J128"/>
      <c r="K128" t="inlineStr">
        <is>
          <t>Alisma plantagoaquatica ssp. orientale</t>
        </is>
      </c>
      <c r="L128" t="inlineStr">
        <is>
          <t>Asian Water Plantain</t>
        </is>
      </c>
      <c r="M128" t="inlineStr">
        <is>
          <t>Flowers, Trees, Shrubs, Ferns</t>
        </is>
      </c>
      <c r="N128" t="inlineStr">
        <is>
          <t>Seedling</t>
        </is>
      </c>
      <c r="O128"/>
      <c r="P128"/>
      <c r="Q128"/>
      <c r="R128"/>
      <c r="S128"/>
      <c r="T128"/>
      <c r="U128"/>
      <c r="V128" t="inlineStr">
        <is>
          <t>Renewal</t>
        </is>
      </c>
      <c r="W128" t="inlineStr">
        <is>
          <t>Fresh water</t>
        </is>
      </c>
      <c r="X128" t="inlineStr">
        <is>
          <t>Lab</t>
        </is>
      </c>
      <c r="Y128" t="n">
        <v>1.0</v>
      </c>
      <c r="Z128" t="inlineStr">
        <is>
          <t>Active ingredient</t>
        </is>
      </c>
      <c r="AA128"/>
      <c r="AB128" t="n">
        <v>1.0</v>
      </c>
      <c r="AC128"/>
      <c r="AD128"/>
      <c r="AE128"/>
      <c r="AF128"/>
      <c r="AG128" t="inlineStr">
        <is>
          <t>AI mg/L</t>
        </is>
      </c>
      <c r="AH128"/>
      <c r="AI128"/>
      <c r="AJ128"/>
      <c r="AK128"/>
      <c r="AL128"/>
      <c r="AM128"/>
      <c r="AN128"/>
      <c r="AO128"/>
      <c r="AP128"/>
      <c r="AQ128"/>
      <c r="AR128"/>
      <c r="AS128"/>
      <c r="AT128"/>
      <c r="AU128"/>
      <c r="AV128"/>
      <c r="AW128"/>
      <c r="AX128" t="inlineStr">
        <is>
          <t>Accumulation</t>
        </is>
      </c>
      <c r="AY128" t="inlineStr">
        <is>
          <t>Residue</t>
        </is>
      </c>
      <c r="AZ128"/>
      <c r="BA128" t="inlineStr">
        <is>
          <t>Multiple entries</t>
        </is>
      </c>
      <c r="BB128"/>
      <c r="BC128"/>
      <c r="BD128"/>
      <c r="BE128" t="n">
        <v>0.5</v>
      </c>
      <c r="BF128"/>
      <c r="BG128" t="n">
        <v>16.0</v>
      </c>
      <c r="BH128" t="inlineStr">
        <is>
          <t>Day(s)</t>
        </is>
      </c>
      <c r="BI128"/>
      <c r="BJ128"/>
      <c r="BK128"/>
      <c r="BL128"/>
      <c r="BM128"/>
      <c r="BN128"/>
      <c r="BO128" t="inlineStr">
        <is>
          <t>--</t>
        </is>
      </c>
      <c r="BP128"/>
      <c r="BQ128"/>
      <c r="BR128"/>
      <c r="BS128"/>
      <c r="BT128"/>
      <c r="BU128"/>
      <c r="BV128"/>
      <c r="BW128"/>
      <c r="BX128"/>
      <c r="BY128"/>
      <c r="BZ128"/>
      <c r="CA128"/>
      <c r="CB128"/>
      <c r="CC128"/>
      <c r="CD128" t="inlineStr">
        <is>
          <t>Wang,T.T., G.G. Ying, L.Y. He, Y.S. Liu, and J.L. Zhao</t>
        </is>
      </c>
      <c r="CE128" t="n">
        <v>184779.0</v>
      </c>
      <c r="CF128" t="inlineStr">
        <is>
          <t>Uptake Mechanism, Subcellular Distribution, and Uptake Process of Perfluorooctanoic Acid and Perfluorooctane Sulfonic Acid by Wetland Plant Alisma orientale</t>
        </is>
      </c>
      <c r="CG128" t="inlineStr">
        <is>
          <t>Sci. Total Environ.733:11 p.</t>
        </is>
      </c>
      <c r="CH128" t="n">
        <v>2020.0</v>
      </c>
      <c r="CI128"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129">
      <c r="A129" t="n">
        <v>1763231.0</v>
      </c>
      <c r="B129" t="inlineStr">
        <is>
          <t>1,1,2,2,3,3,4,4,5,5,6,6,7,7,8,8,8-Heptadecafluoro-1-octanesulfonic acid</t>
        </is>
      </c>
      <c r="C129"/>
      <c r="D129" t="inlineStr">
        <is>
          <t>Unmeasured</t>
        </is>
      </c>
      <c r="E129" t="inlineStr">
        <is>
          <t>&gt;=</t>
        </is>
      </c>
      <c r="F129" t="n">
        <v>95.0</v>
      </c>
      <c r="G129"/>
      <c r="H129"/>
      <c r="I129"/>
      <c r="J129"/>
      <c r="K129" t="inlineStr">
        <is>
          <t>Alisma plantagoaquatica ssp. orientale</t>
        </is>
      </c>
      <c r="L129" t="inlineStr">
        <is>
          <t>Asian Water Plantain</t>
        </is>
      </c>
      <c r="M129" t="inlineStr">
        <is>
          <t>Flowers, Trees, Shrubs, Ferns</t>
        </is>
      </c>
      <c r="N129" t="inlineStr">
        <is>
          <t>Seedling</t>
        </is>
      </c>
      <c r="O129"/>
      <c r="P129"/>
      <c r="Q129"/>
      <c r="R129"/>
      <c r="S129"/>
      <c r="T129"/>
      <c r="U129"/>
      <c r="V129" t="inlineStr">
        <is>
          <t>Static</t>
        </is>
      </c>
      <c r="W129" t="inlineStr">
        <is>
          <t>Fresh water</t>
        </is>
      </c>
      <c r="X129" t="inlineStr">
        <is>
          <t>Lab</t>
        </is>
      </c>
      <c r="Y129" t="n">
        <v>1.0</v>
      </c>
      <c r="Z129" t="inlineStr">
        <is>
          <t>Active ingredient</t>
        </is>
      </c>
      <c r="AA129"/>
      <c r="AB129" t="n">
        <v>1.0</v>
      </c>
      <c r="AC129"/>
      <c r="AD129"/>
      <c r="AE129"/>
      <c r="AF129"/>
      <c r="AG129" t="inlineStr">
        <is>
          <t>AI mg/L</t>
        </is>
      </c>
      <c r="AH129"/>
      <c r="AI129"/>
      <c r="AJ129"/>
      <c r="AK129"/>
      <c r="AL129"/>
      <c r="AM129"/>
      <c r="AN129"/>
      <c r="AO129"/>
      <c r="AP129"/>
      <c r="AQ129"/>
      <c r="AR129"/>
      <c r="AS129"/>
      <c r="AT129"/>
      <c r="AU129"/>
      <c r="AV129"/>
      <c r="AW129"/>
      <c r="AX129" t="inlineStr">
        <is>
          <t>Accumulation</t>
        </is>
      </c>
      <c r="AY129" t="inlineStr">
        <is>
          <t>Uptake</t>
        </is>
      </c>
      <c r="AZ129"/>
      <c r="BA129" t="inlineStr">
        <is>
          <t>Multiple entries</t>
        </is>
      </c>
      <c r="BB129"/>
      <c r="BC129"/>
      <c r="BD129"/>
      <c r="BE129" t="n">
        <v>0.0833</v>
      </c>
      <c r="BF129"/>
      <c r="BG129" t="n">
        <v>5.0</v>
      </c>
      <c r="BH129" t="inlineStr">
        <is>
          <t>Day(s)</t>
        </is>
      </c>
      <c r="BI129"/>
      <c r="BJ129"/>
      <c r="BK129"/>
      <c r="BL129"/>
      <c r="BM129"/>
      <c r="BN129"/>
      <c r="BO129" t="inlineStr">
        <is>
          <t>--</t>
        </is>
      </c>
      <c r="BP129"/>
      <c r="BQ129"/>
      <c r="BR129"/>
      <c r="BS129"/>
      <c r="BT129"/>
      <c r="BU129"/>
      <c r="BV129"/>
      <c r="BW129"/>
      <c r="BX129"/>
      <c r="BY129"/>
      <c r="BZ129"/>
      <c r="CA129"/>
      <c r="CB129"/>
      <c r="CC129"/>
      <c r="CD129" t="inlineStr">
        <is>
          <t>Wang,T.T., G.G. Ying, L.Y. He, Y.S. Liu, and J.L. Zhao</t>
        </is>
      </c>
      <c r="CE129" t="n">
        <v>184779.0</v>
      </c>
      <c r="CF129" t="inlineStr">
        <is>
          <t>Uptake Mechanism, Subcellular Distribution, and Uptake Process of Perfluorooctanoic Acid and Perfluorooctane Sulfonic Acid by Wetland Plant Alisma orientale</t>
        </is>
      </c>
      <c r="CG129" t="inlineStr">
        <is>
          <t>Sci. Total Environ.733:11 p.</t>
        </is>
      </c>
      <c r="CH129" t="n">
        <v>2020.0</v>
      </c>
      <c r="CI129"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row>
    <row r="130">
      <c r="A130" t="n">
        <v>1763231.0</v>
      </c>
      <c r="B130" t="inlineStr">
        <is>
          <t>1,1,2,2,3,3,4,4,5,5,6,6,7,7,8,8,8-Heptadecafluoro-1-octanesulfonic acid</t>
        </is>
      </c>
      <c r="C130"/>
      <c r="D130" t="inlineStr">
        <is>
          <t>Measured</t>
        </is>
      </c>
      <c r="E130" t="inlineStr">
        <is>
          <t>&gt;=</t>
        </is>
      </c>
      <c r="F130" t="n">
        <v>95.0</v>
      </c>
      <c r="G130"/>
      <c r="H130"/>
      <c r="I130"/>
      <c r="J130"/>
      <c r="K130" t="inlineStr">
        <is>
          <t>Lemna minor</t>
        </is>
      </c>
      <c r="L130" t="inlineStr">
        <is>
          <t>Duckweed</t>
        </is>
      </c>
      <c r="M130" t="inlineStr">
        <is>
          <t>Flowers, Trees, Shrubs, Ferns; Standard Test Species; U.S. Invasive Species</t>
        </is>
      </c>
      <c r="N130"/>
      <c r="O130"/>
      <c r="P130"/>
      <c r="Q130"/>
      <c r="R130"/>
      <c r="S130"/>
      <c r="T130"/>
      <c r="U130"/>
      <c r="V130" t="inlineStr">
        <is>
          <t>Static</t>
        </is>
      </c>
      <c r="W130" t="inlineStr">
        <is>
          <t>Culture</t>
        </is>
      </c>
      <c r="X130" t="inlineStr">
        <is>
          <t>Lab</t>
        </is>
      </c>
      <c r="Y130" t="n">
        <v>4.0</v>
      </c>
      <c r="Z130" t="inlineStr">
        <is>
          <t>Active ingredient</t>
        </is>
      </c>
      <c r="AA130"/>
      <c r="AB130"/>
      <c r="AC130"/>
      <c r="AD130" t="n">
        <v>0.001</v>
      </c>
      <c r="AE130"/>
      <c r="AF130" t="n">
        <v>9.859</v>
      </c>
      <c r="AG130" t="inlineStr">
        <is>
          <t>AI mg/L</t>
        </is>
      </c>
      <c r="AH130"/>
      <c r="AI130"/>
      <c r="AJ130"/>
      <c r="AK130"/>
      <c r="AL130"/>
      <c r="AM130"/>
      <c r="AN130"/>
      <c r="AO130"/>
      <c r="AP130"/>
      <c r="AQ130"/>
      <c r="AR130"/>
      <c r="AS130"/>
      <c r="AT130"/>
      <c r="AU130"/>
      <c r="AV130"/>
      <c r="AW130"/>
      <c r="AX130" t="inlineStr">
        <is>
          <t>Accumulation</t>
        </is>
      </c>
      <c r="AY130" t="inlineStr">
        <is>
          <t>Residue</t>
        </is>
      </c>
      <c r="AZ130"/>
      <c r="BA130" t="inlineStr">
        <is>
          <t>Whole organism</t>
        </is>
      </c>
      <c r="BB130"/>
      <c r="BC130" t="n">
        <v>4.0</v>
      </c>
      <c r="BD130"/>
      <c r="BE130"/>
      <c r="BF130"/>
      <c r="BG130"/>
      <c r="BH130" t="inlineStr">
        <is>
          <t>Day(s)</t>
        </is>
      </c>
      <c r="BI130"/>
      <c r="BJ130"/>
      <c r="BK130"/>
      <c r="BL130"/>
      <c r="BM130"/>
      <c r="BN130"/>
      <c r="BO130" t="inlineStr">
        <is>
          <t>--</t>
        </is>
      </c>
      <c r="BP130"/>
      <c r="BQ130"/>
      <c r="BR130"/>
      <c r="BS130"/>
      <c r="BT130"/>
      <c r="BU130"/>
      <c r="BV130"/>
      <c r="BW130"/>
      <c r="BX130"/>
      <c r="BY130"/>
      <c r="BZ130"/>
      <c r="CA130"/>
      <c r="CB130"/>
      <c r="CC130"/>
      <c r="CD130" t="inlineStr">
        <is>
          <t>Wu,Y., Q. Xiong, B. Wang, Y. Liu, P. Zhou, L. Hu, F. Liu, and G. Ying</t>
        </is>
      </c>
      <c r="CE130" t="n">
        <v>191130.0</v>
      </c>
      <c r="CF130" t="inlineStr">
        <is>
          <t>Screening of Structural and Functional Alterations in Duckweed (Lemna minor) Induced by Per- and Polyfluoroalkyl Substances (PFASs) with FTIR Spectroscopy</t>
        </is>
      </c>
      <c r="CG130" t="inlineStr">
        <is>
          <t>Environ. Pollut.317:10 p.</t>
        </is>
      </c>
      <c r="CH130" t="n">
        <v>2023.0</v>
      </c>
      <c r="CI130" t="inlineStr">
        <is>
          <t>Wu,Y., Q. Xiong, B. Wang, Y. Liu, P. Zhou, L. Hu, F. Liu, and G. Ying (2023). Screening of Structural and Functional Alterations in Duckweed (Lemna minor) Induced by Per- and Polyfluoroalkyl Substances (PFASs) with FTIR Spectroscopy. Environ. Pollut., 317, 10 p. doi:10.1016/j.envpol.2022.120671. ECOREF#:191130</t>
        </is>
      </c>
    </row>
    <row r="131">
      <c r="A131" t="n">
        <v>1763231.0</v>
      </c>
      <c r="B131" t="inlineStr">
        <is>
          <t>1,1,2,2,3,3,4,4,5,5,6,6,7,7,8,8,8-Heptadecafluoro-1-octanesulfonic acid</t>
        </is>
      </c>
      <c r="C131" t="inlineStr">
        <is>
          <t>Standard</t>
        </is>
      </c>
      <c r="D131" t="inlineStr">
        <is>
          <t>Measured</t>
        </is>
      </c>
      <c r="E131" t="inlineStr">
        <is>
          <t>&gt;=</t>
        </is>
      </c>
      <c r="F131" t="n">
        <v>95.0</v>
      </c>
      <c r="G131"/>
      <c r="H131"/>
      <c r="I131"/>
      <c r="J131"/>
      <c r="K131" t="inlineStr">
        <is>
          <t>Eichhornia crassipes</t>
        </is>
      </c>
      <c r="L131" t="inlineStr">
        <is>
          <t>Water-Hyacinth</t>
        </is>
      </c>
      <c r="M131" t="inlineStr">
        <is>
          <t>Flowers, Trees, Shrubs, Ferns; U.S. Invasive Species</t>
        </is>
      </c>
      <c r="N131" t="inlineStr">
        <is>
          <t>Seedling</t>
        </is>
      </c>
      <c r="O131" t="inlineStr">
        <is>
          <t>~</t>
        </is>
      </c>
      <c r="P131" t="n">
        <v>2.0</v>
      </c>
      <c r="Q131"/>
      <c r="R131"/>
      <c r="S131"/>
      <c r="T131"/>
      <c r="U131" t="inlineStr">
        <is>
          <t>Month(s)</t>
        </is>
      </c>
      <c r="V131" t="inlineStr">
        <is>
          <t>Static</t>
        </is>
      </c>
      <c r="W131" t="inlineStr">
        <is>
          <t>Culture</t>
        </is>
      </c>
      <c r="X131" t="inlineStr">
        <is>
          <t>Lab</t>
        </is>
      </c>
      <c r="Y131" t="n">
        <v>2.0</v>
      </c>
      <c r="Z131" t="inlineStr">
        <is>
          <t>Active ingredient</t>
        </is>
      </c>
      <c r="AA131"/>
      <c r="AB131"/>
      <c r="AC131" t="inlineStr">
        <is>
          <t>&gt;</t>
        </is>
      </c>
      <c r="AD131" t="n">
        <v>0.002</v>
      </c>
      <c r="AE131" t="inlineStr">
        <is>
          <t>&lt;</t>
        </is>
      </c>
      <c r="AF131" t="n">
        <v>0.003</v>
      </c>
      <c r="AG131" t="inlineStr">
        <is>
          <t>AI mg/L</t>
        </is>
      </c>
      <c r="AH131"/>
      <c r="AI131"/>
      <c r="AJ131"/>
      <c r="AK131"/>
      <c r="AL131"/>
      <c r="AM131"/>
      <c r="AN131"/>
      <c r="AO131"/>
      <c r="AP131"/>
      <c r="AQ131"/>
      <c r="AR131"/>
      <c r="AS131"/>
      <c r="AT131"/>
      <c r="AU131"/>
      <c r="AV131"/>
      <c r="AW131"/>
      <c r="AX131" t="inlineStr">
        <is>
          <t>Accumulation</t>
        </is>
      </c>
      <c r="AY131" t="inlineStr">
        <is>
          <t>Residue</t>
        </is>
      </c>
      <c r="AZ131"/>
      <c r="BA131" t="inlineStr">
        <is>
          <t>Multiple entries</t>
        </is>
      </c>
      <c r="BB131"/>
      <c r="BC131" t="n">
        <v>14.0</v>
      </c>
      <c r="BD131"/>
      <c r="BE131"/>
      <c r="BF131"/>
      <c r="BG131"/>
      <c r="BH131" t="inlineStr">
        <is>
          <t>Day(s)</t>
        </is>
      </c>
      <c r="BI131"/>
      <c r="BJ131"/>
      <c r="BK131"/>
      <c r="BL131"/>
      <c r="BM131"/>
      <c r="BN131"/>
      <c r="BO131" t="inlineStr">
        <is>
          <t>--</t>
        </is>
      </c>
      <c r="BP131"/>
      <c r="BQ131"/>
      <c r="BR131"/>
      <c r="BS131"/>
      <c r="BT131"/>
      <c r="BU131"/>
      <c r="BV131"/>
      <c r="BW131"/>
      <c r="BX131"/>
      <c r="BY131"/>
      <c r="BZ131"/>
      <c r="CA131"/>
      <c r="CB131"/>
      <c r="CC131"/>
      <c r="CD131" t="inlineStr">
        <is>
          <t>Chen,Z.W., Z.L. Hua, and P. Guo</t>
        </is>
      </c>
      <c r="CE131" t="n">
        <v>193622.0</v>
      </c>
      <c r="CF131" t="inlineStr">
        <is>
          <t>The Bioaccumulation and Ecotoxicity of Co-Exposure of Per(Poly)Fluoroalkyl Substances and Polystyrene Microplastics to Eichhornia crassipes</t>
        </is>
      </c>
      <c r="CG131" t="inlineStr">
        <is>
          <t>Water Res.260:16 p.</t>
        </is>
      </c>
      <c r="CH131" t="n">
        <v>2024.0</v>
      </c>
      <c r="CI131" t="inlineStr">
        <is>
          <t>Chen,Z.W., Z.L. Hua, and P. Guo (2024). The Bioaccumulation and Ecotoxicity of Co-Exposure of Per(Poly)Fluoroalkyl Substances and Polystyrene Microplastics to Eichhornia crassipes. Water Res., 260, 16 p. doi:10.1016/j.watres.2024.121878. ECOREF#:193622</t>
        </is>
      </c>
    </row>
    <row r="132">
      <c r="A132" t="n">
        <v>1763231.0</v>
      </c>
      <c r="B132" t="inlineStr">
        <is>
          <t>1,1,2,2,3,3,4,4,5,5,6,6,7,7,8,8,8-Heptadecafluoro-1-octanesulfonic acid</t>
        </is>
      </c>
      <c r="C132"/>
      <c r="D132" t="inlineStr">
        <is>
          <t>Measured</t>
        </is>
      </c>
      <c r="E132"/>
      <c r="F132" t="n">
        <v>98.0</v>
      </c>
      <c r="G132"/>
      <c r="H132"/>
      <c r="I132"/>
      <c r="J132"/>
      <c r="K132" t="inlineStr">
        <is>
          <t>Chironomus plumosus</t>
        </is>
      </c>
      <c r="L132" t="inlineStr">
        <is>
          <t>Midge</t>
        </is>
      </c>
      <c r="M132" t="inlineStr">
        <is>
          <t>Insects/Spiders</t>
        </is>
      </c>
      <c r="N132" t="inlineStr">
        <is>
          <t>Larva</t>
        </is>
      </c>
      <c r="O132"/>
      <c r="P132"/>
      <c r="Q132"/>
      <c r="R132" t="n">
        <v>3.0</v>
      </c>
      <c r="S132"/>
      <c r="T132" t="n">
        <v>4.0</v>
      </c>
      <c r="U132" t="inlineStr">
        <is>
          <t>Instantaneous</t>
        </is>
      </c>
      <c r="V132" t="inlineStr">
        <is>
          <t>Static</t>
        </is>
      </c>
      <c r="W132" t="inlineStr">
        <is>
          <t>Fresh water</t>
        </is>
      </c>
      <c r="X132" t="inlineStr">
        <is>
          <t>Lab</t>
        </is>
      </c>
      <c r="Y132" t="n">
        <v>2.0</v>
      </c>
      <c r="Z132" t="inlineStr">
        <is>
          <t>Active ingredient</t>
        </is>
      </c>
      <c r="AA132"/>
      <c r="AB132" t="n">
        <v>0.00987</v>
      </c>
      <c r="AC132"/>
      <c r="AD132"/>
      <c r="AE132"/>
      <c r="AF132"/>
      <c r="AG132" t="inlineStr">
        <is>
          <t>AI mg/L</t>
        </is>
      </c>
      <c r="AH132"/>
      <c r="AI132"/>
      <c r="AJ132"/>
      <c r="AK132"/>
      <c r="AL132"/>
      <c r="AM132"/>
      <c r="AN132"/>
      <c r="AO132"/>
      <c r="AP132"/>
      <c r="AQ132"/>
      <c r="AR132"/>
      <c r="AS132"/>
      <c r="AT132"/>
      <c r="AU132"/>
      <c r="AV132"/>
      <c r="AW132"/>
      <c r="AX132" t="inlineStr">
        <is>
          <t>Accumulation</t>
        </is>
      </c>
      <c r="AY132" t="inlineStr">
        <is>
          <t>Residue</t>
        </is>
      </c>
      <c r="AZ132"/>
      <c r="BA132" t="inlineStr">
        <is>
          <t>Whole organism</t>
        </is>
      </c>
      <c r="BB132"/>
      <c r="BC132" t="n">
        <v>10.33</v>
      </c>
      <c r="BD132"/>
      <c r="BE132"/>
      <c r="BF132"/>
      <c r="BG132"/>
      <c r="BH132" t="inlineStr">
        <is>
          <t>Day(s)</t>
        </is>
      </c>
      <c r="BI132"/>
      <c r="BJ132"/>
      <c r="BK132"/>
      <c r="BL132"/>
      <c r="BM132"/>
      <c r="BN132"/>
      <c r="BO132" t="inlineStr">
        <is>
          <t>--</t>
        </is>
      </c>
      <c r="BP132"/>
      <c r="BQ132"/>
      <c r="BR132"/>
      <c r="BS132"/>
      <c r="BT132"/>
      <c r="BU132"/>
      <c r="BV132"/>
      <c r="BW132"/>
      <c r="BX132"/>
      <c r="BY132"/>
      <c r="BZ132"/>
      <c r="CA132"/>
      <c r="CB132"/>
      <c r="CC132"/>
      <c r="CD132" t="inlineStr">
        <is>
          <t>Zhai,Y., X. Xia, X. Zhao, H. Dong, B. Zhu, N. Xia, and J. Dong</t>
        </is>
      </c>
      <c r="CE132" t="n">
        <v>177074.0</v>
      </c>
      <c r="CF132" t="inlineStr">
        <is>
          <t>Role of Ingestion Route in the Perfluoroalkyl Substance Bioaccumulation by Chironomus plumosus Larvae in Sediments Amended with Carbonaceous Materials</t>
        </is>
      </c>
      <c r="CG132" t="inlineStr">
        <is>
          <t>J. Hazard. Mater.302:404-414</t>
        </is>
      </c>
      <c r="CH132" t="n">
        <v>2016.0</v>
      </c>
      <c r="CI132"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33">
      <c r="A133" t="n">
        <v>1763231.0</v>
      </c>
      <c r="B133" t="inlineStr">
        <is>
          <t>1,1,2,2,3,3,4,4,5,5,6,6,7,7,8,8,8-Heptadecafluoro-1-octanesulfonic acid</t>
        </is>
      </c>
      <c r="C133"/>
      <c r="D133" t="inlineStr">
        <is>
          <t>Measured</t>
        </is>
      </c>
      <c r="E133"/>
      <c r="F133" t="n">
        <v>98.0</v>
      </c>
      <c r="G133"/>
      <c r="H133"/>
      <c r="I133"/>
      <c r="J133"/>
      <c r="K133" t="inlineStr">
        <is>
          <t>Chironomus plumosus</t>
        </is>
      </c>
      <c r="L133" t="inlineStr">
        <is>
          <t>Midge</t>
        </is>
      </c>
      <c r="M133" t="inlineStr">
        <is>
          <t>Insects/Spiders</t>
        </is>
      </c>
      <c r="N133" t="inlineStr">
        <is>
          <t>Larva</t>
        </is>
      </c>
      <c r="O133"/>
      <c r="P133"/>
      <c r="Q133"/>
      <c r="R133" t="n">
        <v>3.0</v>
      </c>
      <c r="S133"/>
      <c r="T133" t="n">
        <v>4.0</v>
      </c>
      <c r="U133" t="inlineStr">
        <is>
          <t>Instantaneous</t>
        </is>
      </c>
      <c r="V133" t="inlineStr">
        <is>
          <t>Static</t>
        </is>
      </c>
      <c r="W133" t="inlineStr">
        <is>
          <t>Fresh water</t>
        </is>
      </c>
      <c r="X133" t="inlineStr">
        <is>
          <t>Lab</t>
        </is>
      </c>
      <c r="Y133" t="n">
        <v>2.0</v>
      </c>
      <c r="Z133" t="inlineStr">
        <is>
          <t>Active ingredient</t>
        </is>
      </c>
      <c r="AA133"/>
      <c r="AB133" t="n">
        <v>0.00987</v>
      </c>
      <c r="AC133"/>
      <c r="AD133"/>
      <c r="AE133"/>
      <c r="AF133"/>
      <c r="AG133" t="inlineStr">
        <is>
          <t>AI mg/L</t>
        </is>
      </c>
      <c r="AH133"/>
      <c r="AI133"/>
      <c r="AJ133"/>
      <c r="AK133"/>
      <c r="AL133"/>
      <c r="AM133"/>
      <c r="AN133"/>
      <c r="AO133"/>
      <c r="AP133"/>
      <c r="AQ133"/>
      <c r="AR133"/>
      <c r="AS133"/>
      <c r="AT133"/>
      <c r="AU133"/>
      <c r="AV133"/>
      <c r="AW133"/>
      <c r="AX133" t="inlineStr">
        <is>
          <t>Accumulation</t>
        </is>
      </c>
      <c r="AY133" t="inlineStr">
        <is>
          <t>Residue</t>
        </is>
      </c>
      <c r="AZ133"/>
      <c r="BA133" t="inlineStr">
        <is>
          <t>Whole organism</t>
        </is>
      </c>
      <c r="BB133"/>
      <c r="BC133" t="n">
        <v>10.33</v>
      </c>
      <c r="BD133"/>
      <c r="BE133"/>
      <c r="BF133"/>
      <c r="BG133"/>
      <c r="BH133" t="inlineStr">
        <is>
          <t>Day(s)</t>
        </is>
      </c>
      <c r="BI133"/>
      <c r="BJ133"/>
      <c r="BK133"/>
      <c r="BL133"/>
      <c r="BM133"/>
      <c r="BN133"/>
      <c r="BO133" t="inlineStr">
        <is>
          <t>--</t>
        </is>
      </c>
      <c r="BP133"/>
      <c r="BQ133"/>
      <c r="BR133"/>
      <c r="BS133"/>
      <c r="BT133"/>
      <c r="BU133"/>
      <c r="BV133"/>
      <c r="BW133"/>
      <c r="BX133"/>
      <c r="BY133"/>
      <c r="BZ133"/>
      <c r="CA133"/>
      <c r="CB133"/>
      <c r="CC133"/>
      <c r="CD133" t="inlineStr">
        <is>
          <t>Zhai,Y., X. Xia, X. Zhao, H. Dong, B. Zhu, N. Xia, and J. Dong</t>
        </is>
      </c>
      <c r="CE133" t="n">
        <v>177074.0</v>
      </c>
      <c r="CF133" t="inlineStr">
        <is>
          <t>Role of Ingestion Route in the Perfluoroalkyl Substance Bioaccumulation by Chironomus plumosus Larvae in Sediments Amended with Carbonaceous Materials</t>
        </is>
      </c>
      <c r="CG133" t="inlineStr">
        <is>
          <t>J. Hazard. Mater.302:404-414</t>
        </is>
      </c>
      <c r="CH133" t="n">
        <v>2016.0</v>
      </c>
      <c r="CI133"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34">
      <c r="A134" t="n">
        <v>1763231.0</v>
      </c>
      <c r="B134" t="inlineStr">
        <is>
          <t>1,1,2,2,3,3,4,4,5,5,6,6,7,7,8,8,8-Heptadecafluoro-1-octanesulfonic acid</t>
        </is>
      </c>
      <c r="C134"/>
      <c r="D134" t="inlineStr">
        <is>
          <t>Measured</t>
        </is>
      </c>
      <c r="E134"/>
      <c r="F134" t="n">
        <v>98.0</v>
      </c>
      <c r="G134"/>
      <c r="H134"/>
      <c r="I134"/>
      <c r="J134"/>
      <c r="K134" t="inlineStr">
        <is>
          <t>Chironomus plumosus</t>
        </is>
      </c>
      <c r="L134" t="inlineStr">
        <is>
          <t>Midge</t>
        </is>
      </c>
      <c r="M134" t="inlineStr">
        <is>
          <t>Insects/Spiders</t>
        </is>
      </c>
      <c r="N134" t="inlineStr">
        <is>
          <t>Larva</t>
        </is>
      </c>
      <c r="O134"/>
      <c r="P134"/>
      <c r="Q134"/>
      <c r="R134" t="n">
        <v>3.0</v>
      </c>
      <c r="S134"/>
      <c r="T134" t="n">
        <v>4.0</v>
      </c>
      <c r="U134" t="inlineStr">
        <is>
          <t>Instantaneous</t>
        </is>
      </c>
      <c r="V134" t="inlineStr">
        <is>
          <t>Static</t>
        </is>
      </c>
      <c r="W134" t="inlineStr">
        <is>
          <t>Fresh water</t>
        </is>
      </c>
      <c r="X134" t="inlineStr">
        <is>
          <t>Lab</t>
        </is>
      </c>
      <c r="Y134" t="n">
        <v>2.0</v>
      </c>
      <c r="Z134" t="inlineStr">
        <is>
          <t>Active ingredient</t>
        </is>
      </c>
      <c r="AA134"/>
      <c r="AB134" t="n">
        <v>0.00985</v>
      </c>
      <c r="AC134"/>
      <c r="AD134"/>
      <c r="AE134"/>
      <c r="AF134"/>
      <c r="AG134" t="inlineStr">
        <is>
          <t>AI mg/L</t>
        </is>
      </c>
      <c r="AH134"/>
      <c r="AI134"/>
      <c r="AJ134"/>
      <c r="AK134"/>
      <c r="AL134"/>
      <c r="AM134"/>
      <c r="AN134"/>
      <c r="AO134"/>
      <c r="AP134"/>
      <c r="AQ134"/>
      <c r="AR134"/>
      <c r="AS134"/>
      <c r="AT134"/>
      <c r="AU134"/>
      <c r="AV134"/>
      <c r="AW134"/>
      <c r="AX134" t="inlineStr">
        <is>
          <t>Accumulation</t>
        </is>
      </c>
      <c r="AY134" t="inlineStr">
        <is>
          <t>Residue</t>
        </is>
      </c>
      <c r="AZ134"/>
      <c r="BA134" t="inlineStr">
        <is>
          <t>Whole organism</t>
        </is>
      </c>
      <c r="BB134"/>
      <c r="BC134" t="n">
        <v>10.33</v>
      </c>
      <c r="BD134"/>
      <c r="BE134"/>
      <c r="BF134"/>
      <c r="BG134"/>
      <c r="BH134" t="inlineStr">
        <is>
          <t>Day(s)</t>
        </is>
      </c>
      <c r="BI134"/>
      <c r="BJ134"/>
      <c r="BK134"/>
      <c r="BL134"/>
      <c r="BM134"/>
      <c r="BN134"/>
      <c r="BO134" t="inlineStr">
        <is>
          <t>--</t>
        </is>
      </c>
      <c r="BP134"/>
      <c r="BQ134"/>
      <c r="BR134"/>
      <c r="BS134"/>
      <c r="BT134"/>
      <c r="BU134"/>
      <c r="BV134"/>
      <c r="BW134"/>
      <c r="BX134"/>
      <c r="BY134"/>
      <c r="BZ134"/>
      <c r="CA134"/>
      <c r="CB134"/>
      <c r="CC134"/>
      <c r="CD134" t="inlineStr">
        <is>
          <t>Zhai,Y., X. Xia, X. Zhao, H. Dong, B. Zhu, N. Xia, and J. Dong</t>
        </is>
      </c>
      <c r="CE134" t="n">
        <v>177074.0</v>
      </c>
      <c r="CF134" t="inlineStr">
        <is>
          <t>Role of Ingestion Route in the Perfluoroalkyl Substance Bioaccumulation by Chironomus plumosus Larvae in Sediments Amended with Carbonaceous Materials</t>
        </is>
      </c>
      <c r="CG134" t="inlineStr">
        <is>
          <t>J. Hazard. Mater.302:404-414</t>
        </is>
      </c>
      <c r="CH134" t="n">
        <v>2016.0</v>
      </c>
      <c r="CI134"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35">
      <c r="A135" t="n">
        <v>1763231.0</v>
      </c>
      <c r="B135" t="inlineStr">
        <is>
          <t>1,1,2,2,3,3,4,4,5,5,6,6,7,7,8,8,8-Heptadecafluoro-1-octanesulfonic acid</t>
        </is>
      </c>
      <c r="C135"/>
      <c r="D135" t="inlineStr">
        <is>
          <t>Measured</t>
        </is>
      </c>
      <c r="E135"/>
      <c r="F135" t="n">
        <v>98.0</v>
      </c>
      <c r="G135"/>
      <c r="H135"/>
      <c r="I135"/>
      <c r="J135"/>
      <c r="K135" t="inlineStr">
        <is>
          <t>Chironomus plumosus</t>
        </is>
      </c>
      <c r="L135" t="inlineStr">
        <is>
          <t>Midge</t>
        </is>
      </c>
      <c r="M135" t="inlineStr">
        <is>
          <t>Insects/Spiders</t>
        </is>
      </c>
      <c r="N135" t="inlineStr">
        <is>
          <t>Larva</t>
        </is>
      </c>
      <c r="O135"/>
      <c r="P135"/>
      <c r="Q135"/>
      <c r="R135" t="n">
        <v>3.0</v>
      </c>
      <c r="S135"/>
      <c r="T135" t="n">
        <v>4.0</v>
      </c>
      <c r="U135" t="inlineStr">
        <is>
          <t>Instantaneous</t>
        </is>
      </c>
      <c r="V135" t="inlineStr">
        <is>
          <t>Static</t>
        </is>
      </c>
      <c r="W135" t="inlineStr">
        <is>
          <t>Fresh water</t>
        </is>
      </c>
      <c r="X135" t="inlineStr">
        <is>
          <t>Lab</t>
        </is>
      </c>
      <c r="Y135" t="n">
        <v>2.0</v>
      </c>
      <c r="Z135" t="inlineStr">
        <is>
          <t>Active ingredient</t>
        </is>
      </c>
      <c r="AA135"/>
      <c r="AB135" t="n">
        <v>0.00985</v>
      </c>
      <c r="AC135"/>
      <c r="AD135"/>
      <c r="AE135"/>
      <c r="AF135"/>
      <c r="AG135" t="inlineStr">
        <is>
          <t>AI mg/L</t>
        </is>
      </c>
      <c r="AH135"/>
      <c r="AI135"/>
      <c r="AJ135"/>
      <c r="AK135"/>
      <c r="AL135"/>
      <c r="AM135"/>
      <c r="AN135"/>
      <c r="AO135"/>
      <c r="AP135"/>
      <c r="AQ135"/>
      <c r="AR135"/>
      <c r="AS135"/>
      <c r="AT135"/>
      <c r="AU135"/>
      <c r="AV135"/>
      <c r="AW135"/>
      <c r="AX135" t="inlineStr">
        <is>
          <t>Accumulation</t>
        </is>
      </c>
      <c r="AY135" t="inlineStr">
        <is>
          <t>Residue</t>
        </is>
      </c>
      <c r="AZ135"/>
      <c r="BA135" t="inlineStr">
        <is>
          <t>Whole organism</t>
        </is>
      </c>
      <c r="BB135"/>
      <c r="BC135" t="n">
        <v>10.33</v>
      </c>
      <c r="BD135"/>
      <c r="BE135"/>
      <c r="BF135"/>
      <c r="BG135"/>
      <c r="BH135" t="inlineStr">
        <is>
          <t>Day(s)</t>
        </is>
      </c>
      <c r="BI135"/>
      <c r="BJ135"/>
      <c r="BK135"/>
      <c r="BL135"/>
      <c r="BM135"/>
      <c r="BN135"/>
      <c r="BO135" t="inlineStr">
        <is>
          <t>--</t>
        </is>
      </c>
      <c r="BP135"/>
      <c r="BQ135"/>
      <c r="BR135"/>
      <c r="BS135"/>
      <c r="BT135"/>
      <c r="BU135"/>
      <c r="BV135"/>
      <c r="BW135"/>
      <c r="BX135"/>
      <c r="BY135"/>
      <c r="BZ135"/>
      <c r="CA135"/>
      <c r="CB135"/>
      <c r="CC135"/>
      <c r="CD135" t="inlineStr">
        <is>
          <t>Zhai,Y., X. Xia, X. Zhao, H. Dong, B. Zhu, N. Xia, and J. Dong</t>
        </is>
      </c>
      <c r="CE135" t="n">
        <v>177074.0</v>
      </c>
      <c r="CF135" t="inlineStr">
        <is>
          <t>Role of Ingestion Route in the Perfluoroalkyl Substance Bioaccumulation by Chironomus plumosus Larvae in Sediments Amended with Carbonaceous Materials</t>
        </is>
      </c>
      <c r="CG135" t="inlineStr">
        <is>
          <t>J. Hazard. Mater.302:404-414</t>
        </is>
      </c>
      <c r="CH135" t="n">
        <v>2016.0</v>
      </c>
      <c r="CI135"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36">
      <c r="A136" t="n">
        <v>1763231.0</v>
      </c>
      <c r="B136" t="inlineStr">
        <is>
          <t>1,1,2,2,3,3,4,4,5,5,6,6,7,7,8,8,8-Heptadecafluoro-1-octanesulfonic acid</t>
        </is>
      </c>
      <c r="C136"/>
      <c r="D136" t="inlineStr">
        <is>
          <t>Measured</t>
        </is>
      </c>
      <c r="E136"/>
      <c r="F136" t="n">
        <v>98.0</v>
      </c>
      <c r="G136"/>
      <c r="H136"/>
      <c r="I136"/>
      <c r="J136"/>
      <c r="K136" t="inlineStr">
        <is>
          <t>Chironomus plumosus</t>
        </is>
      </c>
      <c r="L136" t="inlineStr">
        <is>
          <t>Midge</t>
        </is>
      </c>
      <c r="M136" t="inlineStr">
        <is>
          <t>Insects/Spiders</t>
        </is>
      </c>
      <c r="N136" t="inlineStr">
        <is>
          <t>Larva</t>
        </is>
      </c>
      <c r="O136"/>
      <c r="P136"/>
      <c r="Q136"/>
      <c r="R136" t="n">
        <v>3.0</v>
      </c>
      <c r="S136"/>
      <c r="T136" t="n">
        <v>4.0</v>
      </c>
      <c r="U136" t="inlineStr">
        <is>
          <t>Instantaneous</t>
        </is>
      </c>
      <c r="V136" t="inlineStr">
        <is>
          <t>Static</t>
        </is>
      </c>
      <c r="W136" t="inlineStr">
        <is>
          <t>Fresh water</t>
        </is>
      </c>
      <c r="X136" t="inlineStr">
        <is>
          <t>Lab</t>
        </is>
      </c>
      <c r="Y136" t="n">
        <v>2.0</v>
      </c>
      <c r="Z136" t="inlineStr">
        <is>
          <t>Active ingredient</t>
        </is>
      </c>
      <c r="AA136"/>
      <c r="AB136" t="n">
        <v>0.00987</v>
      </c>
      <c r="AC136"/>
      <c r="AD136"/>
      <c r="AE136"/>
      <c r="AF136"/>
      <c r="AG136" t="inlineStr">
        <is>
          <t>AI mg/L</t>
        </is>
      </c>
      <c r="AH136"/>
      <c r="AI136"/>
      <c r="AJ136"/>
      <c r="AK136"/>
      <c r="AL136"/>
      <c r="AM136"/>
      <c r="AN136"/>
      <c r="AO136"/>
      <c r="AP136"/>
      <c r="AQ136"/>
      <c r="AR136"/>
      <c r="AS136"/>
      <c r="AT136"/>
      <c r="AU136"/>
      <c r="AV136"/>
      <c r="AW136"/>
      <c r="AX136" t="inlineStr">
        <is>
          <t>Accumulation</t>
        </is>
      </c>
      <c r="AY136" t="inlineStr">
        <is>
          <t>Residue</t>
        </is>
      </c>
      <c r="AZ136"/>
      <c r="BA136" t="inlineStr">
        <is>
          <t>Whole organism</t>
        </is>
      </c>
      <c r="BB136"/>
      <c r="BC136" t="n">
        <v>10.33</v>
      </c>
      <c r="BD136"/>
      <c r="BE136"/>
      <c r="BF136"/>
      <c r="BG136"/>
      <c r="BH136" t="inlineStr">
        <is>
          <t>Day(s)</t>
        </is>
      </c>
      <c r="BI136"/>
      <c r="BJ136"/>
      <c r="BK136"/>
      <c r="BL136"/>
      <c r="BM136"/>
      <c r="BN136"/>
      <c r="BO136" t="inlineStr">
        <is>
          <t>--</t>
        </is>
      </c>
      <c r="BP136"/>
      <c r="BQ136"/>
      <c r="BR136"/>
      <c r="BS136"/>
      <c r="BT136"/>
      <c r="BU136"/>
      <c r="BV136"/>
      <c r="BW136"/>
      <c r="BX136"/>
      <c r="BY136"/>
      <c r="BZ136"/>
      <c r="CA136"/>
      <c r="CB136"/>
      <c r="CC136"/>
      <c r="CD136" t="inlineStr">
        <is>
          <t>Zhai,Y., X. Xia, X. Zhao, H. Dong, B. Zhu, N. Xia, and J. Dong</t>
        </is>
      </c>
      <c r="CE136" t="n">
        <v>177074.0</v>
      </c>
      <c r="CF136" t="inlineStr">
        <is>
          <t>Role of Ingestion Route in the Perfluoroalkyl Substance Bioaccumulation by Chironomus plumosus Larvae in Sediments Amended with Carbonaceous Materials</t>
        </is>
      </c>
      <c r="CG136" t="inlineStr">
        <is>
          <t>J. Hazard. Mater.302:404-414</t>
        </is>
      </c>
      <c r="CH136" t="n">
        <v>2016.0</v>
      </c>
      <c r="CI136"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37">
      <c r="A137" t="n">
        <v>1763231.0</v>
      </c>
      <c r="B137" t="inlineStr">
        <is>
          <t>1,1,2,2,3,3,4,4,5,5,6,6,7,7,8,8,8-Heptadecafluoro-1-octanesulfonic acid</t>
        </is>
      </c>
      <c r="C137"/>
      <c r="D137" t="inlineStr">
        <is>
          <t>Measured</t>
        </is>
      </c>
      <c r="E137"/>
      <c r="F137" t="n">
        <v>98.0</v>
      </c>
      <c r="G137"/>
      <c r="H137"/>
      <c r="I137"/>
      <c r="J137"/>
      <c r="K137" t="inlineStr">
        <is>
          <t>Chironomus plumosus</t>
        </is>
      </c>
      <c r="L137" t="inlineStr">
        <is>
          <t>Midge</t>
        </is>
      </c>
      <c r="M137" t="inlineStr">
        <is>
          <t>Insects/Spiders</t>
        </is>
      </c>
      <c r="N137" t="inlineStr">
        <is>
          <t>Larva</t>
        </is>
      </c>
      <c r="O137"/>
      <c r="P137"/>
      <c r="Q137"/>
      <c r="R137" t="n">
        <v>3.0</v>
      </c>
      <c r="S137"/>
      <c r="T137" t="n">
        <v>4.0</v>
      </c>
      <c r="U137" t="inlineStr">
        <is>
          <t>Instantaneous</t>
        </is>
      </c>
      <c r="V137" t="inlineStr">
        <is>
          <t>Static</t>
        </is>
      </c>
      <c r="W137" t="inlineStr">
        <is>
          <t>Fresh water</t>
        </is>
      </c>
      <c r="X137" t="inlineStr">
        <is>
          <t>Lab</t>
        </is>
      </c>
      <c r="Y137" t="n">
        <v>2.0</v>
      </c>
      <c r="Z137" t="inlineStr">
        <is>
          <t>Active ingredient</t>
        </is>
      </c>
      <c r="AA137"/>
      <c r="AB137" t="n">
        <v>0.00987</v>
      </c>
      <c r="AC137"/>
      <c r="AD137"/>
      <c r="AE137"/>
      <c r="AF137"/>
      <c r="AG137" t="inlineStr">
        <is>
          <t>AI mg/L</t>
        </is>
      </c>
      <c r="AH137"/>
      <c r="AI137"/>
      <c r="AJ137"/>
      <c r="AK137"/>
      <c r="AL137"/>
      <c r="AM137"/>
      <c r="AN137"/>
      <c r="AO137"/>
      <c r="AP137"/>
      <c r="AQ137"/>
      <c r="AR137"/>
      <c r="AS137"/>
      <c r="AT137"/>
      <c r="AU137"/>
      <c r="AV137"/>
      <c r="AW137"/>
      <c r="AX137" t="inlineStr">
        <is>
          <t>Accumulation</t>
        </is>
      </c>
      <c r="AY137" t="inlineStr">
        <is>
          <t>Residue</t>
        </is>
      </c>
      <c r="AZ137"/>
      <c r="BA137" t="inlineStr">
        <is>
          <t>Whole organism</t>
        </is>
      </c>
      <c r="BB137"/>
      <c r="BC137" t="n">
        <v>10.33</v>
      </c>
      <c r="BD137"/>
      <c r="BE137"/>
      <c r="BF137"/>
      <c r="BG137"/>
      <c r="BH137" t="inlineStr">
        <is>
          <t>Day(s)</t>
        </is>
      </c>
      <c r="BI137"/>
      <c r="BJ137"/>
      <c r="BK137"/>
      <c r="BL137"/>
      <c r="BM137"/>
      <c r="BN137"/>
      <c r="BO137" t="inlineStr">
        <is>
          <t>--</t>
        </is>
      </c>
      <c r="BP137"/>
      <c r="BQ137"/>
      <c r="BR137"/>
      <c r="BS137"/>
      <c r="BT137"/>
      <c r="BU137"/>
      <c r="BV137"/>
      <c r="BW137"/>
      <c r="BX137"/>
      <c r="BY137"/>
      <c r="BZ137"/>
      <c r="CA137"/>
      <c r="CB137"/>
      <c r="CC137"/>
      <c r="CD137" t="inlineStr">
        <is>
          <t>Zhai,Y., X. Xia, X. Zhao, H. Dong, B. Zhu, N. Xia, and J. Dong</t>
        </is>
      </c>
      <c r="CE137" t="n">
        <v>177074.0</v>
      </c>
      <c r="CF137" t="inlineStr">
        <is>
          <t>Role of Ingestion Route in the Perfluoroalkyl Substance Bioaccumulation by Chironomus plumosus Larvae in Sediments Amended with Carbonaceous Materials</t>
        </is>
      </c>
      <c r="CG137" t="inlineStr">
        <is>
          <t>J. Hazard. Mater.302:404-414</t>
        </is>
      </c>
      <c r="CH137" t="n">
        <v>2016.0</v>
      </c>
      <c r="CI137"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38">
      <c r="A138" t="n">
        <v>1763231.0</v>
      </c>
      <c r="B138" t="inlineStr">
        <is>
          <t>1,1,2,2,3,3,4,4,5,5,6,6,7,7,8,8,8-Heptadecafluoro-1-octanesulfonic acid</t>
        </is>
      </c>
      <c r="C138"/>
      <c r="D138" t="inlineStr">
        <is>
          <t>Measured</t>
        </is>
      </c>
      <c r="E138"/>
      <c r="F138" t="n">
        <v>98.0</v>
      </c>
      <c r="G138"/>
      <c r="H138"/>
      <c r="I138"/>
      <c r="J138"/>
      <c r="K138" t="inlineStr">
        <is>
          <t>Chironomus plumosus</t>
        </is>
      </c>
      <c r="L138" t="inlineStr">
        <is>
          <t>Midge</t>
        </is>
      </c>
      <c r="M138" t="inlineStr">
        <is>
          <t>Insects/Spiders</t>
        </is>
      </c>
      <c r="N138" t="inlineStr">
        <is>
          <t>Larva</t>
        </is>
      </c>
      <c r="O138"/>
      <c r="P138"/>
      <c r="Q138"/>
      <c r="R138" t="n">
        <v>3.0</v>
      </c>
      <c r="S138"/>
      <c r="T138" t="n">
        <v>4.0</v>
      </c>
      <c r="U138" t="inlineStr">
        <is>
          <t>Instantaneous</t>
        </is>
      </c>
      <c r="V138" t="inlineStr">
        <is>
          <t>Static</t>
        </is>
      </c>
      <c r="W138" t="inlineStr">
        <is>
          <t>Fresh water</t>
        </is>
      </c>
      <c r="X138" t="inlineStr">
        <is>
          <t>Lab</t>
        </is>
      </c>
      <c r="Y138" t="n">
        <v>2.0</v>
      </c>
      <c r="Z138" t="inlineStr">
        <is>
          <t>Active ingredient</t>
        </is>
      </c>
      <c r="AA138"/>
      <c r="AB138" t="n">
        <v>0.00985</v>
      </c>
      <c r="AC138"/>
      <c r="AD138"/>
      <c r="AE138"/>
      <c r="AF138"/>
      <c r="AG138" t="inlineStr">
        <is>
          <t>AI mg/L</t>
        </is>
      </c>
      <c r="AH138"/>
      <c r="AI138"/>
      <c r="AJ138"/>
      <c r="AK138"/>
      <c r="AL138"/>
      <c r="AM138"/>
      <c r="AN138"/>
      <c r="AO138"/>
      <c r="AP138"/>
      <c r="AQ138"/>
      <c r="AR138"/>
      <c r="AS138"/>
      <c r="AT138"/>
      <c r="AU138"/>
      <c r="AV138"/>
      <c r="AW138"/>
      <c r="AX138" t="inlineStr">
        <is>
          <t>Accumulation</t>
        </is>
      </c>
      <c r="AY138" t="inlineStr">
        <is>
          <t>Residue</t>
        </is>
      </c>
      <c r="AZ138"/>
      <c r="BA138" t="inlineStr">
        <is>
          <t>Whole organism</t>
        </is>
      </c>
      <c r="BB138"/>
      <c r="BC138" t="n">
        <v>10.33</v>
      </c>
      <c r="BD138"/>
      <c r="BE138"/>
      <c r="BF138"/>
      <c r="BG138"/>
      <c r="BH138" t="inlineStr">
        <is>
          <t>Day(s)</t>
        </is>
      </c>
      <c r="BI138"/>
      <c r="BJ138"/>
      <c r="BK138"/>
      <c r="BL138"/>
      <c r="BM138"/>
      <c r="BN138"/>
      <c r="BO138" t="inlineStr">
        <is>
          <t>--</t>
        </is>
      </c>
      <c r="BP138"/>
      <c r="BQ138"/>
      <c r="BR138"/>
      <c r="BS138"/>
      <c r="BT138"/>
      <c r="BU138"/>
      <c r="BV138"/>
      <c r="BW138"/>
      <c r="BX138"/>
      <c r="BY138"/>
      <c r="BZ138"/>
      <c r="CA138"/>
      <c r="CB138"/>
      <c r="CC138"/>
      <c r="CD138" t="inlineStr">
        <is>
          <t>Zhai,Y., X. Xia, X. Zhao, H. Dong, B. Zhu, N. Xia, and J. Dong</t>
        </is>
      </c>
      <c r="CE138" t="n">
        <v>177074.0</v>
      </c>
      <c r="CF138" t="inlineStr">
        <is>
          <t>Role of Ingestion Route in the Perfluoroalkyl Substance Bioaccumulation by Chironomus plumosus Larvae in Sediments Amended with Carbonaceous Materials</t>
        </is>
      </c>
      <c r="CG138" t="inlineStr">
        <is>
          <t>J. Hazard. Mater.302:404-414</t>
        </is>
      </c>
      <c r="CH138" t="n">
        <v>2016.0</v>
      </c>
      <c r="CI138"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39">
      <c r="A139" t="n">
        <v>1763231.0</v>
      </c>
      <c r="B139" t="inlineStr">
        <is>
          <t>1,1,2,2,3,3,4,4,5,5,6,6,7,7,8,8,8-Heptadecafluoro-1-octanesulfonic acid</t>
        </is>
      </c>
      <c r="C139"/>
      <c r="D139" t="inlineStr">
        <is>
          <t>Measured</t>
        </is>
      </c>
      <c r="E139"/>
      <c r="F139" t="n">
        <v>98.0</v>
      </c>
      <c r="G139"/>
      <c r="H139"/>
      <c r="I139"/>
      <c r="J139"/>
      <c r="K139" t="inlineStr">
        <is>
          <t>Chironomus plumosus</t>
        </is>
      </c>
      <c r="L139" t="inlineStr">
        <is>
          <t>Midge</t>
        </is>
      </c>
      <c r="M139" t="inlineStr">
        <is>
          <t>Insects/Spiders</t>
        </is>
      </c>
      <c r="N139" t="inlineStr">
        <is>
          <t>Larva</t>
        </is>
      </c>
      <c r="O139"/>
      <c r="P139"/>
      <c r="Q139"/>
      <c r="R139" t="n">
        <v>3.0</v>
      </c>
      <c r="S139"/>
      <c r="T139" t="n">
        <v>4.0</v>
      </c>
      <c r="U139" t="inlineStr">
        <is>
          <t>Instantaneous</t>
        </is>
      </c>
      <c r="V139" t="inlineStr">
        <is>
          <t>Static</t>
        </is>
      </c>
      <c r="W139" t="inlineStr">
        <is>
          <t>Fresh water</t>
        </is>
      </c>
      <c r="X139" t="inlineStr">
        <is>
          <t>Lab</t>
        </is>
      </c>
      <c r="Y139" t="n">
        <v>2.0</v>
      </c>
      <c r="Z139" t="inlineStr">
        <is>
          <t>Active ingredient</t>
        </is>
      </c>
      <c r="AA139"/>
      <c r="AB139" t="n">
        <v>0.00985</v>
      </c>
      <c r="AC139"/>
      <c r="AD139"/>
      <c r="AE139"/>
      <c r="AF139"/>
      <c r="AG139" t="inlineStr">
        <is>
          <t>AI mg/L</t>
        </is>
      </c>
      <c r="AH139"/>
      <c r="AI139"/>
      <c r="AJ139"/>
      <c r="AK139"/>
      <c r="AL139"/>
      <c r="AM139"/>
      <c r="AN139"/>
      <c r="AO139"/>
      <c r="AP139"/>
      <c r="AQ139"/>
      <c r="AR139"/>
      <c r="AS139"/>
      <c r="AT139"/>
      <c r="AU139"/>
      <c r="AV139"/>
      <c r="AW139"/>
      <c r="AX139" t="inlineStr">
        <is>
          <t>Accumulation</t>
        </is>
      </c>
      <c r="AY139" t="inlineStr">
        <is>
          <t>Residue</t>
        </is>
      </c>
      <c r="AZ139"/>
      <c r="BA139" t="inlineStr">
        <is>
          <t>Whole organism</t>
        </is>
      </c>
      <c r="BB139"/>
      <c r="BC139" t="n">
        <v>10.33</v>
      </c>
      <c r="BD139"/>
      <c r="BE139"/>
      <c r="BF139"/>
      <c r="BG139"/>
      <c r="BH139" t="inlineStr">
        <is>
          <t>Day(s)</t>
        </is>
      </c>
      <c r="BI139"/>
      <c r="BJ139"/>
      <c r="BK139"/>
      <c r="BL139"/>
      <c r="BM139"/>
      <c r="BN139"/>
      <c r="BO139" t="inlineStr">
        <is>
          <t>--</t>
        </is>
      </c>
      <c r="BP139"/>
      <c r="BQ139"/>
      <c r="BR139"/>
      <c r="BS139"/>
      <c r="BT139"/>
      <c r="BU139"/>
      <c r="BV139"/>
      <c r="BW139"/>
      <c r="BX139"/>
      <c r="BY139"/>
      <c r="BZ139"/>
      <c r="CA139"/>
      <c r="CB139"/>
      <c r="CC139"/>
      <c r="CD139" t="inlineStr">
        <is>
          <t>Zhai,Y., X. Xia, X. Zhao, H. Dong, B. Zhu, N. Xia, and J. Dong</t>
        </is>
      </c>
      <c r="CE139" t="n">
        <v>177074.0</v>
      </c>
      <c r="CF139" t="inlineStr">
        <is>
          <t>Role of Ingestion Route in the Perfluoroalkyl Substance Bioaccumulation by Chironomus plumosus Larvae in Sediments Amended with Carbonaceous Materials</t>
        </is>
      </c>
      <c r="CG139" t="inlineStr">
        <is>
          <t>J. Hazard. Mater.302:404-414</t>
        </is>
      </c>
      <c r="CH139" t="n">
        <v>2016.0</v>
      </c>
      <c r="CI139"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row>
    <row r="140">
      <c r="A140" t="n">
        <v>1763231.0</v>
      </c>
      <c r="B140" t="inlineStr">
        <is>
          <t>1,1,2,2,3,3,4,4,5,5,6,6,7,7,8,8,8-Heptadecafluoro-1-octanesulfonic acid</t>
        </is>
      </c>
      <c r="C140"/>
      <c r="D140" t="inlineStr">
        <is>
          <t>Measured</t>
        </is>
      </c>
      <c r="E140" t="inlineStr">
        <is>
          <t>&gt;</t>
        </is>
      </c>
      <c r="F140" t="n">
        <v>98.0</v>
      </c>
      <c r="G140"/>
      <c r="H140"/>
      <c r="I140"/>
      <c r="J140"/>
      <c r="K140" t="inlineStr">
        <is>
          <t>Lampsilis siliquoidea</t>
        </is>
      </c>
      <c r="L140" t="inlineStr">
        <is>
          <t>Lamp-Mussel</t>
        </is>
      </c>
      <c r="M140" t="inlineStr">
        <is>
          <t>Molluscs</t>
        </is>
      </c>
      <c r="N140" t="inlineStr">
        <is>
          <t>Adult</t>
        </is>
      </c>
      <c r="O140"/>
      <c r="P140"/>
      <c r="Q140"/>
      <c r="R140"/>
      <c r="S140"/>
      <c r="T140"/>
      <c r="U140"/>
      <c r="V140" t="inlineStr">
        <is>
          <t>Renewal</t>
        </is>
      </c>
      <c r="W140" t="inlineStr">
        <is>
          <t>Fresh water</t>
        </is>
      </c>
      <c r="X140" t="inlineStr">
        <is>
          <t>Lab</t>
        </is>
      </c>
      <c r="Y140" t="n">
        <v>3.0</v>
      </c>
      <c r="Z140" t="inlineStr">
        <is>
          <t>Active ingredient</t>
        </is>
      </c>
      <c r="AA140"/>
      <c r="AB140" t="n">
        <v>0.00452</v>
      </c>
      <c r="AC140"/>
      <c r="AD140" t="n">
        <v>0.00384</v>
      </c>
      <c r="AE140"/>
      <c r="AF140" t="n">
        <v>0.0052</v>
      </c>
      <c r="AG140" t="inlineStr">
        <is>
          <t>AI mg/L</t>
        </is>
      </c>
      <c r="AH140"/>
      <c r="AI140"/>
      <c r="AJ140"/>
      <c r="AK140"/>
      <c r="AL140"/>
      <c r="AM140"/>
      <c r="AN140"/>
      <c r="AO140"/>
      <c r="AP140"/>
      <c r="AQ140"/>
      <c r="AR140"/>
      <c r="AS140"/>
      <c r="AT140"/>
      <c r="AU140"/>
      <c r="AV140"/>
      <c r="AW140"/>
      <c r="AX140" t="inlineStr">
        <is>
          <t>Accumulation</t>
        </is>
      </c>
      <c r="AY140" t="inlineStr">
        <is>
          <t>Residue</t>
        </is>
      </c>
      <c r="AZ140" t="inlineStr">
        <is>
          <t>BCF</t>
        </is>
      </c>
      <c r="BA140" t="inlineStr">
        <is>
          <t>Soft tissue</t>
        </is>
      </c>
      <c r="BB140"/>
      <c r="BC140" t="n">
        <v>36.0</v>
      </c>
      <c r="BD140"/>
      <c r="BE140"/>
      <c r="BF140"/>
      <c r="BG140"/>
      <c r="BH140" t="inlineStr">
        <is>
          <t>Day(s)</t>
        </is>
      </c>
      <c r="BI140"/>
      <c r="BJ140" t="n">
        <v>3.32</v>
      </c>
      <c r="BK140"/>
      <c r="BL140"/>
      <c r="BM140"/>
      <c r="BN140"/>
      <c r="BO140" t="inlineStr">
        <is>
          <t>RA</t>
        </is>
      </c>
      <c r="BP140"/>
      <c r="BQ140"/>
      <c r="BR140"/>
      <c r="BS140"/>
      <c r="BT140"/>
      <c r="BU140"/>
      <c r="BV140"/>
      <c r="BW140"/>
      <c r="BX140"/>
      <c r="BY140"/>
      <c r="BZ140"/>
      <c r="CA140"/>
      <c r="CB140"/>
      <c r="CC140"/>
      <c r="CD140" t="inlineStr">
        <is>
          <t>Hazelton,P.D., W.G. Cope, T.J. Pandolfo, S. Mosher, M.J. Strynar, M.C. Barnhart, and R.B. Bringolf</t>
        </is>
      </c>
      <c r="CE140" t="n">
        <v>160209.0</v>
      </c>
      <c r="CF140" t="inlineStr">
        <is>
          <t>Partial Life-Cycle and Acute Toxicity of Perfluoroalkyl Acids to Freshwater Mussels</t>
        </is>
      </c>
      <c r="CG140" t="inlineStr">
        <is>
          <t>Environ. Toxicol. Chem.31(7): 1611-1620</t>
        </is>
      </c>
      <c r="CH140" t="n">
        <v>2012.0</v>
      </c>
      <c r="CI140" t="inlineStr">
        <is>
          <t>Hazelton,P.D., W.G. Cope, T.J. Pandolfo, S. Mosher, M.J. Strynar, M.C. Barnhart, and R.B. Bringolf (2012). Partial Life-Cycle and Acute Toxicity of Perfluoroalkyl Acids to Freshwater Mussels. Environ. Toxicol. Chem., 31, (7), 1611-1620. doi:10.1002/etc.1866. ECOREF#:160209</t>
        </is>
      </c>
    </row>
    <row r="141">
      <c r="A141" t="n">
        <v>1763231.0</v>
      </c>
      <c r="B141" t="inlineStr">
        <is>
          <t>1,1,2,2,3,3,4,4,5,5,6,6,7,7,8,8,8-Heptadecafluoro-1-octanesulfonic acid</t>
        </is>
      </c>
      <c r="C141"/>
      <c r="D141" t="inlineStr">
        <is>
          <t>Measured</t>
        </is>
      </c>
      <c r="E141" t="inlineStr">
        <is>
          <t>&gt;</t>
        </is>
      </c>
      <c r="F141" t="n">
        <v>98.0</v>
      </c>
      <c r="G141"/>
      <c r="H141"/>
      <c r="I141"/>
      <c r="J141"/>
      <c r="K141" t="inlineStr">
        <is>
          <t>Lampsilis siliquoidea</t>
        </is>
      </c>
      <c r="L141" t="inlineStr">
        <is>
          <t>Lamp-Mussel</t>
        </is>
      </c>
      <c r="M141" t="inlineStr">
        <is>
          <t>Molluscs</t>
        </is>
      </c>
      <c r="N141" t="inlineStr">
        <is>
          <t>Adult</t>
        </is>
      </c>
      <c r="O141"/>
      <c r="P141"/>
      <c r="Q141"/>
      <c r="R141"/>
      <c r="S141"/>
      <c r="T141"/>
      <c r="U141"/>
      <c r="V141" t="inlineStr">
        <is>
          <t>Renewal</t>
        </is>
      </c>
      <c r="W141" t="inlineStr">
        <is>
          <t>Fresh water</t>
        </is>
      </c>
      <c r="X141" t="inlineStr">
        <is>
          <t>Lab</t>
        </is>
      </c>
      <c r="Y141" t="n">
        <v>3.0</v>
      </c>
      <c r="Z141" t="inlineStr">
        <is>
          <t>Active ingredient</t>
        </is>
      </c>
      <c r="AA141"/>
      <c r="AB141" t="n">
        <v>0.0695</v>
      </c>
      <c r="AC141"/>
      <c r="AD141" t="n">
        <v>0.065</v>
      </c>
      <c r="AE141"/>
      <c r="AF141" t="n">
        <v>0.074</v>
      </c>
      <c r="AG141" t="inlineStr">
        <is>
          <t>AI mg/L</t>
        </is>
      </c>
      <c r="AH141"/>
      <c r="AI141"/>
      <c r="AJ141"/>
      <c r="AK141"/>
      <c r="AL141"/>
      <c r="AM141"/>
      <c r="AN141"/>
      <c r="AO141"/>
      <c r="AP141"/>
      <c r="AQ141"/>
      <c r="AR141"/>
      <c r="AS141"/>
      <c r="AT141"/>
      <c r="AU141"/>
      <c r="AV141"/>
      <c r="AW141"/>
      <c r="AX141" t="inlineStr">
        <is>
          <t>Accumulation</t>
        </is>
      </c>
      <c r="AY141" t="inlineStr">
        <is>
          <t>Residue</t>
        </is>
      </c>
      <c r="AZ141" t="inlineStr">
        <is>
          <t>BCF</t>
        </is>
      </c>
      <c r="BA141" t="inlineStr">
        <is>
          <t>Soft tissue</t>
        </is>
      </c>
      <c r="BB141"/>
      <c r="BC141" t="n">
        <v>36.0</v>
      </c>
      <c r="BD141"/>
      <c r="BE141"/>
      <c r="BF141"/>
      <c r="BG141"/>
      <c r="BH141" t="inlineStr">
        <is>
          <t>Day(s)</t>
        </is>
      </c>
      <c r="BI141"/>
      <c r="BJ141" t="n">
        <v>3.56</v>
      </c>
      <c r="BK141"/>
      <c r="BL141"/>
      <c r="BM141"/>
      <c r="BN141"/>
      <c r="BO141" t="inlineStr">
        <is>
          <t>RA</t>
        </is>
      </c>
      <c r="BP141"/>
      <c r="BQ141"/>
      <c r="BR141"/>
      <c r="BS141"/>
      <c r="BT141"/>
      <c r="BU141"/>
      <c r="BV141"/>
      <c r="BW141"/>
      <c r="BX141"/>
      <c r="BY141"/>
      <c r="BZ141"/>
      <c r="CA141"/>
      <c r="CB141"/>
      <c r="CC141"/>
      <c r="CD141" t="inlineStr">
        <is>
          <t>Hazelton,P.D., W.G. Cope, T.J. Pandolfo, S. Mosher, M.J. Strynar, M.C. Barnhart, and R.B. Bringolf</t>
        </is>
      </c>
      <c r="CE141" t="n">
        <v>160209.0</v>
      </c>
      <c r="CF141" t="inlineStr">
        <is>
          <t>Partial Life-Cycle and Acute Toxicity of Perfluoroalkyl Acids to Freshwater Mussels</t>
        </is>
      </c>
      <c r="CG141" t="inlineStr">
        <is>
          <t>Environ. Toxicol. Chem.31(7): 1611-1620</t>
        </is>
      </c>
      <c r="CH141" t="n">
        <v>2012.0</v>
      </c>
      <c r="CI141" t="inlineStr">
        <is>
          <t>Hazelton,P.D., W.G. Cope, T.J. Pandolfo, S. Mosher, M.J. Strynar, M.C. Barnhart, and R.B. Bringolf (2012). Partial Life-Cycle and Acute Toxicity of Perfluoroalkyl Acids to Freshwater Mussels. Environ. Toxicol. Chem., 31, (7), 1611-1620. doi:10.1002/etc.1866. ECOREF#:160209</t>
        </is>
      </c>
    </row>
    <row r="142">
      <c r="A142" t="n">
        <v>1763231.0</v>
      </c>
      <c r="B142" t="inlineStr">
        <is>
          <t>1,1,2,2,3,3,4,4,5,5,6,6,7,7,8,8,8-Heptadecafluoro-1-octanesulfonic acid</t>
        </is>
      </c>
      <c r="C142"/>
      <c r="D142" t="inlineStr">
        <is>
          <t>Unmeasured</t>
        </is>
      </c>
      <c r="E142" t="inlineStr">
        <is>
          <t>&gt;</t>
        </is>
      </c>
      <c r="F142" t="n">
        <v>98.0</v>
      </c>
      <c r="G142"/>
      <c r="H142"/>
      <c r="I142"/>
      <c r="J142"/>
      <c r="K142" t="inlineStr">
        <is>
          <t>Perna viridis</t>
        </is>
      </c>
      <c r="L142" t="inlineStr">
        <is>
          <t>Green Mussel</t>
        </is>
      </c>
      <c r="M142" t="inlineStr">
        <is>
          <t>Molluscs</t>
        </is>
      </c>
      <c r="N142"/>
      <c r="O142"/>
      <c r="P142"/>
      <c r="Q142"/>
      <c r="R142"/>
      <c r="S142"/>
      <c r="T142"/>
      <c r="U142"/>
      <c r="V142" t="inlineStr">
        <is>
          <t>Renewal</t>
        </is>
      </c>
      <c r="W142" t="inlineStr">
        <is>
          <t>Salt water</t>
        </is>
      </c>
      <c r="X142" t="inlineStr">
        <is>
          <t>Lab</t>
        </is>
      </c>
      <c r="Y142" t="n">
        <v>4.0</v>
      </c>
      <c r="Z142" t="inlineStr">
        <is>
          <t>Active ingredient</t>
        </is>
      </c>
      <c r="AA142"/>
      <c r="AB142" t="n">
        <v>1.0</v>
      </c>
      <c r="AC142"/>
      <c r="AD142"/>
      <c r="AE142"/>
      <c r="AF142"/>
      <c r="AG142" t="inlineStr">
        <is>
          <t>AI mg/L</t>
        </is>
      </c>
      <c r="AH142"/>
      <c r="AI142"/>
      <c r="AJ142"/>
      <c r="AK142"/>
      <c r="AL142"/>
      <c r="AM142"/>
      <c r="AN142"/>
      <c r="AO142"/>
      <c r="AP142"/>
      <c r="AQ142"/>
      <c r="AR142"/>
      <c r="AS142"/>
      <c r="AT142"/>
      <c r="AU142"/>
      <c r="AV142"/>
      <c r="AW142"/>
      <c r="AX142" t="inlineStr">
        <is>
          <t>Accumulation</t>
        </is>
      </c>
      <c r="AY142" t="inlineStr">
        <is>
          <t>Residue</t>
        </is>
      </c>
      <c r="AZ142" t="inlineStr">
        <is>
          <t>LOEC</t>
        </is>
      </c>
      <c r="BA142" t="inlineStr">
        <is>
          <t>Gonad(s)</t>
        </is>
      </c>
      <c r="BB142"/>
      <c r="BC142" t="n">
        <v>7.0</v>
      </c>
      <c r="BD142"/>
      <c r="BE142"/>
      <c r="BF142"/>
      <c r="BG142"/>
      <c r="BH142" t="inlineStr">
        <is>
          <t>Day(s)</t>
        </is>
      </c>
      <c r="BI142"/>
      <c r="BJ142"/>
      <c r="BK142"/>
      <c r="BL142"/>
      <c r="BM142"/>
      <c r="BN142"/>
      <c r="BO142" t="inlineStr">
        <is>
          <t>--</t>
        </is>
      </c>
      <c r="BP142"/>
      <c r="BQ142"/>
      <c r="BR142"/>
      <c r="BS142"/>
      <c r="BT142"/>
      <c r="BU142"/>
      <c r="BV142"/>
      <c r="BW142"/>
      <c r="BX142"/>
      <c r="BY142"/>
      <c r="BZ142"/>
      <c r="CA142"/>
      <c r="CB142"/>
      <c r="CC142"/>
      <c r="CD142" t="inlineStr">
        <is>
          <t>Xu,P., M. Junaid, Y. Liu, X. Jiang, Y. Chen, C. Bi, J. Wang, and N. Xu</t>
        </is>
      </c>
      <c r="CE142" t="n">
        <v>191112.0</v>
      </c>
      <c r="CF142" t="inlineStr">
        <is>
          <t>Nanoplastics Influence the Perfluorooctane Sulfonate (PFOS) Mediated Toxicity on Marine Mussel Perna viridis: Single and Mixture Exposure Study</t>
        </is>
      </c>
      <c r="CG142" t="inlineStr">
        <is>
          <t>Gondwana Res.108:144-157</t>
        </is>
      </c>
      <c r="CH142" t="n">
        <v>2022.0</v>
      </c>
      <c r="CI142" t="inlineStr">
        <is>
          <t>Xu,P., M. Junaid, Y. Liu, X. Jiang, Y. Chen, C. Bi, J. Wang, and N. Xu (2022). Nanoplastics Influence the Perfluorooctane Sulfonate (PFOS) Mediated Toxicity on Marine Mussel Perna viridis: Single and Mixture Exposure Study. Gondwana Res., 108, 144-157. doi:10.1016/j.gr.2021.12.001. ECOREF#:191112</t>
        </is>
      </c>
    </row>
    <row r="143">
      <c r="A143" t="n">
        <v>1763231.0</v>
      </c>
      <c r="B143" t="inlineStr">
        <is>
          <t>1,1,2,2,3,3,4,4,5,5,6,6,7,7,8,8,8-Heptadecafluoro-1-octanesulfonic acid</t>
        </is>
      </c>
      <c r="C143"/>
      <c r="D143" t="inlineStr">
        <is>
          <t>Unmeasured</t>
        </is>
      </c>
      <c r="E143" t="inlineStr">
        <is>
          <t>&gt;</t>
        </is>
      </c>
      <c r="F143" t="n">
        <v>98.0</v>
      </c>
      <c r="G143"/>
      <c r="H143"/>
      <c r="I143"/>
      <c r="J143"/>
      <c r="K143" t="inlineStr">
        <is>
          <t>Perna viridis</t>
        </is>
      </c>
      <c r="L143" t="inlineStr">
        <is>
          <t>Green Mussel</t>
        </is>
      </c>
      <c r="M143" t="inlineStr">
        <is>
          <t>Molluscs</t>
        </is>
      </c>
      <c r="N143"/>
      <c r="O143"/>
      <c r="P143"/>
      <c r="Q143"/>
      <c r="R143"/>
      <c r="S143"/>
      <c r="T143"/>
      <c r="U143"/>
      <c r="V143" t="inlineStr">
        <is>
          <t>Renewal</t>
        </is>
      </c>
      <c r="W143" t="inlineStr">
        <is>
          <t>Salt water</t>
        </is>
      </c>
      <c r="X143" t="inlineStr">
        <is>
          <t>Lab</t>
        </is>
      </c>
      <c r="Y143" t="n">
        <v>4.0</v>
      </c>
      <c r="Z143" t="inlineStr">
        <is>
          <t>Active ingredient</t>
        </is>
      </c>
      <c r="AA143"/>
      <c r="AB143" t="n">
        <v>1.0</v>
      </c>
      <c r="AC143"/>
      <c r="AD143"/>
      <c r="AE143"/>
      <c r="AF143"/>
      <c r="AG143" t="inlineStr">
        <is>
          <t>AI mg/L</t>
        </is>
      </c>
      <c r="AH143"/>
      <c r="AI143"/>
      <c r="AJ143"/>
      <c r="AK143"/>
      <c r="AL143"/>
      <c r="AM143"/>
      <c r="AN143"/>
      <c r="AO143"/>
      <c r="AP143"/>
      <c r="AQ143"/>
      <c r="AR143"/>
      <c r="AS143"/>
      <c r="AT143"/>
      <c r="AU143"/>
      <c r="AV143"/>
      <c r="AW143"/>
      <c r="AX143" t="inlineStr">
        <is>
          <t>Accumulation</t>
        </is>
      </c>
      <c r="AY143" t="inlineStr">
        <is>
          <t>Residue</t>
        </is>
      </c>
      <c r="AZ143" t="inlineStr">
        <is>
          <t>LOEC</t>
        </is>
      </c>
      <c r="BA143" t="inlineStr">
        <is>
          <t>Gill(s)</t>
        </is>
      </c>
      <c r="BB143"/>
      <c r="BC143" t="n">
        <v>7.0</v>
      </c>
      <c r="BD143"/>
      <c r="BE143"/>
      <c r="BF143"/>
      <c r="BG143"/>
      <c r="BH143" t="inlineStr">
        <is>
          <t>Day(s)</t>
        </is>
      </c>
      <c r="BI143"/>
      <c r="BJ143"/>
      <c r="BK143"/>
      <c r="BL143"/>
      <c r="BM143"/>
      <c r="BN143"/>
      <c r="BO143" t="inlineStr">
        <is>
          <t>--</t>
        </is>
      </c>
      <c r="BP143"/>
      <c r="BQ143"/>
      <c r="BR143"/>
      <c r="BS143"/>
      <c r="BT143"/>
      <c r="BU143"/>
      <c r="BV143"/>
      <c r="BW143"/>
      <c r="BX143"/>
      <c r="BY143"/>
      <c r="BZ143"/>
      <c r="CA143"/>
      <c r="CB143"/>
      <c r="CC143"/>
      <c r="CD143" t="inlineStr">
        <is>
          <t>Xu,P., M. Junaid, Y. Liu, X. Jiang, Y. Chen, C. Bi, J. Wang, and N. Xu</t>
        </is>
      </c>
      <c r="CE143" t="n">
        <v>191112.0</v>
      </c>
      <c r="CF143" t="inlineStr">
        <is>
          <t>Nanoplastics Influence the Perfluorooctane Sulfonate (PFOS) Mediated Toxicity on Marine Mussel Perna viridis: Single and Mixture Exposure Study</t>
        </is>
      </c>
      <c r="CG143" t="inlineStr">
        <is>
          <t>Gondwana Res.108:144-157</t>
        </is>
      </c>
      <c r="CH143" t="n">
        <v>2022.0</v>
      </c>
      <c r="CI143" t="inlineStr">
        <is>
          <t>Xu,P., M. Junaid, Y. Liu, X. Jiang, Y. Chen, C. Bi, J. Wang, and N. Xu (2022). Nanoplastics Influence the Perfluorooctane Sulfonate (PFOS) Mediated Toxicity on Marine Mussel Perna viridis: Single and Mixture Exposure Study. Gondwana Res., 108, 144-157. doi:10.1016/j.gr.2021.12.001. ECOREF#:191112</t>
        </is>
      </c>
    </row>
    <row r="144">
      <c r="A144" t="n">
        <v>1763231.0</v>
      </c>
      <c r="B144" t="inlineStr">
        <is>
          <t>1,1,2,2,3,3,4,4,5,5,6,6,7,7,8,8,8-Heptadecafluoro-1-octanesulfonic acid</t>
        </is>
      </c>
      <c r="C144"/>
      <c r="D144" t="inlineStr">
        <is>
          <t>Unmeasured</t>
        </is>
      </c>
      <c r="E144" t="inlineStr">
        <is>
          <t>&gt;</t>
        </is>
      </c>
      <c r="F144" t="n">
        <v>98.0</v>
      </c>
      <c r="G144"/>
      <c r="H144"/>
      <c r="I144"/>
      <c r="J144"/>
      <c r="K144" t="inlineStr">
        <is>
          <t>Perna viridis</t>
        </is>
      </c>
      <c r="L144" t="inlineStr">
        <is>
          <t>Green Mussel</t>
        </is>
      </c>
      <c r="M144" t="inlineStr">
        <is>
          <t>Molluscs</t>
        </is>
      </c>
      <c r="N144"/>
      <c r="O144"/>
      <c r="P144"/>
      <c r="Q144"/>
      <c r="R144"/>
      <c r="S144"/>
      <c r="T144"/>
      <c r="U144"/>
      <c r="V144" t="inlineStr">
        <is>
          <t>Renewal</t>
        </is>
      </c>
      <c r="W144" t="inlineStr">
        <is>
          <t>Salt water</t>
        </is>
      </c>
      <c r="X144" t="inlineStr">
        <is>
          <t>Lab</t>
        </is>
      </c>
      <c r="Y144" t="n">
        <v>4.0</v>
      </c>
      <c r="Z144" t="inlineStr">
        <is>
          <t>Active ingredient</t>
        </is>
      </c>
      <c r="AA144"/>
      <c r="AB144" t="n">
        <v>1.0</v>
      </c>
      <c r="AC144"/>
      <c r="AD144"/>
      <c r="AE144"/>
      <c r="AF144"/>
      <c r="AG144" t="inlineStr">
        <is>
          <t>AI mg/L</t>
        </is>
      </c>
      <c r="AH144"/>
      <c r="AI144"/>
      <c r="AJ144"/>
      <c r="AK144"/>
      <c r="AL144"/>
      <c r="AM144"/>
      <c r="AN144"/>
      <c r="AO144"/>
      <c r="AP144"/>
      <c r="AQ144"/>
      <c r="AR144"/>
      <c r="AS144"/>
      <c r="AT144"/>
      <c r="AU144"/>
      <c r="AV144"/>
      <c r="AW144"/>
      <c r="AX144" t="inlineStr">
        <is>
          <t>Accumulation</t>
        </is>
      </c>
      <c r="AY144" t="inlineStr">
        <is>
          <t>Residue</t>
        </is>
      </c>
      <c r="AZ144" t="inlineStr">
        <is>
          <t>LOEC</t>
        </is>
      </c>
      <c r="BA144" t="inlineStr">
        <is>
          <t>Viscera</t>
        </is>
      </c>
      <c r="BB144"/>
      <c r="BC144" t="n">
        <v>7.0</v>
      </c>
      <c r="BD144"/>
      <c r="BE144"/>
      <c r="BF144"/>
      <c r="BG144"/>
      <c r="BH144" t="inlineStr">
        <is>
          <t>Day(s)</t>
        </is>
      </c>
      <c r="BI144"/>
      <c r="BJ144"/>
      <c r="BK144"/>
      <c r="BL144"/>
      <c r="BM144"/>
      <c r="BN144"/>
      <c r="BO144" t="inlineStr">
        <is>
          <t>--</t>
        </is>
      </c>
      <c r="BP144"/>
      <c r="BQ144"/>
      <c r="BR144"/>
      <c r="BS144"/>
      <c r="BT144"/>
      <c r="BU144"/>
      <c r="BV144"/>
      <c r="BW144"/>
      <c r="BX144"/>
      <c r="BY144"/>
      <c r="BZ144"/>
      <c r="CA144"/>
      <c r="CB144"/>
      <c r="CC144"/>
      <c r="CD144" t="inlineStr">
        <is>
          <t>Xu,P., M. Junaid, Y. Liu, X. Jiang, Y. Chen, C. Bi, J. Wang, and N. Xu</t>
        </is>
      </c>
      <c r="CE144" t="n">
        <v>191112.0</v>
      </c>
      <c r="CF144" t="inlineStr">
        <is>
          <t>Nanoplastics Influence the Perfluorooctane Sulfonate (PFOS) Mediated Toxicity on Marine Mussel Perna viridis: Single and Mixture Exposure Study</t>
        </is>
      </c>
      <c r="CG144" t="inlineStr">
        <is>
          <t>Gondwana Res.108:144-157</t>
        </is>
      </c>
      <c r="CH144" t="n">
        <v>2022.0</v>
      </c>
      <c r="CI144" t="inlineStr">
        <is>
          <t>Xu,P., M. Junaid, Y. Liu, X. Jiang, Y. Chen, C. Bi, J. Wang, and N. Xu (2022). Nanoplastics Influence the Perfluorooctane Sulfonate (PFOS) Mediated Toxicity on Marine Mussel Perna viridis: Single and Mixture Exposure Study. Gondwana Res., 108, 144-157. doi:10.1016/j.gr.2021.12.001. ECOREF#:191112</t>
        </is>
      </c>
    </row>
    <row r="145">
      <c r="A145" t="n">
        <v>1763231.0</v>
      </c>
      <c r="B145" t="inlineStr">
        <is>
          <t>1,1,2,2,3,3,4,4,5,5,6,6,7,7,8,8,8-Heptadecafluoro-1-octanesulfonic acid</t>
        </is>
      </c>
      <c r="C145"/>
      <c r="D145" t="inlineStr">
        <is>
          <t>Unmeasured</t>
        </is>
      </c>
      <c r="E145" t="inlineStr">
        <is>
          <t>&gt;</t>
        </is>
      </c>
      <c r="F145" t="n">
        <v>98.0</v>
      </c>
      <c r="G145"/>
      <c r="H145"/>
      <c r="I145"/>
      <c r="J145"/>
      <c r="K145" t="inlineStr">
        <is>
          <t>Perna viridis</t>
        </is>
      </c>
      <c r="L145" t="inlineStr">
        <is>
          <t>Green Mussel</t>
        </is>
      </c>
      <c r="M145" t="inlineStr">
        <is>
          <t>Molluscs</t>
        </is>
      </c>
      <c r="N145"/>
      <c r="O145"/>
      <c r="P145"/>
      <c r="Q145"/>
      <c r="R145"/>
      <c r="S145"/>
      <c r="T145"/>
      <c r="U145"/>
      <c r="V145" t="inlineStr">
        <is>
          <t>Renewal</t>
        </is>
      </c>
      <c r="W145" t="inlineStr">
        <is>
          <t>Salt water</t>
        </is>
      </c>
      <c r="X145" t="inlineStr">
        <is>
          <t>Lab</t>
        </is>
      </c>
      <c r="Y145" t="n">
        <v>4.0</v>
      </c>
      <c r="Z145" t="inlineStr">
        <is>
          <t>Active ingredient</t>
        </is>
      </c>
      <c r="AA145"/>
      <c r="AB145" t="n">
        <v>0.1</v>
      </c>
      <c r="AC145"/>
      <c r="AD145"/>
      <c r="AE145"/>
      <c r="AF145"/>
      <c r="AG145" t="inlineStr">
        <is>
          <t>AI mg/L</t>
        </is>
      </c>
      <c r="AH145"/>
      <c r="AI145"/>
      <c r="AJ145"/>
      <c r="AK145"/>
      <c r="AL145"/>
      <c r="AM145"/>
      <c r="AN145"/>
      <c r="AO145"/>
      <c r="AP145"/>
      <c r="AQ145"/>
      <c r="AR145"/>
      <c r="AS145"/>
      <c r="AT145"/>
      <c r="AU145"/>
      <c r="AV145"/>
      <c r="AW145"/>
      <c r="AX145" t="inlineStr">
        <is>
          <t>Accumulation</t>
        </is>
      </c>
      <c r="AY145" t="inlineStr">
        <is>
          <t>Residue</t>
        </is>
      </c>
      <c r="AZ145" t="inlineStr">
        <is>
          <t>NOEC</t>
        </is>
      </c>
      <c r="BA145" t="inlineStr">
        <is>
          <t>Viscera</t>
        </is>
      </c>
      <c r="BB145"/>
      <c r="BC145" t="n">
        <v>7.0</v>
      </c>
      <c r="BD145"/>
      <c r="BE145"/>
      <c r="BF145"/>
      <c r="BG145"/>
      <c r="BH145" t="inlineStr">
        <is>
          <t>Day(s)</t>
        </is>
      </c>
      <c r="BI145"/>
      <c r="BJ145"/>
      <c r="BK145"/>
      <c r="BL145"/>
      <c r="BM145"/>
      <c r="BN145"/>
      <c r="BO145" t="inlineStr">
        <is>
          <t>--</t>
        </is>
      </c>
      <c r="BP145"/>
      <c r="BQ145"/>
      <c r="BR145"/>
      <c r="BS145"/>
      <c r="BT145"/>
      <c r="BU145"/>
      <c r="BV145"/>
      <c r="BW145"/>
      <c r="BX145"/>
      <c r="BY145"/>
      <c r="BZ145"/>
      <c r="CA145"/>
      <c r="CB145"/>
      <c r="CC145"/>
      <c r="CD145" t="inlineStr">
        <is>
          <t>Xu,P., M. Junaid, Y. Liu, X. Jiang, Y. Chen, C. Bi, J. Wang, and N. Xu</t>
        </is>
      </c>
      <c r="CE145" t="n">
        <v>191112.0</v>
      </c>
      <c r="CF145" t="inlineStr">
        <is>
          <t>Nanoplastics Influence the Perfluorooctane Sulfonate (PFOS) Mediated Toxicity on Marine Mussel Perna viridis: Single and Mixture Exposure Study</t>
        </is>
      </c>
      <c r="CG145" t="inlineStr">
        <is>
          <t>Gondwana Res.108:144-157</t>
        </is>
      </c>
      <c r="CH145" t="n">
        <v>2022.0</v>
      </c>
      <c r="CI145" t="inlineStr">
        <is>
          <t>Xu,P., M. Junaid, Y. Liu, X. Jiang, Y. Chen, C. Bi, J. Wang, and N. Xu (2022). Nanoplastics Influence the Perfluorooctane Sulfonate (PFOS) Mediated Toxicity on Marine Mussel Perna viridis: Single and Mixture Exposure Study. Gondwana Res., 108, 144-157. doi:10.1016/j.gr.2021.12.001. ECOREF#:191112</t>
        </is>
      </c>
    </row>
    <row r="146">
      <c r="A146" t="n">
        <v>1763231.0</v>
      </c>
      <c r="B146" t="inlineStr">
        <is>
          <t>1,1,2,2,3,3,4,4,5,5,6,6,7,7,8,8,8-Heptadecafluoro-1-octanesulfonic acid</t>
        </is>
      </c>
      <c r="C146"/>
      <c r="D146" t="inlineStr">
        <is>
          <t>Unmeasured</t>
        </is>
      </c>
      <c r="E146" t="inlineStr">
        <is>
          <t>&gt;</t>
        </is>
      </c>
      <c r="F146" t="n">
        <v>98.0</v>
      </c>
      <c r="G146"/>
      <c r="H146"/>
      <c r="I146"/>
      <c r="J146"/>
      <c r="K146" t="inlineStr">
        <is>
          <t>Perna viridis</t>
        </is>
      </c>
      <c r="L146" t="inlineStr">
        <is>
          <t>Green Mussel</t>
        </is>
      </c>
      <c r="M146" t="inlineStr">
        <is>
          <t>Molluscs</t>
        </is>
      </c>
      <c r="N146"/>
      <c r="O146"/>
      <c r="P146"/>
      <c r="Q146"/>
      <c r="R146"/>
      <c r="S146"/>
      <c r="T146"/>
      <c r="U146"/>
      <c r="V146" t="inlineStr">
        <is>
          <t>Renewal</t>
        </is>
      </c>
      <c r="W146" t="inlineStr">
        <is>
          <t>Salt water</t>
        </is>
      </c>
      <c r="X146" t="inlineStr">
        <is>
          <t>Lab</t>
        </is>
      </c>
      <c r="Y146" t="n">
        <v>4.0</v>
      </c>
      <c r="Z146" t="inlineStr">
        <is>
          <t>Active ingredient</t>
        </is>
      </c>
      <c r="AA146"/>
      <c r="AB146" t="n">
        <v>0.1</v>
      </c>
      <c r="AC146"/>
      <c r="AD146"/>
      <c r="AE146"/>
      <c r="AF146"/>
      <c r="AG146" t="inlineStr">
        <is>
          <t>AI mg/L</t>
        </is>
      </c>
      <c r="AH146"/>
      <c r="AI146"/>
      <c r="AJ146"/>
      <c r="AK146"/>
      <c r="AL146"/>
      <c r="AM146"/>
      <c r="AN146"/>
      <c r="AO146"/>
      <c r="AP146"/>
      <c r="AQ146"/>
      <c r="AR146"/>
      <c r="AS146"/>
      <c r="AT146"/>
      <c r="AU146"/>
      <c r="AV146"/>
      <c r="AW146"/>
      <c r="AX146" t="inlineStr">
        <is>
          <t>Accumulation</t>
        </is>
      </c>
      <c r="AY146" t="inlineStr">
        <is>
          <t>Residue</t>
        </is>
      </c>
      <c r="AZ146" t="inlineStr">
        <is>
          <t>NOEC</t>
        </is>
      </c>
      <c r="BA146" t="inlineStr">
        <is>
          <t>Gonad(s)</t>
        </is>
      </c>
      <c r="BB146"/>
      <c r="BC146" t="n">
        <v>7.0</v>
      </c>
      <c r="BD146"/>
      <c r="BE146"/>
      <c r="BF146"/>
      <c r="BG146"/>
      <c r="BH146" t="inlineStr">
        <is>
          <t>Day(s)</t>
        </is>
      </c>
      <c r="BI146"/>
      <c r="BJ146"/>
      <c r="BK146"/>
      <c r="BL146"/>
      <c r="BM146"/>
      <c r="BN146"/>
      <c r="BO146" t="inlineStr">
        <is>
          <t>--</t>
        </is>
      </c>
      <c r="BP146"/>
      <c r="BQ146"/>
      <c r="BR146"/>
      <c r="BS146"/>
      <c r="BT146"/>
      <c r="BU146"/>
      <c r="BV146"/>
      <c r="BW146"/>
      <c r="BX146"/>
      <c r="BY146"/>
      <c r="BZ146"/>
      <c r="CA146"/>
      <c r="CB146"/>
      <c r="CC146"/>
      <c r="CD146" t="inlineStr">
        <is>
          <t>Xu,P., M. Junaid, Y. Liu, X. Jiang, Y. Chen, C. Bi, J. Wang, and N. Xu</t>
        </is>
      </c>
      <c r="CE146" t="n">
        <v>191112.0</v>
      </c>
      <c r="CF146" t="inlineStr">
        <is>
          <t>Nanoplastics Influence the Perfluorooctane Sulfonate (PFOS) Mediated Toxicity on Marine Mussel Perna viridis: Single and Mixture Exposure Study</t>
        </is>
      </c>
      <c r="CG146" t="inlineStr">
        <is>
          <t>Gondwana Res.108:144-157</t>
        </is>
      </c>
      <c r="CH146" t="n">
        <v>2022.0</v>
      </c>
      <c r="CI146" t="inlineStr">
        <is>
          <t>Xu,P., M. Junaid, Y. Liu, X. Jiang, Y. Chen, C. Bi, J. Wang, and N. Xu (2022). Nanoplastics Influence the Perfluorooctane Sulfonate (PFOS) Mediated Toxicity on Marine Mussel Perna viridis: Single and Mixture Exposure Study. Gondwana Res., 108, 144-157. doi:10.1016/j.gr.2021.12.001. ECOREF#:191112</t>
        </is>
      </c>
    </row>
    <row r="147">
      <c r="A147" t="n">
        <v>1763231.0</v>
      </c>
      <c r="B147" t="inlineStr">
        <is>
          <t>1,1,2,2,3,3,4,4,5,5,6,6,7,7,8,8,8-Heptadecafluoro-1-octanesulfonic acid</t>
        </is>
      </c>
      <c r="C147"/>
      <c r="D147" t="inlineStr">
        <is>
          <t>Unmeasured</t>
        </is>
      </c>
      <c r="E147" t="inlineStr">
        <is>
          <t>&gt;</t>
        </is>
      </c>
      <c r="F147" t="n">
        <v>98.0</v>
      </c>
      <c r="G147"/>
      <c r="H147"/>
      <c r="I147"/>
      <c r="J147"/>
      <c r="K147" t="inlineStr">
        <is>
          <t>Perna viridis</t>
        </is>
      </c>
      <c r="L147" t="inlineStr">
        <is>
          <t>Green Mussel</t>
        </is>
      </c>
      <c r="M147" t="inlineStr">
        <is>
          <t>Molluscs</t>
        </is>
      </c>
      <c r="N147"/>
      <c r="O147"/>
      <c r="P147"/>
      <c r="Q147"/>
      <c r="R147"/>
      <c r="S147"/>
      <c r="T147"/>
      <c r="U147"/>
      <c r="V147" t="inlineStr">
        <is>
          <t>Renewal</t>
        </is>
      </c>
      <c r="W147" t="inlineStr">
        <is>
          <t>Salt water</t>
        </is>
      </c>
      <c r="X147" t="inlineStr">
        <is>
          <t>Lab</t>
        </is>
      </c>
      <c r="Y147" t="n">
        <v>4.0</v>
      </c>
      <c r="Z147" t="inlineStr">
        <is>
          <t>Active ingredient</t>
        </is>
      </c>
      <c r="AA147"/>
      <c r="AB147" t="n">
        <v>0.1</v>
      </c>
      <c r="AC147"/>
      <c r="AD147"/>
      <c r="AE147"/>
      <c r="AF147"/>
      <c r="AG147" t="inlineStr">
        <is>
          <t>AI mg/L</t>
        </is>
      </c>
      <c r="AH147"/>
      <c r="AI147"/>
      <c r="AJ147"/>
      <c r="AK147"/>
      <c r="AL147"/>
      <c r="AM147"/>
      <c r="AN147"/>
      <c r="AO147"/>
      <c r="AP147"/>
      <c r="AQ147"/>
      <c r="AR147"/>
      <c r="AS147"/>
      <c r="AT147"/>
      <c r="AU147"/>
      <c r="AV147"/>
      <c r="AW147"/>
      <c r="AX147" t="inlineStr">
        <is>
          <t>Accumulation</t>
        </is>
      </c>
      <c r="AY147" t="inlineStr">
        <is>
          <t>Residue</t>
        </is>
      </c>
      <c r="AZ147" t="inlineStr">
        <is>
          <t>NOEC</t>
        </is>
      </c>
      <c r="BA147" t="inlineStr">
        <is>
          <t>Gill(s)</t>
        </is>
      </c>
      <c r="BB147"/>
      <c r="BC147" t="n">
        <v>7.0</v>
      </c>
      <c r="BD147"/>
      <c r="BE147"/>
      <c r="BF147"/>
      <c r="BG147"/>
      <c r="BH147" t="inlineStr">
        <is>
          <t>Day(s)</t>
        </is>
      </c>
      <c r="BI147"/>
      <c r="BJ147"/>
      <c r="BK147"/>
      <c r="BL147"/>
      <c r="BM147"/>
      <c r="BN147"/>
      <c r="BO147" t="inlineStr">
        <is>
          <t>--</t>
        </is>
      </c>
      <c r="BP147"/>
      <c r="BQ147"/>
      <c r="BR147"/>
      <c r="BS147"/>
      <c r="BT147"/>
      <c r="BU147"/>
      <c r="BV147"/>
      <c r="BW147"/>
      <c r="BX147"/>
      <c r="BY147"/>
      <c r="BZ147"/>
      <c r="CA147"/>
      <c r="CB147"/>
      <c r="CC147"/>
      <c r="CD147" t="inlineStr">
        <is>
          <t>Xu,P., M. Junaid, Y. Liu, X. Jiang, Y. Chen, C. Bi, J. Wang, and N. Xu</t>
        </is>
      </c>
      <c r="CE147" t="n">
        <v>191112.0</v>
      </c>
      <c r="CF147" t="inlineStr">
        <is>
          <t>Nanoplastics Influence the Perfluorooctane Sulfonate (PFOS) Mediated Toxicity on Marine Mussel Perna viridis: Single and Mixture Exposure Study</t>
        </is>
      </c>
      <c r="CG147" t="inlineStr">
        <is>
          <t>Gondwana Res.108:144-157</t>
        </is>
      </c>
      <c r="CH147" t="n">
        <v>2022.0</v>
      </c>
      <c r="CI147" t="inlineStr">
        <is>
          <t>Xu,P., M. Junaid, Y. Liu, X. Jiang, Y. Chen, C. Bi, J. Wang, and N. Xu (2022). Nanoplastics Influence the Perfluorooctane Sulfonate (PFOS) Mediated Toxicity on Marine Mussel Perna viridis: Single and Mixture Exposure Study. Gondwana Res., 108, 144-157. doi:10.1016/j.gr.2021.12.001. ECOREF#:191112</t>
        </is>
      </c>
    </row>
    <row r="148">
      <c r="A148" t="n">
        <v>1763231.0</v>
      </c>
      <c r="B148" t="inlineStr">
        <is>
          <t>1,1,2,2,3,3,4,4,5,5,6,6,7,7,8,8,8-Heptadecafluoro-1-octanesulfonic acid</t>
        </is>
      </c>
      <c r="C148"/>
      <c r="D148" t="inlineStr">
        <is>
          <t>Measured</t>
        </is>
      </c>
      <c r="E148" t="inlineStr">
        <is>
          <t>&gt;=</t>
        </is>
      </c>
      <c r="F148" t="n">
        <v>97.0</v>
      </c>
      <c r="G148"/>
      <c r="H148"/>
      <c r="I148"/>
      <c r="J148"/>
      <c r="K148" t="inlineStr">
        <is>
          <t>Crassostrea virginica</t>
        </is>
      </c>
      <c r="L148" t="inlineStr">
        <is>
          <t>American Or Virginia Oyster</t>
        </is>
      </c>
      <c r="M148" t="inlineStr">
        <is>
          <t>Molluscs; Standard Test Species</t>
        </is>
      </c>
      <c r="N148" t="inlineStr">
        <is>
          <t>Adult</t>
        </is>
      </c>
      <c r="O148"/>
      <c r="P148"/>
      <c r="Q148"/>
      <c r="R148"/>
      <c r="S148"/>
      <c r="T148"/>
      <c r="U148"/>
      <c r="V148" t="inlineStr">
        <is>
          <t>Renewal</t>
        </is>
      </c>
      <c r="W148" t="inlineStr">
        <is>
          <t>Salt water</t>
        </is>
      </c>
      <c r="X148" t="inlineStr">
        <is>
          <t>Lab</t>
        </is>
      </c>
      <c r="Y148" t="n">
        <v>3.0</v>
      </c>
      <c r="Z148" t="inlineStr">
        <is>
          <t>Active ingredient</t>
        </is>
      </c>
      <c r="AA148"/>
      <c r="AB148"/>
      <c r="AC148"/>
      <c r="AD148" t="n">
        <v>0.246</v>
      </c>
      <c r="AE148"/>
      <c r="AF148" t="n">
        <v>0.258</v>
      </c>
      <c r="AG148" t="inlineStr">
        <is>
          <t>AI mg/L</t>
        </is>
      </c>
      <c r="AH148"/>
      <c r="AI148"/>
      <c r="AJ148"/>
      <c r="AK148"/>
      <c r="AL148"/>
      <c r="AM148"/>
      <c r="AN148"/>
      <c r="AO148"/>
      <c r="AP148"/>
      <c r="AQ148"/>
      <c r="AR148"/>
      <c r="AS148"/>
      <c r="AT148"/>
      <c r="AU148"/>
      <c r="AV148"/>
      <c r="AW148"/>
      <c r="AX148" t="inlineStr">
        <is>
          <t>Accumulation</t>
        </is>
      </c>
      <c r="AY148" t="inlineStr">
        <is>
          <t>Residue</t>
        </is>
      </c>
      <c r="AZ148" t="inlineStr">
        <is>
          <t>BCF</t>
        </is>
      </c>
      <c r="BA148" t="inlineStr">
        <is>
          <t>Whole organism</t>
        </is>
      </c>
      <c r="BB148"/>
      <c r="BC148" t="n">
        <v>7.0</v>
      </c>
      <c r="BD148"/>
      <c r="BE148"/>
      <c r="BF148"/>
      <c r="BG148"/>
      <c r="BH148" t="inlineStr">
        <is>
          <t>Day(s)</t>
        </is>
      </c>
      <c r="BI148"/>
      <c r="BJ148" t="n">
        <v>50.0</v>
      </c>
      <c r="BK148"/>
      <c r="BL148"/>
      <c r="BM148"/>
      <c r="BN148"/>
      <c r="BO148" t="inlineStr">
        <is>
          <t>RA</t>
        </is>
      </c>
      <c r="BP148"/>
      <c r="BQ148"/>
      <c r="BR148"/>
      <c r="BS148"/>
      <c r="BT148"/>
      <c r="BU148"/>
      <c r="BV148"/>
      <c r="BW148"/>
      <c r="BX148"/>
      <c r="BY148"/>
      <c r="BZ148"/>
      <c r="CA148"/>
      <c r="CB148"/>
      <c r="CC148"/>
      <c r="CD148" t="inlineStr">
        <is>
          <t>Aquilina-Beck,A.A., J.L. Reiner, K.W. Chung, M.J. DeLise, P.B. Key, and M.E. DeLorenzo</t>
        </is>
      </c>
      <c r="CE148" t="n">
        <v>185278.0</v>
      </c>
      <c r="CF148" t="inlineStr">
        <is>
          <t>Uptake and Biological Effects of Perfluorooctane Sulfonate Exposure in the Adult Eastern Oyster Crassostrea virginica</t>
        </is>
      </c>
      <c r="CG148" t="inlineStr">
        <is>
          <t>Arch. Environ. Contam. Toxicol.79(3): 333-342</t>
        </is>
      </c>
      <c r="CH148" t="n">
        <v>2020.0</v>
      </c>
      <c r="CI148" t="inlineStr">
        <is>
          <t>Aquilina-Beck,A.A., J.L. Reiner, K.W. Chung, M.J. DeLise, P.B. Key, and M.E. DeLorenzo (2020). Uptake and Biological Effects of Perfluorooctane Sulfonate Exposure in the Adult Eastern Oyster Crassostrea virginica. Arch. Environ. Contam. Toxicol., 79, (3), 333-342. doi:10.1007/s00244-020-00765-4. ECOREF#:185278</t>
        </is>
      </c>
    </row>
    <row r="149">
      <c r="A149" t="n">
        <v>1763231.0</v>
      </c>
      <c r="B149" t="inlineStr">
        <is>
          <t>1,1,2,2,3,3,4,4,5,5,6,6,7,7,8,8,8-Heptadecafluoro-1-octanesulfonic acid</t>
        </is>
      </c>
      <c r="C149"/>
      <c r="D149" t="inlineStr">
        <is>
          <t>Measured</t>
        </is>
      </c>
      <c r="E149" t="inlineStr">
        <is>
          <t>&gt;=</t>
        </is>
      </c>
      <c r="F149" t="n">
        <v>97.0</v>
      </c>
      <c r="G149"/>
      <c r="H149"/>
      <c r="I149"/>
      <c r="J149"/>
      <c r="K149" t="inlineStr">
        <is>
          <t>Crassostrea virginica</t>
        </is>
      </c>
      <c r="L149" t="inlineStr">
        <is>
          <t>American Or Virginia Oyster</t>
        </is>
      </c>
      <c r="M149" t="inlineStr">
        <is>
          <t>Molluscs; Standard Test Species</t>
        </is>
      </c>
      <c r="N149" t="inlineStr">
        <is>
          <t>Adult</t>
        </is>
      </c>
      <c r="O149"/>
      <c r="P149"/>
      <c r="Q149"/>
      <c r="R149"/>
      <c r="S149"/>
      <c r="T149"/>
      <c r="U149"/>
      <c r="V149" t="inlineStr">
        <is>
          <t>Renewal</t>
        </is>
      </c>
      <c r="W149" t="inlineStr">
        <is>
          <t>Salt water</t>
        </is>
      </c>
      <c r="X149" t="inlineStr">
        <is>
          <t>Lab</t>
        </is>
      </c>
      <c r="Y149" t="n">
        <v>3.0</v>
      </c>
      <c r="Z149" t="inlineStr">
        <is>
          <t>Active ingredient</t>
        </is>
      </c>
      <c r="AA149"/>
      <c r="AB149"/>
      <c r="AC149"/>
      <c r="AD149" t="n">
        <v>1.908</v>
      </c>
      <c r="AE149"/>
      <c r="AF149" t="n">
        <v>2.165</v>
      </c>
      <c r="AG149" t="inlineStr">
        <is>
          <t>AI mg/L</t>
        </is>
      </c>
      <c r="AH149"/>
      <c r="AI149"/>
      <c r="AJ149"/>
      <c r="AK149"/>
      <c r="AL149"/>
      <c r="AM149"/>
      <c r="AN149"/>
      <c r="AO149"/>
      <c r="AP149"/>
      <c r="AQ149"/>
      <c r="AR149"/>
      <c r="AS149"/>
      <c r="AT149"/>
      <c r="AU149"/>
      <c r="AV149"/>
      <c r="AW149"/>
      <c r="AX149" t="inlineStr">
        <is>
          <t>Accumulation</t>
        </is>
      </c>
      <c r="AY149" t="inlineStr">
        <is>
          <t>Residue</t>
        </is>
      </c>
      <c r="AZ149" t="inlineStr">
        <is>
          <t>BCF</t>
        </is>
      </c>
      <c r="BA149" t="inlineStr">
        <is>
          <t>Whole organism</t>
        </is>
      </c>
      <c r="BB149"/>
      <c r="BC149" t="n">
        <v>7.0</v>
      </c>
      <c r="BD149"/>
      <c r="BE149"/>
      <c r="BF149"/>
      <c r="BG149"/>
      <c r="BH149" t="inlineStr">
        <is>
          <t>Day(s)</t>
        </is>
      </c>
      <c r="BI149"/>
      <c r="BJ149" t="n">
        <v>116.0</v>
      </c>
      <c r="BK149"/>
      <c r="BL149"/>
      <c r="BM149"/>
      <c r="BN149"/>
      <c r="BO149" t="inlineStr">
        <is>
          <t>RA</t>
        </is>
      </c>
      <c r="BP149"/>
      <c r="BQ149"/>
      <c r="BR149"/>
      <c r="BS149"/>
      <c r="BT149"/>
      <c r="BU149"/>
      <c r="BV149"/>
      <c r="BW149"/>
      <c r="BX149"/>
      <c r="BY149"/>
      <c r="BZ149"/>
      <c r="CA149"/>
      <c r="CB149"/>
      <c r="CC149"/>
      <c r="CD149" t="inlineStr">
        <is>
          <t>Aquilina-Beck,A.A., J.L. Reiner, K.W. Chung, M.J. DeLise, P.B. Key, and M.E. DeLorenzo</t>
        </is>
      </c>
      <c r="CE149" t="n">
        <v>185278.0</v>
      </c>
      <c r="CF149" t="inlineStr">
        <is>
          <t>Uptake and Biological Effects of Perfluorooctane Sulfonate Exposure in the Adult Eastern Oyster Crassostrea virginica</t>
        </is>
      </c>
      <c r="CG149" t="inlineStr">
        <is>
          <t>Arch. Environ. Contam. Toxicol.79(3): 333-342</t>
        </is>
      </c>
      <c r="CH149" t="n">
        <v>2020.0</v>
      </c>
      <c r="CI149" t="inlineStr">
        <is>
          <t>Aquilina-Beck,A.A., J.L. Reiner, K.W. Chung, M.J. DeLise, P.B. Key, and M.E. DeLorenzo (2020). Uptake and Biological Effects of Perfluorooctane Sulfonate Exposure in the Adult Eastern Oyster Crassostrea virginica. Arch. Environ. Contam. Toxicol., 79, (3), 333-342. doi:10.1007/s00244-020-00765-4. ECOREF#:185278</t>
        </is>
      </c>
    </row>
    <row r="150">
      <c r="A150" t="n">
        <v>1763231.0</v>
      </c>
      <c r="B150" t="inlineStr">
        <is>
          <t>1,1,2,2,3,3,4,4,5,5,6,6,7,7,8,8,8-Heptadecafluoro-1-octanesulfonic acid</t>
        </is>
      </c>
      <c r="C150"/>
      <c r="D150" t="inlineStr">
        <is>
          <t>Chemical analysis reported</t>
        </is>
      </c>
      <c r="E150"/>
      <c r="F150"/>
      <c r="G150"/>
      <c r="H150"/>
      <c r="I150"/>
      <c r="J150"/>
      <c r="K150" t="inlineStr">
        <is>
          <t>Stylophora pistillata</t>
        </is>
      </c>
      <c r="L150" t="inlineStr">
        <is>
          <t>Smooth Cauliflower Coral</t>
        </is>
      </c>
      <c r="M150" t="inlineStr">
        <is>
          <t>Other Invertebrates</t>
        </is>
      </c>
      <c r="N150"/>
      <c r="O150"/>
      <c r="P150"/>
      <c r="Q150"/>
      <c r="R150"/>
      <c r="S150"/>
      <c r="T150"/>
      <c r="U150"/>
      <c r="V150" t="inlineStr">
        <is>
          <t>Renewal</t>
        </is>
      </c>
      <c r="W150" t="inlineStr">
        <is>
          <t>Salt water</t>
        </is>
      </c>
      <c r="X150" t="inlineStr">
        <is>
          <t>Lab</t>
        </is>
      </c>
      <c r="Y150" t="n">
        <v>4.0</v>
      </c>
      <c r="Z150" t="inlineStr">
        <is>
          <t>Active ingredient</t>
        </is>
      </c>
      <c r="AA150"/>
      <c r="AB150" t="n">
        <v>1.0E-4</v>
      </c>
      <c r="AC150"/>
      <c r="AD150"/>
      <c r="AE150"/>
      <c r="AF150"/>
      <c r="AG150" t="inlineStr">
        <is>
          <t>AI mg/L</t>
        </is>
      </c>
      <c r="AH150"/>
      <c r="AI150"/>
      <c r="AJ150"/>
      <c r="AK150"/>
      <c r="AL150"/>
      <c r="AM150"/>
      <c r="AN150"/>
      <c r="AO150"/>
      <c r="AP150"/>
      <c r="AQ150"/>
      <c r="AR150"/>
      <c r="AS150"/>
      <c r="AT150"/>
      <c r="AU150"/>
      <c r="AV150"/>
      <c r="AW150"/>
      <c r="AX150" t="inlineStr">
        <is>
          <t>Accumulation</t>
        </is>
      </c>
      <c r="AY150" t="inlineStr">
        <is>
          <t>Residue</t>
        </is>
      </c>
      <c r="AZ150" t="inlineStr">
        <is>
          <t>BCF</t>
        </is>
      </c>
      <c r="BA150" t="inlineStr">
        <is>
          <t>Whole organism</t>
        </is>
      </c>
      <c r="BB150"/>
      <c r="BC150" t="n">
        <v>2.0</v>
      </c>
      <c r="BD150"/>
      <c r="BE150"/>
      <c r="BF150"/>
      <c r="BG150"/>
      <c r="BH150" t="inlineStr">
        <is>
          <t>Day(s)</t>
        </is>
      </c>
      <c r="BI150"/>
      <c r="BJ150"/>
      <c r="BK150" t="inlineStr">
        <is>
          <t>&gt;</t>
        </is>
      </c>
      <c r="BL150" t="n">
        <v>5.0</v>
      </c>
      <c r="BM150" t="inlineStr">
        <is>
          <t>&lt;</t>
        </is>
      </c>
      <c r="BN150" t="n">
        <v>10.0</v>
      </c>
      <c r="BO150" t="inlineStr">
        <is>
          <t>L/kg</t>
        </is>
      </c>
      <c r="BP150"/>
      <c r="BQ150"/>
      <c r="BR150"/>
      <c r="BS150"/>
      <c r="BT150"/>
      <c r="BU150"/>
      <c r="BV150"/>
      <c r="BW150"/>
      <c r="BX150"/>
      <c r="BY150"/>
      <c r="BZ150"/>
      <c r="CA150"/>
      <c r="CB150"/>
      <c r="CC150"/>
      <c r="CD150" t="inlineStr">
        <is>
          <t>Bednarz,V.N., S. Choyke, L.F.B. Marangoni, E.I. Otto, E. Beraud, M. Metian, I. Tolosa, and C. Ferrier-Pages</t>
        </is>
      </c>
      <c r="CE150" t="n">
        <v>188753.0</v>
      </c>
      <c r="CF150" t="inlineStr">
        <is>
          <t>Acute Exposure to Perfluorooctane Sulfonate Exacerbates Heat-Induced Oxidative Stress in a Tropical Coral Species</t>
        </is>
      </c>
      <c r="CG150" t="inlineStr">
        <is>
          <t>Environ. Pollut.302:10 p.</t>
        </is>
      </c>
      <c r="CH150" t="n">
        <v>2022.0</v>
      </c>
      <c r="CI150"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51">
      <c r="A151" t="n">
        <v>1763231.0</v>
      </c>
      <c r="B151" t="inlineStr">
        <is>
          <t>1,1,2,2,3,3,4,4,5,5,6,6,7,7,8,8,8-Heptadecafluoro-1-octanesulfonic acid</t>
        </is>
      </c>
      <c r="C151"/>
      <c r="D151" t="inlineStr">
        <is>
          <t>Chemical analysis reported</t>
        </is>
      </c>
      <c r="E151"/>
      <c r="F151"/>
      <c r="G151"/>
      <c r="H151"/>
      <c r="I151"/>
      <c r="J151"/>
      <c r="K151" t="inlineStr">
        <is>
          <t>Stylophora pistillata</t>
        </is>
      </c>
      <c r="L151" t="inlineStr">
        <is>
          <t>Smooth Cauliflower Coral</t>
        </is>
      </c>
      <c r="M151" t="inlineStr">
        <is>
          <t>Other Invertebrates</t>
        </is>
      </c>
      <c r="N151"/>
      <c r="O151"/>
      <c r="P151"/>
      <c r="Q151"/>
      <c r="R151"/>
      <c r="S151"/>
      <c r="T151"/>
      <c r="U151"/>
      <c r="V151" t="inlineStr">
        <is>
          <t>Renewal</t>
        </is>
      </c>
      <c r="W151" t="inlineStr">
        <is>
          <t>Salt water</t>
        </is>
      </c>
      <c r="X151" t="inlineStr">
        <is>
          <t>Lab</t>
        </is>
      </c>
      <c r="Y151" t="n">
        <v>4.0</v>
      </c>
      <c r="Z151" t="inlineStr">
        <is>
          <t>Active ingredient</t>
        </is>
      </c>
      <c r="AA151"/>
      <c r="AB151" t="n">
        <v>1.0E-4</v>
      </c>
      <c r="AC151"/>
      <c r="AD151"/>
      <c r="AE151"/>
      <c r="AF151"/>
      <c r="AG151" t="inlineStr">
        <is>
          <t>AI mg/L</t>
        </is>
      </c>
      <c r="AH151"/>
      <c r="AI151"/>
      <c r="AJ151"/>
      <c r="AK151"/>
      <c r="AL151"/>
      <c r="AM151"/>
      <c r="AN151"/>
      <c r="AO151"/>
      <c r="AP151"/>
      <c r="AQ151"/>
      <c r="AR151"/>
      <c r="AS151"/>
      <c r="AT151"/>
      <c r="AU151"/>
      <c r="AV151"/>
      <c r="AW151"/>
      <c r="AX151" t="inlineStr">
        <is>
          <t>Accumulation</t>
        </is>
      </c>
      <c r="AY151" t="inlineStr">
        <is>
          <t>Residue</t>
        </is>
      </c>
      <c r="AZ151" t="inlineStr">
        <is>
          <t>BCF</t>
        </is>
      </c>
      <c r="BA151" t="inlineStr">
        <is>
          <t>Whole organism</t>
        </is>
      </c>
      <c r="BB151"/>
      <c r="BC151" t="n">
        <v>14.0</v>
      </c>
      <c r="BD151"/>
      <c r="BE151"/>
      <c r="BF151"/>
      <c r="BG151"/>
      <c r="BH151" t="inlineStr">
        <is>
          <t>Day(s)</t>
        </is>
      </c>
      <c r="BI151"/>
      <c r="BJ151"/>
      <c r="BK151" t="inlineStr">
        <is>
          <t>&gt;</t>
        </is>
      </c>
      <c r="BL151" t="n">
        <v>5.0</v>
      </c>
      <c r="BM151" t="inlineStr">
        <is>
          <t>&lt;</t>
        </is>
      </c>
      <c r="BN151" t="n">
        <v>10.0</v>
      </c>
      <c r="BO151" t="inlineStr">
        <is>
          <t>L/kg</t>
        </is>
      </c>
      <c r="BP151"/>
      <c r="BQ151"/>
      <c r="BR151"/>
      <c r="BS151"/>
      <c r="BT151"/>
      <c r="BU151"/>
      <c r="BV151"/>
      <c r="BW151"/>
      <c r="BX151"/>
      <c r="BY151"/>
      <c r="BZ151"/>
      <c r="CA151"/>
      <c r="CB151"/>
      <c r="CC151"/>
      <c r="CD151" t="inlineStr">
        <is>
          <t>Bednarz,V.N., S. Choyke, L.F.B. Marangoni, E.I. Otto, E. Beraud, M. Metian, I. Tolosa, and C. Ferrier-Pages</t>
        </is>
      </c>
      <c r="CE151" t="n">
        <v>188753.0</v>
      </c>
      <c r="CF151" t="inlineStr">
        <is>
          <t>Acute Exposure to Perfluorooctane Sulfonate Exacerbates Heat-Induced Oxidative Stress in a Tropical Coral Species</t>
        </is>
      </c>
      <c r="CG151" t="inlineStr">
        <is>
          <t>Environ. Pollut.302:10 p.</t>
        </is>
      </c>
      <c r="CH151" t="n">
        <v>2022.0</v>
      </c>
      <c r="CI151"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52">
      <c r="A152" t="n">
        <v>1763231.0</v>
      </c>
      <c r="B152" t="inlineStr">
        <is>
          <t>1,1,2,2,3,3,4,4,5,5,6,6,7,7,8,8,8-Heptadecafluoro-1-octanesulfonic acid</t>
        </is>
      </c>
      <c r="C152"/>
      <c r="D152" t="inlineStr">
        <is>
          <t>Chemical analysis reported</t>
        </is>
      </c>
      <c r="E152"/>
      <c r="F152"/>
      <c r="G152"/>
      <c r="H152"/>
      <c r="I152"/>
      <c r="J152"/>
      <c r="K152" t="inlineStr">
        <is>
          <t>Stylophora pistillata</t>
        </is>
      </c>
      <c r="L152" t="inlineStr">
        <is>
          <t>Smooth Cauliflower Coral</t>
        </is>
      </c>
      <c r="M152" t="inlineStr">
        <is>
          <t>Other Invertebrates</t>
        </is>
      </c>
      <c r="N152"/>
      <c r="O152"/>
      <c r="P152"/>
      <c r="Q152"/>
      <c r="R152"/>
      <c r="S152"/>
      <c r="T152"/>
      <c r="U152"/>
      <c r="V152" t="inlineStr">
        <is>
          <t>Renewal</t>
        </is>
      </c>
      <c r="W152" t="inlineStr">
        <is>
          <t>Salt water</t>
        </is>
      </c>
      <c r="X152" t="inlineStr">
        <is>
          <t>Lab</t>
        </is>
      </c>
      <c r="Y152" t="n">
        <v>4.0</v>
      </c>
      <c r="Z152" t="inlineStr">
        <is>
          <t>Active ingredient</t>
        </is>
      </c>
      <c r="AA152"/>
      <c r="AB152" t="n">
        <v>0.001</v>
      </c>
      <c r="AC152"/>
      <c r="AD152"/>
      <c r="AE152"/>
      <c r="AF152"/>
      <c r="AG152" t="inlineStr">
        <is>
          <t>AI mg/L</t>
        </is>
      </c>
      <c r="AH152"/>
      <c r="AI152"/>
      <c r="AJ152"/>
      <c r="AK152"/>
      <c r="AL152"/>
      <c r="AM152"/>
      <c r="AN152"/>
      <c r="AO152"/>
      <c r="AP152"/>
      <c r="AQ152"/>
      <c r="AR152"/>
      <c r="AS152"/>
      <c r="AT152"/>
      <c r="AU152"/>
      <c r="AV152"/>
      <c r="AW152"/>
      <c r="AX152" t="inlineStr">
        <is>
          <t>Accumulation</t>
        </is>
      </c>
      <c r="AY152" t="inlineStr">
        <is>
          <t>Residue</t>
        </is>
      </c>
      <c r="AZ152" t="inlineStr">
        <is>
          <t>BCF</t>
        </is>
      </c>
      <c r="BA152" t="inlineStr">
        <is>
          <t>Whole organism</t>
        </is>
      </c>
      <c r="BB152"/>
      <c r="BC152" t="n">
        <v>2.0</v>
      </c>
      <c r="BD152"/>
      <c r="BE152"/>
      <c r="BF152"/>
      <c r="BG152"/>
      <c r="BH152" t="inlineStr">
        <is>
          <t>Day(s)</t>
        </is>
      </c>
      <c r="BI152"/>
      <c r="BJ152"/>
      <c r="BK152" t="inlineStr">
        <is>
          <t>&gt;</t>
        </is>
      </c>
      <c r="BL152" t="n">
        <v>5.0</v>
      </c>
      <c r="BM152" t="inlineStr">
        <is>
          <t>&lt;</t>
        </is>
      </c>
      <c r="BN152" t="n">
        <v>10.0</v>
      </c>
      <c r="BO152" t="inlineStr">
        <is>
          <t>L/kg</t>
        </is>
      </c>
      <c r="BP152"/>
      <c r="BQ152"/>
      <c r="BR152"/>
      <c r="BS152"/>
      <c r="BT152"/>
      <c r="BU152"/>
      <c r="BV152"/>
      <c r="BW152"/>
      <c r="BX152"/>
      <c r="BY152"/>
      <c r="BZ152"/>
      <c r="CA152"/>
      <c r="CB152"/>
      <c r="CC152"/>
      <c r="CD152" t="inlineStr">
        <is>
          <t>Bednarz,V.N., S. Choyke, L.F.B. Marangoni, E.I. Otto, E. Beraud, M. Metian, I. Tolosa, and C. Ferrier-Pages</t>
        </is>
      </c>
      <c r="CE152" t="n">
        <v>188753.0</v>
      </c>
      <c r="CF152" t="inlineStr">
        <is>
          <t>Acute Exposure to Perfluorooctane Sulfonate Exacerbates Heat-Induced Oxidative Stress in a Tropical Coral Species</t>
        </is>
      </c>
      <c r="CG152" t="inlineStr">
        <is>
          <t>Environ. Pollut.302:10 p.</t>
        </is>
      </c>
      <c r="CH152" t="n">
        <v>2022.0</v>
      </c>
      <c r="CI152"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53">
      <c r="A153" t="n">
        <v>1763231.0</v>
      </c>
      <c r="B153" t="inlineStr">
        <is>
          <t>1,1,2,2,3,3,4,4,5,5,6,6,7,7,8,8,8-Heptadecafluoro-1-octanesulfonic acid</t>
        </is>
      </c>
      <c r="C153"/>
      <c r="D153" t="inlineStr">
        <is>
          <t>Chemical analysis reported</t>
        </is>
      </c>
      <c r="E153"/>
      <c r="F153"/>
      <c r="G153"/>
      <c r="H153"/>
      <c r="I153"/>
      <c r="J153"/>
      <c r="K153" t="inlineStr">
        <is>
          <t>Stylophora pistillata</t>
        </is>
      </c>
      <c r="L153" t="inlineStr">
        <is>
          <t>Smooth Cauliflower Coral</t>
        </is>
      </c>
      <c r="M153" t="inlineStr">
        <is>
          <t>Other Invertebrates</t>
        </is>
      </c>
      <c r="N153"/>
      <c r="O153"/>
      <c r="P153"/>
      <c r="Q153"/>
      <c r="R153"/>
      <c r="S153"/>
      <c r="T153"/>
      <c r="U153"/>
      <c r="V153" t="inlineStr">
        <is>
          <t>Renewal</t>
        </is>
      </c>
      <c r="W153" t="inlineStr">
        <is>
          <t>Salt water</t>
        </is>
      </c>
      <c r="X153" t="inlineStr">
        <is>
          <t>Lab</t>
        </is>
      </c>
      <c r="Y153" t="n">
        <v>4.0</v>
      </c>
      <c r="Z153" t="inlineStr">
        <is>
          <t>Active ingredient</t>
        </is>
      </c>
      <c r="AA153"/>
      <c r="AB153" t="n">
        <v>1.0E-4</v>
      </c>
      <c r="AC153"/>
      <c r="AD153"/>
      <c r="AE153"/>
      <c r="AF153"/>
      <c r="AG153" t="inlineStr">
        <is>
          <t>AI mg/L</t>
        </is>
      </c>
      <c r="AH153"/>
      <c r="AI153"/>
      <c r="AJ153"/>
      <c r="AK153"/>
      <c r="AL153"/>
      <c r="AM153"/>
      <c r="AN153"/>
      <c r="AO153"/>
      <c r="AP153"/>
      <c r="AQ153"/>
      <c r="AR153"/>
      <c r="AS153"/>
      <c r="AT153"/>
      <c r="AU153"/>
      <c r="AV153"/>
      <c r="AW153"/>
      <c r="AX153" t="inlineStr">
        <is>
          <t>Accumulation</t>
        </is>
      </c>
      <c r="AY153" t="inlineStr">
        <is>
          <t>Residue</t>
        </is>
      </c>
      <c r="AZ153" t="inlineStr">
        <is>
          <t>BCF</t>
        </is>
      </c>
      <c r="BA153" t="inlineStr">
        <is>
          <t>Whole organism</t>
        </is>
      </c>
      <c r="BB153"/>
      <c r="BC153" t="n">
        <v>5.0</v>
      </c>
      <c r="BD153"/>
      <c r="BE153"/>
      <c r="BF153"/>
      <c r="BG153"/>
      <c r="BH153" t="inlineStr">
        <is>
          <t>Day(s)</t>
        </is>
      </c>
      <c r="BI153"/>
      <c r="BJ153"/>
      <c r="BK153" t="inlineStr">
        <is>
          <t>&gt;</t>
        </is>
      </c>
      <c r="BL153" t="n">
        <v>5.0</v>
      </c>
      <c r="BM153" t="inlineStr">
        <is>
          <t>&lt;</t>
        </is>
      </c>
      <c r="BN153" t="n">
        <v>10.0</v>
      </c>
      <c r="BO153" t="inlineStr">
        <is>
          <t>L/kg</t>
        </is>
      </c>
      <c r="BP153"/>
      <c r="BQ153"/>
      <c r="BR153"/>
      <c r="BS153"/>
      <c r="BT153"/>
      <c r="BU153"/>
      <c r="BV153"/>
      <c r="BW153"/>
      <c r="BX153"/>
      <c r="BY153"/>
      <c r="BZ153"/>
      <c r="CA153"/>
      <c r="CB153"/>
      <c r="CC153"/>
      <c r="CD153" t="inlineStr">
        <is>
          <t>Bednarz,V.N., S. Choyke, L.F.B. Marangoni, E.I. Otto, E. Beraud, M. Metian, I. Tolosa, and C. Ferrier-Pages</t>
        </is>
      </c>
      <c r="CE153" t="n">
        <v>188753.0</v>
      </c>
      <c r="CF153" t="inlineStr">
        <is>
          <t>Acute Exposure to Perfluorooctane Sulfonate Exacerbates Heat-Induced Oxidative Stress in a Tropical Coral Species</t>
        </is>
      </c>
      <c r="CG153" t="inlineStr">
        <is>
          <t>Environ. Pollut.302:10 p.</t>
        </is>
      </c>
      <c r="CH153" t="n">
        <v>2022.0</v>
      </c>
      <c r="CI153"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54">
      <c r="A154" t="n">
        <v>1763231.0</v>
      </c>
      <c r="B154" t="inlineStr">
        <is>
          <t>1,1,2,2,3,3,4,4,5,5,6,6,7,7,8,8,8-Heptadecafluoro-1-octanesulfonic acid</t>
        </is>
      </c>
      <c r="C154"/>
      <c r="D154" t="inlineStr">
        <is>
          <t>Chemical analysis reported</t>
        </is>
      </c>
      <c r="E154"/>
      <c r="F154"/>
      <c r="G154"/>
      <c r="H154"/>
      <c r="I154"/>
      <c r="J154"/>
      <c r="K154" t="inlineStr">
        <is>
          <t>Stylophora pistillata</t>
        </is>
      </c>
      <c r="L154" t="inlineStr">
        <is>
          <t>Smooth Cauliflower Coral</t>
        </is>
      </c>
      <c r="M154" t="inlineStr">
        <is>
          <t>Other Invertebrates</t>
        </is>
      </c>
      <c r="N154"/>
      <c r="O154"/>
      <c r="P154"/>
      <c r="Q154"/>
      <c r="R154"/>
      <c r="S154"/>
      <c r="T154"/>
      <c r="U154"/>
      <c r="V154" t="inlineStr">
        <is>
          <t>Renewal</t>
        </is>
      </c>
      <c r="W154" t="inlineStr">
        <is>
          <t>Salt water</t>
        </is>
      </c>
      <c r="X154" t="inlineStr">
        <is>
          <t>Lab</t>
        </is>
      </c>
      <c r="Y154" t="n">
        <v>4.0</v>
      </c>
      <c r="Z154" t="inlineStr">
        <is>
          <t>Active ingredient</t>
        </is>
      </c>
      <c r="AA154"/>
      <c r="AB154" t="n">
        <v>0.001</v>
      </c>
      <c r="AC154"/>
      <c r="AD154"/>
      <c r="AE154"/>
      <c r="AF154"/>
      <c r="AG154" t="inlineStr">
        <is>
          <t>AI mg/L</t>
        </is>
      </c>
      <c r="AH154"/>
      <c r="AI154"/>
      <c r="AJ154"/>
      <c r="AK154"/>
      <c r="AL154"/>
      <c r="AM154"/>
      <c r="AN154"/>
      <c r="AO154"/>
      <c r="AP154"/>
      <c r="AQ154"/>
      <c r="AR154"/>
      <c r="AS154"/>
      <c r="AT154"/>
      <c r="AU154"/>
      <c r="AV154"/>
      <c r="AW154"/>
      <c r="AX154" t="inlineStr">
        <is>
          <t>Accumulation</t>
        </is>
      </c>
      <c r="AY154" t="inlineStr">
        <is>
          <t>Residue</t>
        </is>
      </c>
      <c r="AZ154" t="inlineStr">
        <is>
          <t>BCF</t>
        </is>
      </c>
      <c r="BA154" t="inlineStr">
        <is>
          <t>Whole organism</t>
        </is>
      </c>
      <c r="BB154"/>
      <c r="BC154" t="n">
        <v>14.0</v>
      </c>
      <c r="BD154"/>
      <c r="BE154"/>
      <c r="BF154"/>
      <c r="BG154"/>
      <c r="BH154" t="inlineStr">
        <is>
          <t>Day(s)</t>
        </is>
      </c>
      <c r="BI154"/>
      <c r="BJ154"/>
      <c r="BK154" t="inlineStr">
        <is>
          <t>&gt;</t>
        </is>
      </c>
      <c r="BL154" t="n">
        <v>5.0</v>
      </c>
      <c r="BM154" t="inlineStr">
        <is>
          <t>&lt;</t>
        </is>
      </c>
      <c r="BN154" t="n">
        <v>10.0</v>
      </c>
      <c r="BO154" t="inlineStr">
        <is>
          <t>L/kg</t>
        </is>
      </c>
      <c r="BP154"/>
      <c r="BQ154"/>
      <c r="BR154"/>
      <c r="BS154"/>
      <c r="BT154"/>
      <c r="BU154"/>
      <c r="BV154"/>
      <c r="BW154"/>
      <c r="BX154"/>
      <c r="BY154"/>
      <c r="BZ154"/>
      <c r="CA154"/>
      <c r="CB154"/>
      <c r="CC154"/>
      <c r="CD154" t="inlineStr">
        <is>
          <t>Bednarz,V.N., S. Choyke, L.F.B. Marangoni, E.I. Otto, E. Beraud, M. Metian, I. Tolosa, and C. Ferrier-Pages</t>
        </is>
      </c>
      <c r="CE154" t="n">
        <v>188753.0</v>
      </c>
      <c r="CF154" t="inlineStr">
        <is>
          <t>Acute Exposure to Perfluorooctane Sulfonate Exacerbates Heat-Induced Oxidative Stress in a Tropical Coral Species</t>
        </is>
      </c>
      <c r="CG154" t="inlineStr">
        <is>
          <t>Environ. Pollut.302:10 p.</t>
        </is>
      </c>
      <c r="CH154" t="n">
        <v>2022.0</v>
      </c>
      <c r="CI154"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55">
      <c r="A155" t="n">
        <v>1763231.0</v>
      </c>
      <c r="B155" t="inlineStr">
        <is>
          <t>1,1,2,2,3,3,4,4,5,5,6,6,7,7,8,8,8-Heptadecafluoro-1-octanesulfonic acid</t>
        </is>
      </c>
      <c r="C155"/>
      <c r="D155" t="inlineStr">
        <is>
          <t>Chemical analysis reported</t>
        </is>
      </c>
      <c r="E155"/>
      <c r="F155"/>
      <c r="G155"/>
      <c r="H155"/>
      <c r="I155"/>
      <c r="J155"/>
      <c r="K155" t="inlineStr">
        <is>
          <t>Stylophora pistillata</t>
        </is>
      </c>
      <c r="L155" t="inlineStr">
        <is>
          <t>Smooth Cauliflower Coral</t>
        </is>
      </c>
      <c r="M155" t="inlineStr">
        <is>
          <t>Other Invertebrates</t>
        </is>
      </c>
      <c r="N155"/>
      <c r="O155"/>
      <c r="P155"/>
      <c r="Q155"/>
      <c r="R155"/>
      <c r="S155"/>
      <c r="T155"/>
      <c r="U155"/>
      <c r="V155" t="inlineStr">
        <is>
          <t>Renewal</t>
        </is>
      </c>
      <c r="W155" t="inlineStr">
        <is>
          <t>Salt water</t>
        </is>
      </c>
      <c r="X155" t="inlineStr">
        <is>
          <t>Lab</t>
        </is>
      </c>
      <c r="Y155" t="n">
        <v>4.0</v>
      </c>
      <c r="Z155" t="inlineStr">
        <is>
          <t>Active ingredient</t>
        </is>
      </c>
      <c r="AA155"/>
      <c r="AB155" t="n">
        <v>0.004</v>
      </c>
      <c r="AC155"/>
      <c r="AD155"/>
      <c r="AE155"/>
      <c r="AF155"/>
      <c r="AG155" t="inlineStr">
        <is>
          <t>AI mg/L</t>
        </is>
      </c>
      <c r="AH155"/>
      <c r="AI155"/>
      <c r="AJ155"/>
      <c r="AK155"/>
      <c r="AL155"/>
      <c r="AM155"/>
      <c r="AN155"/>
      <c r="AO155"/>
      <c r="AP155"/>
      <c r="AQ155"/>
      <c r="AR155"/>
      <c r="AS155"/>
      <c r="AT155"/>
      <c r="AU155"/>
      <c r="AV155"/>
      <c r="AW155"/>
      <c r="AX155" t="inlineStr">
        <is>
          <t>Accumulation</t>
        </is>
      </c>
      <c r="AY155" t="inlineStr">
        <is>
          <t>Residue</t>
        </is>
      </c>
      <c r="AZ155" t="inlineStr">
        <is>
          <t>BCF</t>
        </is>
      </c>
      <c r="BA155" t="inlineStr">
        <is>
          <t>Whole organism</t>
        </is>
      </c>
      <c r="BB155"/>
      <c r="BC155" t="n">
        <v>14.0</v>
      </c>
      <c r="BD155"/>
      <c r="BE155"/>
      <c r="BF155"/>
      <c r="BG155"/>
      <c r="BH155" t="inlineStr">
        <is>
          <t>Day(s)</t>
        </is>
      </c>
      <c r="BI155"/>
      <c r="BJ155"/>
      <c r="BK155" t="inlineStr">
        <is>
          <t>&gt;</t>
        </is>
      </c>
      <c r="BL155" t="n">
        <v>5.0</v>
      </c>
      <c r="BM155" t="inlineStr">
        <is>
          <t>&lt;</t>
        </is>
      </c>
      <c r="BN155" t="n">
        <v>10.0</v>
      </c>
      <c r="BO155" t="inlineStr">
        <is>
          <t>L/kg</t>
        </is>
      </c>
      <c r="BP155"/>
      <c r="BQ155"/>
      <c r="BR155"/>
      <c r="BS155"/>
      <c r="BT155"/>
      <c r="BU155"/>
      <c r="BV155"/>
      <c r="BW155"/>
      <c r="BX155"/>
      <c r="BY155"/>
      <c r="BZ155"/>
      <c r="CA155"/>
      <c r="CB155"/>
      <c r="CC155"/>
      <c r="CD155" t="inlineStr">
        <is>
          <t>Bednarz,V.N., S. Choyke, L.F.B. Marangoni, E.I. Otto, E. Beraud, M. Metian, I. Tolosa, and C. Ferrier-Pages</t>
        </is>
      </c>
      <c r="CE155" t="n">
        <v>188753.0</v>
      </c>
      <c r="CF155" t="inlineStr">
        <is>
          <t>Acute Exposure to Perfluorooctane Sulfonate Exacerbates Heat-Induced Oxidative Stress in a Tropical Coral Species</t>
        </is>
      </c>
      <c r="CG155" t="inlineStr">
        <is>
          <t>Environ. Pollut.302:10 p.</t>
        </is>
      </c>
      <c r="CH155" t="n">
        <v>2022.0</v>
      </c>
      <c r="CI155"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56">
      <c r="A156" t="n">
        <v>1763231.0</v>
      </c>
      <c r="B156" t="inlineStr">
        <is>
          <t>1,1,2,2,3,3,4,4,5,5,6,6,7,7,8,8,8-Heptadecafluoro-1-octanesulfonic acid</t>
        </is>
      </c>
      <c r="C156"/>
      <c r="D156" t="inlineStr">
        <is>
          <t>Chemical analysis reported</t>
        </is>
      </c>
      <c r="E156"/>
      <c r="F156"/>
      <c r="G156"/>
      <c r="H156"/>
      <c r="I156"/>
      <c r="J156"/>
      <c r="K156" t="inlineStr">
        <is>
          <t>Stylophora pistillata</t>
        </is>
      </c>
      <c r="L156" t="inlineStr">
        <is>
          <t>Smooth Cauliflower Coral</t>
        </is>
      </c>
      <c r="M156" t="inlineStr">
        <is>
          <t>Other Invertebrates</t>
        </is>
      </c>
      <c r="N156"/>
      <c r="O156"/>
      <c r="P156"/>
      <c r="Q156"/>
      <c r="R156"/>
      <c r="S156"/>
      <c r="T156"/>
      <c r="U156"/>
      <c r="V156" t="inlineStr">
        <is>
          <t>Renewal</t>
        </is>
      </c>
      <c r="W156" t="inlineStr">
        <is>
          <t>Salt water</t>
        </is>
      </c>
      <c r="X156" t="inlineStr">
        <is>
          <t>Lab</t>
        </is>
      </c>
      <c r="Y156" t="n">
        <v>4.0</v>
      </c>
      <c r="Z156" t="inlineStr">
        <is>
          <t>Active ingredient</t>
        </is>
      </c>
      <c r="AA156"/>
      <c r="AB156" t="n">
        <v>0.004</v>
      </c>
      <c r="AC156"/>
      <c r="AD156"/>
      <c r="AE156"/>
      <c r="AF156"/>
      <c r="AG156" t="inlineStr">
        <is>
          <t>AI mg/L</t>
        </is>
      </c>
      <c r="AH156"/>
      <c r="AI156"/>
      <c r="AJ156"/>
      <c r="AK156"/>
      <c r="AL156"/>
      <c r="AM156"/>
      <c r="AN156"/>
      <c r="AO156"/>
      <c r="AP156"/>
      <c r="AQ156"/>
      <c r="AR156"/>
      <c r="AS156"/>
      <c r="AT156"/>
      <c r="AU156"/>
      <c r="AV156"/>
      <c r="AW156"/>
      <c r="AX156" t="inlineStr">
        <is>
          <t>Accumulation</t>
        </is>
      </c>
      <c r="AY156" t="inlineStr">
        <is>
          <t>Residue</t>
        </is>
      </c>
      <c r="AZ156" t="inlineStr">
        <is>
          <t>BCF</t>
        </is>
      </c>
      <c r="BA156" t="inlineStr">
        <is>
          <t>Whole organism</t>
        </is>
      </c>
      <c r="BB156"/>
      <c r="BC156" t="n">
        <v>2.0</v>
      </c>
      <c r="BD156"/>
      <c r="BE156"/>
      <c r="BF156"/>
      <c r="BG156"/>
      <c r="BH156" t="inlineStr">
        <is>
          <t>Day(s)</t>
        </is>
      </c>
      <c r="BI156"/>
      <c r="BJ156"/>
      <c r="BK156" t="inlineStr">
        <is>
          <t>&gt;</t>
        </is>
      </c>
      <c r="BL156" t="n">
        <v>5.0</v>
      </c>
      <c r="BM156" t="inlineStr">
        <is>
          <t>&lt;</t>
        </is>
      </c>
      <c r="BN156" t="n">
        <v>10.0</v>
      </c>
      <c r="BO156" t="inlineStr">
        <is>
          <t>L/kg</t>
        </is>
      </c>
      <c r="BP156"/>
      <c r="BQ156"/>
      <c r="BR156"/>
      <c r="BS156"/>
      <c r="BT156"/>
      <c r="BU156"/>
      <c r="BV156"/>
      <c r="BW156"/>
      <c r="BX156"/>
      <c r="BY156"/>
      <c r="BZ156"/>
      <c r="CA156"/>
      <c r="CB156"/>
      <c r="CC156"/>
      <c r="CD156" t="inlineStr">
        <is>
          <t>Bednarz,V.N., S. Choyke, L.F.B. Marangoni, E.I. Otto, E. Beraud, M. Metian, I. Tolosa, and C. Ferrier-Pages</t>
        </is>
      </c>
      <c r="CE156" t="n">
        <v>188753.0</v>
      </c>
      <c r="CF156" t="inlineStr">
        <is>
          <t>Acute Exposure to Perfluorooctane Sulfonate Exacerbates Heat-Induced Oxidative Stress in a Tropical Coral Species</t>
        </is>
      </c>
      <c r="CG156" t="inlineStr">
        <is>
          <t>Environ. Pollut.302:10 p.</t>
        </is>
      </c>
      <c r="CH156" t="n">
        <v>2022.0</v>
      </c>
      <c r="CI156"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57">
      <c r="A157" t="n">
        <v>1763231.0</v>
      </c>
      <c r="B157" t="inlineStr">
        <is>
          <t>1,1,2,2,3,3,4,4,5,5,6,6,7,7,8,8,8-Heptadecafluoro-1-octanesulfonic acid</t>
        </is>
      </c>
      <c r="C157"/>
      <c r="D157" t="inlineStr">
        <is>
          <t>Chemical analysis reported</t>
        </is>
      </c>
      <c r="E157"/>
      <c r="F157"/>
      <c r="G157"/>
      <c r="H157"/>
      <c r="I157"/>
      <c r="J157"/>
      <c r="K157" t="inlineStr">
        <is>
          <t>Stylophora pistillata</t>
        </is>
      </c>
      <c r="L157" t="inlineStr">
        <is>
          <t>Smooth Cauliflower Coral</t>
        </is>
      </c>
      <c r="M157" t="inlineStr">
        <is>
          <t>Other Invertebrates</t>
        </is>
      </c>
      <c r="N157"/>
      <c r="O157"/>
      <c r="P157"/>
      <c r="Q157"/>
      <c r="R157"/>
      <c r="S157"/>
      <c r="T157"/>
      <c r="U157"/>
      <c r="V157" t="inlineStr">
        <is>
          <t>Renewal</t>
        </is>
      </c>
      <c r="W157" t="inlineStr">
        <is>
          <t>Salt water</t>
        </is>
      </c>
      <c r="X157" t="inlineStr">
        <is>
          <t>Lab</t>
        </is>
      </c>
      <c r="Y157" t="n">
        <v>4.0</v>
      </c>
      <c r="Z157" t="inlineStr">
        <is>
          <t>Active ingredient</t>
        </is>
      </c>
      <c r="AA157"/>
      <c r="AB157" t="n">
        <v>1.0E-5</v>
      </c>
      <c r="AC157"/>
      <c r="AD157"/>
      <c r="AE157"/>
      <c r="AF157"/>
      <c r="AG157" t="inlineStr">
        <is>
          <t>AI mg/L</t>
        </is>
      </c>
      <c r="AH157"/>
      <c r="AI157"/>
      <c r="AJ157"/>
      <c r="AK157"/>
      <c r="AL157"/>
      <c r="AM157"/>
      <c r="AN157"/>
      <c r="AO157"/>
      <c r="AP157"/>
      <c r="AQ157"/>
      <c r="AR157"/>
      <c r="AS157"/>
      <c r="AT157"/>
      <c r="AU157"/>
      <c r="AV157"/>
      <c r="AW157"/>
      <c r="AX157" t="inlineStr">
        <is>
          <t>Accumulation</t>
        </is>
      </c>
      <c r="AY157" t="inlineStr">
        <is>
          <t>Residue</t>
        </is>
      </c>
      <c r="AZ157" t="inlineStr">
        <is>
          <t>BCF</t>
        </is>
      </c>
      <c r="BA157" t="inlineStr">
        <is>
          <t>Whole organism</t>
        </is>
      </c>
      <c r="BB157"/>
      <c r="BC157" t="n">
        <v>5.0</v>
      </c>
      <c r="BD157"/>
      <c r="BE157"/>
      <c r="BF157"/>
      <c r="BG157"/>
      <c r="BH157" t="inlineStr">
        <is>
          <t>Day(s)</t>
        </is>
      </c>
      <c r="BI157"/>
      <c r="BJ157"/>
      <c r="BK157" t="inlineStr">
        <is>
          <t>&gt;</t>
        </is>
      </c>
      <c r="BL157" t="n">
        <v>10.0</v>
      </c>
      <c r="BM157" t="inlineStr">
        <is>
          <t>&lt;</t>
        </is>
      </c>
      <c r="BN157" t="n">
        <v>15.0</v>
      </c>
      <c r="BO157" t="inlineStr">
        <is>
          <t>L/kg</t>
        </is>
      </c>
      <c r="BP157"/>
      <c r="BQ157"/>
      <c r="BR157"/>
      <c r="BS157"/>
      <c r="BT157"/>
      <c r="BU157"/>
      <c r="BV157"/>
      <c r="BW157"/>
      <c r="BX157"/>
      <c r="BY157"/>
      <c r="BZ157"/>
      <c r="CA157"/>
      <c r="CB157"/>
      <c r="CC157"/>
      <c r="CD157" t="inlineStr">
        <is>
          <t>Bednarz,V.N., S. Choyke, L.F.B. Marangoni, E.I. Otto, E. Beraud, M. Metian, I. Tolosa, and C. Ferrier-Pages</t>
        </is>
      </c>
      <c r="CE157" t="n">
        <v>188753.0</v>
      </c>
      <c r="CF157" t="inlineStr">
        <is>
          <t>Acute Exposure to Perfluorooctane Sulfonate Exacerbates Heat-Induced Oxidative Stress in a Tropical Coral Species</t>
        </is>
      </c>
      <c r="CG157" t="inlineStr">
        <is>
          <t>Environ. Pollut.302:10 p.</t>
        </is>
      </c>
      <c r="CH157" t="n">
        <v>2022.0</v>
      </c>
      <c r="CI157"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58">
      <c r="A158" t="n">
        <v>1763231.0</v>
      </c>
      <c r="B158" t="inlineStr">
        <is>
          <t>1,1,2,2,3,3,4,4,5,5,6,6,7,7,8,8,8-Heptadecafluoro-1-octanesulfonic acid</t>
        </is>
      </c>
      <c r="C158"/>
      <c r="D158" t="inlineStr">
        <is>
          <t>Chemical analysis reported</t>
        </is>
      </c>
      <c r="E158"/>
      <c r="F158"/>
      <c r="G158"/>
      <c r="H158"/>
      <c r="I158"/>
      <c r="J158"/>
      <c r="K158" t="inlineStr">
        <is>
          <t>Stylophora pistillata</t>
        </is>
      </c>
      <c r="L158" t="inlineStr">
        <is>
          <t>Smooth Cauliflower Coral</t>
        </is>
      </c>
      <c r="M158" t="inlineStr">
        <is>
          <t>Other Invertebrates</t>
        </is>
      </c>
      <c r="N158"/>
      <c r="O158"/>
      <c r="P158"/>
      <c r="Q158"/>
      <c r="R158"/>
      <c r="S158"/>
      <c r="T158"/>
      <c r="U158"/>
      <c r="V158" t="inlineStr">
        <is>
          <t>Renewal</t>
        </is>
      </c>
      <c r="W158" t="inlineStr">
        <is>
          <t>Salt water</t>
        </is>
      </c>
      <c r="X158" t="inlineStr">
        <is>
          <t>Lab</t>
        </is>
      </c>
      <c r="Y158" t="n">
        <v>4.0</v>
      </c>
      <c r="Z158" t="inlineStr">
        <is>
          <t>Active ingredient</t>
        </is>
      </c>
      <c r="AA158"/>
      <c r="AB158" t="n">
        <v>0.004</v>
      </c>
      <c r="AC158"/>
      <c r="AD158"/>
      <c r="AE158"/>
      <c r="AF158"/>
      <c r="AG158" t="inlineStr">
        <is>
          <t>AI mg/L</t>
        </is>
      </c>
      <c r="AH158"/>
      <c r="AI158"/>
      <c r="AJ158"/>
      <c r="AK158"/>
      <c r="AL158"/>
      <c r="AM158"/>
      <c r="AN158"/>
      <c r="AO158"/>
      <c r="AP158"/>
      <c r="AQ158"/>
      <c r="AR158"/>
      <c r="AS158"/>
      <c r="AT158"/>
      <c r="AU158"/>
      <c r="AV158"/>
      <c r="AW158"/>
      <c r="AX158" t="inlineStr">
        <is>
          <t>Accumulation</t>
        </is>
      </c>
      <c r="AY158" t="inlineStr">
        <is>
          <t>Residue</t>
        </is>
      </c>
      <c r="AZ158" t="inlineStr">
        <is>
          <t>BCF</t>
        </is>
      </c>
      <c r="BA158" t="inlineStr">
        <is>
          <t>Whole organism</t>
        </is>
      </c>
      <c r="BB158"/>
      <c r="BC158" t="n">
        <v>5.0</v>
      </c>
      <c r="BD158"/>
      <c r="BE158"/>
      <c r="BF158"/>
      <c r="BG158"/>
      <c r="BH158" t="inlineStr">
        <is>
          <t>Day(s)</t>
        </is>
      </c>
      <c r="BI158"/>
      <c r="BJ158"/>
      <c r="BK158" t="inlineStr">
        <is>
          <t>&gt;</t>
        </is>
      </c>
      <c r="BL158" t="n">
        <v>10.0</v>
      </c>
      <c r="BM158" t="inlineStr">
        <is>
          <t>&lt;</t>
        </is>
      </c>
      <c r="BN158" t="n">
        <v>15.0</v>
      </c>
      <c r="BO158" t="inlineStr">
        <is>
          <t>L/kg</t>
        </is>
      </c>
      <c r="BP158"/>
      <c r="BQ158"/>
      <c r="BR158"/>
      <c r="BS158"/>
      <c r="BT158"/>
      <c r="BU158"/>
      <c r="BV158"/>
      <c r="BW158"/>
      <c r="BX158"/>
      <c r="BY158"/>
      <c r="BZ158"/>
      <c r="CA158"/>
      <c r="CB158"/>
      <c r="CC158"/>
      <c r="CD158" t="inlineStr">
        <is>
          <t>Bednarz,V.N., S. Choyke, L.F.B. Marangoni, E.I. Otto, E. Beraud, M. Metian, I. Tolosa, and C. Ferrier-Pages</t>
        </is>
      </c>
      <c r="CE158" t="n">
        <v>188753.0</v>
      </c>
      <c r="CF158" t="inlineStr">
        <is>
          <t>Acute Exposure to Perfluorooctane Sulfonate Exacerbates Heat-Induced Oxidative Stress in a Tropical Coral Species</t>
        </is>
      </c>
      <c r="CG158" t="inlineStr">
        <is>
          <t>Environ. Pollut.302:10 p.</t>
        </is>
      </c>
      <c r="CH158" t="n">
        <v>2022.0</v>
      </c>
      <c r="CI158"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59">
      <c r="A159" t="n">
        <v>1763231.0</v>
      </c>
      <c r="B159" t="inlineStr">
        <is>
          <t>1,1,2,2,3,3,4,4,5,5,6,6,7,7,8,8,8-Heptadecafluoro-1-octanesulfonic acid</t>
        </is>
      </c>
      <c r="C159"/>
      <c r="D159" t="inlineStr">
        <is>
          <t>Chemical analysis reported</t>
        </is>
      </c>
      <c r="E159"/>
      <c r="F159"/>
      <c r="G159"/>
      <c r="H159"/>
      <c r="I159"/>
      <c r="J159"/>
      <c r="K159" t="inlineStr">
        <is>
          <t>Stylophora pistillata</t>
        </is>
      </c>
      <c r="L159" t="inlineStr">
        <is>
          <t>Smooth Cauliflower Coral</t>
        </is>
      </c>
      <c r="M159" t="inlineStr">
        <is>
          <t>Other Invertebrates</t>
        </is>
      </c>
      <c r="N159"/>
      <c r="O159"/>
      <c r="P159"/>
      <c r="Q159"/>
      <c r="R159"/>
      <c r="S159"/>
      <c r="T159"/>
      <c r="U159"/>
      <c r="V159" t="inlineStr">
        <is>
          <t>Renewal</t>
        </is>
      </c>
      <c r="W159" t="inlineStr">
        <is>
          <t>Salt water</t>
        </is>
      </c>
      <c r="X159" t="inlineStr">
        <is>
          <t>Lab</t>
        </is>
      </c>
      <c r="Y159" t="n">
        <v>4.0</v>
      </c>
      <c r="Z159" t="inlineStr">
        <is>
          <t>Active ingredient</t>
        </is>
      </c>
      <c r="AA159"/>
      <c r="AB159" t="n">
        <v>1.0E-5</v>
      </c>
      <c r="AC159"/>
      <c r="AD159"/>
      <c r="AE159"/>
      <c r="AF159"/>
      <c r="AG159" t="inlineStr">
        <is>
          <t>AI mg/L</t>
        </is>
      </c>
      <c r="AH159"/>
      <c r="AI159"/>
      <c r="AJ159"/>
      <c r="AK159"/>
      <c r="AL159"/>
      <c r="AM159"/>
      <c r="AN159"/>
      <c r="AO159"/>
      <c r="AP159"/>
      <c r="AQ159"/>
      <c r="AR159"/>
      <c r="AS159"/>
      <c r="AT159"/>
      <c r="AU159"/>
      <c r="AV159"/>
      <c r="AW159"/>
      <c r="AX159" t="inlineStr">
        <is>
          <t>Accumulation</t>
        </is>
      </c>
      <c r="AY159" t="inlineStr">
        <is>
          <t>Residue</t>
        </is>
      </c>
      <c r="AZ159" t="inlineStr">
        <is>
          <t>BCF</t>
        </is>
      </c>
      <c r="BA159" t="inlineStr">
        <is>
          <t>Whole organism</t>
        </is>
      </c>
      <c r="BB159"/>
      <c r="BC159" t="n">
        <v>14.0</v>
      </c>
      <c r="BD159"/>
      <c r="BE159"/>
      <c r="BF159"/>
      <c r="BG159"/>
      <c r="BH159" t="inlineStr">
        <is>
          <t>Day(s)</t>
        </is>
      </c>
      <c r="BI159"/>
      <c r="BJ159"/>
      <c r="BK159" t="inlineStr">
        <is>
          <t>&gt;</t>
        </is>
      </c>
      <c r="BL159" t="n">
        <v>10.0</v>
      </c>
      <c r="BM159" t="inlineStr">
        <is>
          <t>&lt;</t>
        </is>
      </c>
      <c r="BN159" t="n">
        <v>15.0</v>
      </c>
      <c r="BO159" t="inlineStr">
        <is>
          <t>L/kg</t>
        </is>
      </c>
      <c r="BP159"/>
      <c r="BQ159"/>
      <c r="BR159"/>
      <c r="BS159"/>
      <c r="BT159"/>
      <c r="BU159"/>
      <c r="BV159"/>
      <c r="BW159"/>
      <c r="BX159"/>
      <c r="BY159"/>
      <c r="BZ159"/>
      <c r="CA159"/>
      <c r="CB159"/>
      <c r="CC159"/>
      <c r="CD159" t="inlineStr">
        <is>
          <t>Bednarz,V.N., S. Choyke, L.F.B. Marangoni, E.I. Otto, E. Beraud, M. Metian, I. Tolosa, and C. Ferrier-Pages</t>
        </is>
      </c>
      <c r="CE159" t="n">
        <v>188753.0</v>
      </c>
      <c r="CF159" t="inlineStr">
        <is>
          <t>Acute Exposure to Perfluorooctane Sulfonate Exacerbates Heat-Induced Oxidative Stress in a Tropical Coral Species</t>
        </is>
      </c>
      <c r="CG159" t="inlineStr">
        <is>
          <t>Environ. Pollut.302:10 p.</t>
        </is>
      </c>
      <c r="CH159" t="n">
        <v>2022.0</v>
      </c>
      <c r="CI159"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60">
      <c r="A160" t="n">
        <v>1763231.0</v>
      </c>
      <c r="B160" t="inlineStr">
        <is>
          <t>1,1,2,2,3,3,4,4,5,5,6,6,7,7,8,8,8-Heptadecafluoro-1-octanesulfonic acid</t>
        </is>
      </c>
      <c r="C160"/>
      <c r="D160" t="inlineStr">
        <is>
          <t>Chemical analysis reported</t>
        </is>
      </c>
      <c r="E160"/>
      <c r="F160"/>
      <c r="G160"/>
      <c r="H160"/>
      <c r="I160"/>
      <c r="J160"/>
      <c r="K160" t="inlineStr">
        <is>
          <t>Stylophora pistillata</t>
        </is>
      </c>
      <c r="L160" t="inlineStr">
        <is>
          <t>Smooth Cauliflower Coral</t>
        </is>
      </c>
      <c r="M160" t="inlineStr">
        <is>
          <t>Other Invertebrates</t>
        </is>
      </c>
      <c r="N160"/>
      <c r="O160"/>
      <c r="P160"/>
      <c r="Q160"/>
      <c r="R160"/>
      <c r="S160"/>
      <c r="T160"/>
      <c r="U160"/>
      <c r="V160" t="inlineStr">
        <is>
          <t>Renewal</t>
        </is>
      </c>
      <c r="W160" t="inlineStr">
        <is>
          <t>Salt water</t>
        </is>
      </c>
      <c r="X160" t="inlineStr">
        <is>
          <t>Lab</t>
        </is>
      </c>
      <c r="Y160" t="n">
        <v>4.0</v>
      </c>
      <c r="Z160" t="inlineStr">
        <is>
          <t>Active ingredient</t>
        </is>
      </c>
      <c r="AA160"/>
      <c r="AB160" t="n">
        <v>0.001</v>
      </c>
      <c r="AC160"/>
      <c r="AD160"/>
      <c r="AE160"/>
      <c r="AF160"/>
      <c r="AG160" t="inlineStr">
        <is>
          <t>AI mg/L</t>
        </is>
      </c>
      <c r="AH160"/>
      <c r="AI160"/>
      <c r="AJ160"/>
      <c r="AK160"/>
      <c r="AL160"/>
      <c r="AM160"/>
      <c r="AN160"/>
      <c r="AO160"/>
      <c r="AP160"/>
      <c r="AQ160"/>
      <c r="AR160"/>
      <c r="AS160"/>
      <c r="AT160"/>
      <c r="AU160"/>
      <c r="AV160"/>
      <c r="AW160"/>
      <c r="AX160" t="inlineStr">
        <is>
          <t>Accumulation</t>
        </is>
      </c>
      <c r="AY160" t="inlineStr">
        <is>
          <t>Residue</t>
        </is>
      </c>
      <c r="AZ160" t="inlineStr">
        <is>
          <t>BCF</t>
        </is>
      </c>
      <c r="BA160" t="inlineStr">
        <is>
          <t>Whole organism</t>
        </is>
      </c>
      <c r="BB160"/>
      <c r="BC160" t="n">
        <v>5.0</v>
      </c>
      <c r="BD160"/>
      <c r="BE160"/>
      <c r="BF160"/>
      <c r="BG160"/>
      <c r="BH160" t="inlineStr">
        <is>
          <t>Day(s)</t>
        </is>
      </c>
      <c r="BI160"/>
      <c r="BJ160"/>
      <c r="BK160" t="inlineStr">
        <is>
          <t>&gt;</t>
        </is>
      </c>
      <c r="BL160" t="n">
        <v>10.0</v>
      </c>
      <c r="BM160" t="inlineStr">
        <is>
          <t>&lt;</t>
        </is>
      </c>
      <c r="BN160" t="n">
        <v>15.0</v>
      </c>
      <c r="BO160" t="inlineStr">
        <is>
          <t>L/kg</t>
        </is>
      </c>
      <c r="BP160"/>
      <c r="BQ160"/>
      <c r="BR160"/>
      <c r="BS160"/>
      <c r="BT160"/>
      <c r="BU160"/>
      <c r="BV160"/>
      <c r="BW160"/>
      <c r="BX160"/>
      <c r="BY160"/>
      <c r="BZ160"/>
      <c r="CA160"/>
      <c r="CB160"/>
      <c r="CC160"/>
      <c r="CD160" t="inlineStr">
        <is>
          <t>Bednarz,V.N., S. Choyke, L.F.B. Marangoni, E.I. Otto, E. Beraud, M. Metian, I. Tolosa, and C. Ferrier-Pages</t>
        </is>
      </c>
      <c r="CE160" t="n">
        <v>188753.0</v>
      </c>
      <c r="CF160" t="inlineStr">
        <is>
          <t>Acute Exposure to Perfluorooctane Sulfonate Exacerbates Heat-Induced Oxidative Stress in a Tropical Coral Species</t>
        </is>
      </c>
      <c r="CG160" t="inlineStr">
        <is>
          <t>Environ. Pollut.302:10 p.</t>
        </is>
      </c>
      <c r="CH160" t="n">
        <v>2022.0</v>
      </c>
      <c r="CI160"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61">
      <c r="A161" t="n">
        <v>1763231.0</v>
      </c>
      <c r="B161" t="inlineStr">
        <is>
          <t>1,1,2,2,3,3,4,4,5,5,6,6,7,7,8,8,8-Heptadecafluoro-1-octanesulfonic acid</t>
        </is>
      </c>
      <c r="C161"/>
      <c r="D161" t="inlineStr">
        <is>
          <t>Chemical analysis reported</t>
        </is>
      </c>
      <c r="E161"/>
      <c r="F161"/>
      <c r="G161"/>
      <c r="H161"/>
      <c r="I161"/>
      <c r="J161"/>
      <c r="K161" t="inlineStr">
        <is>
          <t>Stylophora pistillata</t>
        </is>
      </c>
      <c r="L161" t="inlineStr">
        <is>
          <t>Smooth Cauliflower Coral</t>
        </is>
      </c>
      <c r="M161" t="inlineStr">
        <is>
          <t>Other Invertebrates</t>
        </is>
      </c>
      <c r="N161"/>
      <c r="O161"/>
      <c r="P161"/>
      <c r="Q161"/>
      <c r="R161"/>
      <c r="S161"/>
      <c r="T161"/>
      <c r="U161"/>
      <c r="V161" t="inlineStr">
        <is>
          <t>Renewal</t>
        </is>
      </c>
      <c r="W161" t="inlineStr">
        <is>
          <t>Salt water</t>
        </is>
      </c>
      <c r="X161" t="inlineStr">
        <is>
          <t>Lab</t>
        </is>
      </c>
      <c r="Y161" t="n">
        <v>4.0</v>
      </c>
      <c r="Z161" t="inlineStr">
        <is>
          <t>Active ingredient</t>
        </is>
      </c>
      <c r="AA161"/>
      <c r="AB161" t="n">
        <v>1.0E-5</v>
      </c>
      <c r="AC161"/>
      <c r="AD161"/>
      <c r="AE161"/>
      <c r="AF161"/>
      <c r="AG161" t="inlineStr">
        <is>
          <t>AI mg/L</t>
        </is>
      </c>
      <c r="AH161"/>
      <c r="AI161"/>
      <c r="AJ161"/>
      <c r="AK161"/>
      <c r="AL161"/>
      <c r="AM161"/>
      <c r="AN161"/>
      <c r="AO161"/>
      <c r="AP161"/>
      <c r="AQ161"/>
      <c r="AR161"/>
      <c r="AS161"/>
      <c r="AT161"/>
      <c r="AU161"/>
      <c r="AV161"/>
      <c r="AW161"/>
      <c r="AX161" t="inlineStr">
        <is>
          <t>Accumulation</t>
        </is>
      </c>
      <c r="AY161" t="inlineStr">
        <is>
          <t>Residue</t>
        </is>
      </c>
      <c r="AZ161" t="inlineStr">
        <is>
          <t>BCF</t>
        </is>
      </c>
      <c r="BA161" t="inlineStr">
        <is>
          <t>Whole organism</t>
        </is>
      </c>
      <c r="BB161"/>
      <c r="BC161" t="n">
        <v>2.0</v>
      </c>
      <c r="BD161"/>
      <c r="BE161"/>
      <c r="BF161"/>
      <c r="BG161"/>
      <c r="BH161" t="inlineStr">
        <is>
          <t>Day(s)</t>
        </is>
      </c>
      <c r="BI161"/>
      <c r="BJ161"/>
      <c r="BK161" t="inlineStr">
        <is>
          <t>&gt;</t>
        </is>
      </c>
      <c r="BL161" t="n">
        <v>15.0</v>
      </c>
      <c r="BM161" t="inlineStr">
        <is>
          <t>&lt;</t>
        </is>
      </c>
      <c r="BN161" t="n">
        <v>20.0</v>
      </c>
      <c r="BO161" t="inlineStr">
        <is>
          <t>L/kg</t>
        </is>
      </c>
      <c r="BP161"/>
      <c r="BQ161"/>
      <c r="BR161"/>
      <c r="BS161"/>
      <c r="BT161"/>
      <c r="BU161"/>
      <c r="BV161"/>
      <c r="BW161"/>
      <c r="BX161"/>
      <c r="BY161"/>
      <c r="BZ161"/>
      <c r="CA161"/>
      <c r="CB161"/>
      <c r="CC161"/>
      <c r="CD161" t="inlineStr">
        <is>
          <t>Bednarz,V.N., S. Choyke, L.F.B. Marangoni, E.I. Otto, E. Beraud, M. Metian, I. Tolosa, and C. Ferrier-Pages</t>
        </is>
      </c>
      <c r="CE161" t="n">
        <v>188753.0</v>
      </c>
      <c r="CF161" t="inlineStr">
        <is>
          <t>Acute Exposure to Perfluorooctane Sulfonate Exacerbates Heat-Induced Oxidative Stress in a Tropical Coral Species</t>
        </is>
      </c>
      <c r="CG161" t="inlineStr">
        <is>
          <t>Environ. Pollut.302:10 p.</t>
        </is>
      </c>
      <c r="CH161" t="n">
        <v>2022.0</v>
      </c>
      <c r="CI161"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62">
      <c r="A162" t="n">
        <v>1763231.0</v>
      </c>
      <c r="B162" t="inlineStr">
        <is>
          <t>1,1,2,2,3,3,4,4,5,5,6,6,7,7,8,8,8-Heptadecafluoro-1-octanesulfonic acid</t>
        </is>
      </c>
      <c r="C162"/>
      <c r="D162" t="inlineStr">
        <is>
          <t>Chemical analysis reported</t>
        </is>
      </c>
      <c r="E162"/>
      <c r="F162"/>
      <c r="G162"/>
      <c r="H162"/>
      <c r="I162"/>
      <c r="J162"/>
      <c r="K162" t="inlineStr">
        <is>
          <t>Stylophora pistillata</t>
        </is>
      </c>
      <c r="L162" t="inlineStr">
        <is>
          <t>Smooth Cauliflower Coral</t>
        </is>
      </c>
      <c r="M162" t="inlineStr">
        <is>
          <t>Other Invertebrates</t>
        </is>
      </c>
      <c r="N162"/>
      <c r="O162"/>
      <c r="P162"/>
      <c r="Q162"/>
      <c r="R162"/>
      <c r="S162"/>
      <c r="T162"/>
      <c r="U162"/>
      <c r="V162" t="inlineStr">
        <is>
          <t>Renewal</t>
        </is>
      </c>
      <c r="W162" t="inlineStr">
        <is>
          <t>Salt water</t>
        </is>
      </c>
      <c r="X162" t="inlineStr">
        <is>
          <t>Lab</t>
        </is>
      </c>
      <c r="Y162" t="n">
        <v>2.0</v>
      </c>
      <c r="Z162" t="inlineStr">
        <is>
          <t>Active ingredient</t>
        </is>
      </c>
      <c r="AA162"/>
      <c r="AB162" t="n">
        <v>1.0E-4</v>
      </c>
      <c r="AC162"/>
      <c r="AD162"/>
      <c r="AE162"/>
      <c r="AF162"/>
      <c r="AG162" t="inlineStr">
        <is>
          <t>AI mg/L</t>
        </is>
      </c>
      <c r="AH162"/>
      <c r="AI162"/>
      <c r="AJ162"/>
      <c r="AK162"/>
      <c r="AL162"/>
      <c r="AM162"/>
      <c r="AN162"/>
      <c r="AO162"/>
      <c r="AP162"/>
      <c r="AQ162"/>
      <c r="AR162"/>
      <c r="AS162"/>
      <c r="AT162"/>
      <c r="AU162"/>
      <c r="AV162"/>
      <c r="AW162"/>
      <c r="AX162" t="inlineStr">
        <is>
          <t>Accumulation</t>
        </is>
      </c>
      <c r="AY162" t="inlineStr">
        <is>
          <t>Residue</t>
        </is>
      </c>
      <c r="AZ162"/>
      <c r="BA162" t="inlineStr">
        <is>
          <t>Whole organism</t>
        </is>
      </c>
      <c r="BB162"/>
      <c r="BC162"/>
      <c r="BD162"/>
      <c r="BE162" t="n">
        <v>7.0</v>
      </c>
      <c r="BF162"/>
      <c r="BG162" t="n">
        <v>28.0</v>
      </c>
      <c r="BH162" t="inlineStr">
        <is>
          <t>Day(s)</t>
        </is>
      </c>
      <c r="BI162"/>
      <c r="BJ162"/>
      <c r="BK162"/>
      <c r="BL162"/>
      <c r="BM162"/>
      <c r="BN162"/>
      <c r="BO162" t="inlineStr">
        <is>
          <t>--</t>
        </is>
      </c>
      <c r="BP162"/>
      <c r="BQ162"/>
      <c r="BR162"/>
      <c r="BS162"/>
      <c r="BT162"/>
      <c r="BU162"/>
      <c r="BV162"/>
      <c r="BW162"/>
      <c r="BX162"/>
      <c r="BY162"/>
      <c r="BZ162"/>
      <c r="CA162"/>
      <c r="CB162"/>
      <c r="CC162"/>
      <c r="CD162" t="inlineStr">
        <is>
          <t>Bednarz,V.N., S. Choyke, L.F.B. Marangoni, E.I. Otto, E. Beraud, M. Metian, I. Tolosa, and C. Ferrier-Pages</t>
        </is>
      </c>
      <c r="CE162" t="n">
        <v>188753.0</v>
      </c>
      <c r="CF162" t="inlineStr">
        <is>
          <t>Acute Exposure to Perfluorooctane Sulfonate Exacerbates Heat-Induced Oxidative Stress in a Tropical Coral Species</t>
        </is>
      </c>
      <c r="CG162" t="inlineStr">
        <is>
          <t>Environ. Pollut.302:10 p.</t>
        </is>
      </c>
      <c r="CH162" t="n">
        <v>2022.0</v>
      </c>
      <c r="CI162"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63">
      <c r="A163" t="n">
        <v>1763231.0</v>
      </c>
      <c r="B163" t="inlineStr">
        <is>
          <t>1,1,2,2,3,3,4,4,5,5,6,6,7,7,8,8,8-Heptadecafluoro-1-octanesulfonic acid</t>
        </is>
      </c>
      <c r="C163"/>
      <c r="D163" t="inlineStr">
        <is>
          <t>Chemical analysis reported</t>
        </is>
      </c>
      <c r="E163"/>
      <c r="F163"/>
      <c r="G163"/>
      <c r="H163"/>
      <c r="I163"/>
      <c r="J163"/>
      <c r="K163" t="inlineStr">
        <is>
          <t>Stylophora pistillata</t>
        </is>
      </c>
      <c r="L163" t="inlineStr">
        <is>
          <t>Smooth Cauliflower Coral</t>
        </is>
      </c>
      <c r="M163" t="inlineStr">
        <is>
          <t>Other Invertebrates</t>
        </is>
      </c>
      <c r="N163"/>
      <c r="O163"/>
      <c r="P163"/>
      <c r="Q163"/>
      <c r="R163"/>
      <c r="S163"/>
      <c r="T163"/>
      <c r="U163"/>
      <c r="V163" t="inlineStr">
        <is>
          <t>Renewal</t>
        </is>
      </c>
      <c r="W163" t="inlineStr">
        <is>
          <t>Salt water</t>
        </is>
      </c>
      <c r="X163" t="inlineStr">
        <is>
          <t>Lab</t>
        </is>
      </c>
      <c r="Y163" t="n">
        <v>2.0</v>
      </c>
      <c r="Z163" t="inlineStr">
        <is>
          <t>Active ingredient</t>
        </is>
      </c>
      <c r="AA163"/>
      <c r="AB163" t="n">
        <v>1.0E-4</v>
      </c>
      <c r="AC163"/>
      <c r="AD163"/>
      <c r="AE163"/>
      <c r="AF163"/>
      <c r="AG163" t="inlineStr">
        <is>
          <t>AI mg/L</t>
        </is>
      </c>
      <c r="AH163"/>
      <c r="AI163"/>
      <c r="AJ163"/>
      <c r="AK163"/>
      <c r="AL163"/>
      <c r="AM163"/>
      <c r="AN163"/>
      <c r="AO163"/>
      <c r="AP163"/>
      <c r="AQ163"/>
      <c r="AR163"/>
      <c r="AS163"/>
      <c r="AT163"/>
      <c r="AU163"/>
      <c r="AV163"/>
      <c r="AW163"/>
      <c r="AX163" t="inlineStr">
        <is>
          <t>Accumulation</t>
        </is>
      </c>
      <c r="AY163" t="inlineStr">
        <is>
          <t>Residue</t>
        </is>
      </c>
      <c r="AZ163"/>
      <c r="BA163" t="inlineStr">
        <is>
          <t>Whole organism</t>
        </is>
      </c>
      <c r="BB163"/>
      <c r="BC163"/>
      <c r="BD163"/>
      <c r="BE163" t="n">
        <v>7.0</v>
      </c>
      <c r="BF163"/>
      <c r="BG163" t="n">
        <v>28.0</v>
      </c>
      <c r="BH163" t="inlineStr">
        <is>
          <t>Day(s)</t>
        </is>
      </c>
      <c r="BI163"/>
      <c r="BJ163"/>
      <c r="BK163"/>
      <c r="BL163"/>
      <c r="BM163"/>
      <c r="BN163"/>
      <c r="BO163" t="inlineStr">
        <is>
          <t>--</t>
        </is>
      </c>
      <c r="BP163"/>
      <c r="BQ163"/>
      <c r="BR163"/>
      <c r="BS163"/>
      <c r="BT163"/>
      <c r="BU163"/>
      <c r="BV163"/>
      <c r="BW163"/>
      <c r="BX163"/>
      <c r="BY163"/>
      <c r="BZ163"/>
      <c r="CA163"/>
      <c r="CB163"/>
      <c r="CC163"/>
      <c r="CD163" t="inlineStr">
        <is>
          <t>Bednarz,V.N., S. Choyke, L.F.B. Marangoni, E.I. Otto, E. Beraud, M. Metian, I. Tolosa, and C. Ferrier-Pages</t>
        </is>
      </c>
      <c r="CE163" t="n">
        <v>188753.0</v>
      </c>
      <c r="CF163" t="inlineStr">
        <is>
          <t>Acute Exposure to Perfluorooctane Sulfonate Exacerbates Heat-Induced Oxidative Stress in a Tropical Coral Species</t>
        </is>
      </c>
      <c r="CG163" t="inlineStr">
        <is>
          <t>Environ. Pollut.302:10 p.</t>
        </is>
      </c>
      <c r="CH163" t="n">
        <v>2022.0</v>
      </c>
      <c r="CI163"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row>
    <row r="164">
      <c r="A164" t="n">
        <v>1763231.0</v>
      </c>
      <c r="B164" t="inlineStr">
        <is>
          <t>1,1,2,2,3,3,4,4,5,5,6,6,7,7,8,8,8-Heptadecafluoro-1-octanesulfonic acid</t>
        </is>
      </c>
      <c r="C164"/>
      <c r="D164" t="inlineStr">
        <is>
          <t>Measured</t>
        </is>
      </c>
      <c r="E164" t="inlineStr">
        <is>
          <t>&gt;</t>
        </is>
      </c>
      <c r="F164" t="n">
        <v>98.0</v>
      </c>
      <c r="G164"/>
      <c r="H164"/>
      <c r="I164"/>
      <c r="J164"/>
      <c r="K164" t="inlineStr">
        <is>
          <t>Limnodrilus hoffmeisteri</t>
        </is>
      </c>
      <c r="L164" t="inlineStr">
        <is>
          <t>Tubificid Worm, Oligochaete</t>
        </is>
      </c>
      <c r="M164" t="inlineStr">
        <is>
          <t>Worms</t>
        </is>
      </c>
      <c r="N164"/>
      <c r="O164"/>
      <c r="P164"/>
      <c r="Q164"/>
      <c r="R164"/>
      <c r="S164"/>
      <c r="T164"/>
      <c r="U164"/>
      <c r="V164" t="inlineStr">
        <is>
          <t>Renewal</t>
        </is>
      </c>
      <c r="W164" t="inlineStr">
        <is>
          <t>Fresh water</t>
        </is>
      </c>
      <c r="X164" t="inlineStr">
        <is>
          <t>Lab</t>
        </is>
      </c>
      <c r="Y164" t="n">
        <v>3.0</v>
      </c>
      <c r="Z164" t="inlineStr">
        <is>
          <t>Active ingredient</t>
        </is>
      </c>
      <c r="AA164"/>
      <c r="AB164" t="n">
        <v>0.567</v>
      </c>
      <c r="AC164"/>
      <c r="AD164"/>
      <c r="AE164"/>
      <c r="AF164"/>
      <c r="AG164" t="inlineStr">
        <is>
          <t>AI mg/L</t>
        </is>
      </c>
      <c r="AH164"/>
      <c r="AI164"/>
      <c r="AJ164"/>
      <c r="AK164"/>
      <c r="AL164"/>
      <c r="AM164"/>
      <c r="AN164"/>
      <c r="AO164"/>
      <c r="AP164"/>
      <c r="AQ164"/>
      <c r="AR164"/>
      <c r="AS164"/>
      <c r="AT164"/>
      <c r="AU164"/>
      <c r="AV164"/>
      <c r="AW164"/>
      <c r="AX164" t="inlineStr">
        <is>
          <t>Accumulation</t>
        </is>
      </c>
      <c r="AY164" t="inlineStr">
        <is>
          <t>Residue</t>
        </is>
      </c>
      <c r="AZ164" t="inlineStr">
        <is>
          <t>LOEC</t>
        </is>
      </c>
      <c r="BA164" t="inlineStr">
        <is>
          <t>Whole organism</t>
        </is>
      </c>
      <c r="BB164"/>
      <c r="BC164" t="n">
        <v>1.0</v>
      </c>
      <c r="BD164"/>
      <c r="BE164"/>
      <c r="BF164"/>
      <c r="BG164"/>
      <c r="BH164" t="inlineStr">
        <is>
          <t>Day(s)</t>
        </is>
      </c>
      <c r="BI164"/>
      <c r="BJ164"/>
      <c r="BK164"/>
      <c r="BL164"/>
      <c r="BM164"/>
      <c r="BN164"/>
      <c r="BO164" t="inlineStr">
        <is>
          <t>--</t>
        </is>
      </c>
      <c r="BP164"/>
      <c r="BQ164"/>
      <c r="BR164"/>
      <c r="BS164"/>
      <c r="BT164"/>
      <c r="BU164"/>
      <c r="BV164"/>
      <c r="BW164"/>
      <c r="BX164"/>
      <c r="BY164"/>
      <c r="BZ164"/>
      <c r="CA164"/>
      <c r="CB164"/>
      <c r="CC164"/>
      <c r="CD164" t="inlineStr">
        <is>
          <t>Liu,J., R. Qu, L. Yan, L. Wang, and Z. Wang</t>
        </is>
      </c>
      <c r="CE164" t="n">
        <v>177071.0</v>
      </c>
      <c r="CF164" t="inlineStr">
        <is>
          <t>Evaluation of Single and Joint Toxicity of Perfluorooctane Sulfonate and Zinc to Limnodrilus hoffmeisteri: Acute Toxicity, Bioaccumulation and Oxidative Stress</t>
        </is>
      </c>
      <c r="CG164" t="inlineStr">
        <is>
          <t>J. Hazard. Mater.301:342-349</t>
        </is>
      </c>
      <c r="CH164" t="n">
        <v>2016.0</v>
      </c>
      <c r="CI164" t="inlineStr">
        <is>
          <t>Liu,J., R. Qu, L. Yan, L. Wang, and Z. Wang (2016). Evaluation of Single and Joint Toxicity of Perfluorooctane Sulfonate and Zinc to Limnodrilus hoffmeisteri: Acute Toxicity, Bioaccumulation and Oxidative Stress. J. Hazard. Mater., 301, 342-349. doi:10.1016/j.jhazmat.2015.09.010. ECOREF#:177071</t>
        </is>
      </c>
    </row>
    <row r="165">
      <c r="A165" t="n">
        <v>1763231.0</v>
      </c>
      <c r="B165" t="inlineStr">
        <is>
          <t>1,1,2,2,3,3,4,4,5,5,6,6,7,7,8,8,8-Heptadecafluoro-1-octanesulfonic acid</t>
        </is>
      </c>
      <c r="C165"/>
      <c r="D165" t="inlineStr">
        <is>
          <t>Measured</t>
        </is>
      </c>
      <c r="E165" t="inlineStr">
        <is>
          <t>&gt;</t>
        </is>
      </c>
      <c r="F165" t="n">
        <v>98.0</v>
      </c>
      <c r="G165"/>
      <c r="H165"/>
      <c r="I165"/>
      <c r="J165"/>
      <c r="K165" t="inlineStr">
        <is>
          <t>Limnodrilus hoffmeisteri</t>
        </is>
      </c>
      <c r="L165" t="inlineStr">
        <is>
          <t>Tubificid Worm, Oligochaete</t>
        </is>
      </c>
      <c r="M165" t="inlineStr">
        <is>
          <t>Worms</t>
        </is>
      </c>
      <c r="N165"/>
      <c r="O165"/>
      <c r="P165"/>
      <c r="Q165"/>
      <c r="R165"/>
      <c r="S165"/>
      <c r="T165"/>
      <c r="U165"/>
      <c r="V165" t="inlineStr">
        <is>
          <t>Renewal</t>
        </is>
      </c>
      <c r="W165" t="inlineStr">
        <is>
          <t>Fresh water</t>
        </is>
      </c>
      <c r="X165" t="inlineStr">
        <is>
          <t>Lab</t>
        </is>
      </c>
      <c r="Y165" t="n">
        <v>3.0</v>
      </c>
      <c r="Z165" t="inlineStr">
        <is>
          <t>Active ingredient</t>
        </is>
      </c>
      <c r="AA165"/>
      <c r="AB165" t="n">
        <v>0.567</v>
      </c>
      <c r="AC165"/>
      <c r="AD165"/>
      <c r="AE165"/>
      <c r="AF165"/>
      <c r="AG165" t="inlineStr">
        <is>
          <t>AI mg/L</t>
        </is>
      </c>
      <c r="AH165"/>
      <c r="AI165"/>
      <c r="AJ165"/>
      <c r="AK165"/>
      <c r="AL165"/>
      <c r="AM165"/>
      <c r="AN165"/>
      <c r="AO165"/>
      <c r="AP165"/>
      <c r="AQ165"/>
      <c r="AR165"/>
      <c r="AS165"/>
      <c r="AT165"/>
      <c r="AU165"/>
      <c r="AV165"/>
      <c r="AW165"/>
      <c r="AX165" t="inlineStr">
        <is>
          <t>Accumulation</t>
        </is>
      </c>
      <c r="AY165" t="inlineStr">
        <is>
          <t>Residue</t>
        </is>
      </c>
      <c r="AZ165" t="inlineStr">
        <is>
          <t>LOEC</t>
        </is>
      </c>
      <c r="BA165" t="inlineStr">
        <is>
          <t>Whole organism</t>
        </is>
      </c>
      <c r="BB165"/>
      <c r="BC165" t="n">
        <v>10.0</v>
      </c>
      <c r="BD165"/>
      <c r="BE165"/>
      <c r="BF165"/>
      <c r="BG165"/>
      <c r="BH165" t="inlineStr">
        <is>
          <t>Day(s)</t>
        </is>
      </c>
      <c r="BI165"/>
      <c r="BJ165"/>
      <c r="BK165"/>
      <c r="BL165"/>
      <c r="BM165"/>
      <c r="BN165"/>
      <c r="BO165" t="inlineStr">
        <is>
          <t>--</t>
        </is>
      </c>
      <c r="BP165"/>
      <c r="BQ165"/>
      <c r="BR165"/>
      <c r="BS165"/>
      <c r="BT165"/>
      <c r="BU165"/>
      <c r="BV165"/>
      <c r="BW165"/>
      <c r="BX165"/>
      <c r="BY165"/>
      <c r="BZ165"/>
      <c r="CA165"/>
      <c r="CB165"/>
      <c r="CC165"/>
      <c r="CD165" t="inlineStr">
        <is>
          <t>Liu,J., R. Qu, L. Yan, L. Wang, and Z. Wang</t>
        </is>
      </c>
      <c r="CE165" t="n">
        <v>177071.0</v>
      </c>
      <c r="CF165" t="inlineStr">
        <is>
          <t>Evaluation of Single and Joint Toxicity of Perfluorooctane Sulfonate and Zinc to Limnodrilus hoffmeisteri: Acute Toxicity, Bioaccumulation and Oxidative Stress</t>
        </is>
      </c>
      <c r="CG165" t="inlineStr">
        <is>
          <t>J. Hazard. Mater.301:342-349</t>
        </is>
      </c>
      <c r="CH165" t="n">
        <v>2016.0</v>
      </c>
      <c r="CI165" t="inlineStr">
        <is>
          <t>Liu,J., R. Qu, L. Yan, L. Wang, and Z. Wang (2016). Evaluation of Single and Joint Toxicity of Perfluorooctane Sulfonate and Zinc to Limnodrilus hoffmeisteri: Acute Toxicity, Bioaccumulation and Oxidative Stress. J. Hazard. Mater., 301, 342-349. doi:10.1016/j.jhazmat.2015.09.010. ECOREF#:177071</t>
        </is>
      </c>
    </row>
    <row r="166">
      <c r="A166" t="n">
        <v>2795393.0</v>
      </c>
      <c r="B166" t="inlineStr">
        <is>
          <t>1,1,2,2,3,3,4,4,5,5,6,6,7,7,8,8,8-Heptadecafluoro-1-octanesulfonic acid potassium salt</t>
        </is>
      </c>
      <c r="C166"/>
      <c r="D166" t="inlineStr">
        <is>
          <t>Measured</t>
        </is>
      </c>
      <c r="E166" t="inlineStr">
        <is>
          <t>&gt;</t>
        </is>
      </c>
      <c r="F166" t="n">
        <v>98.0</v>
      </c>
      <c r="G166"/>
      <c r="H166"/>
      <c r="I166"/>
      <c r="J166"/>
      <c r="K166" t="inlineStr">
        <is>
          <t>Mayamaea atomus</t>
        </is>
      </c>
      <c r="L166" t="inlineStr">
        <is>
          <t>Diatom</t>
        </is>
      </c>
      <c r="M166" t="inlineStr">
        <is>
          <t>Algae</t>
        </is>
      </c>
      <c r="N166"/>
      <c r="O166"/>
      <c r="P166"/>
      <c r="Q166"/>
      <c r="R166"/>
      <c r="S166"/>
      <c r="T166"/>
      <c r="U166"/>
      <c r="V166" t="inlineStr">
        <is>
          <t>Static</t>
        </is>
      </c>
      <c r="W166" t="inlineStr">
        <is>
          <t>Fresh water</t>
        </is>
      </c>
      <c r="X166" t="inlineStr">
        <is>
          <t>Lab</t>
        </is>
      </c>
      <c r="Y166" t="n">
        <v>6.0</v>
      </c>
      <c r="Z166" t="inlineStr">
        <is>
          <t>Active ingredient</t>
        </is>
      </c>
      <c r="AA166"/>
      <c r="AB166" t="n">
        <v>0.1202</v>
      </c>
      <c r="AC166"/>
      <c r="AD166"/>
      <c r="AE166"/>
      <c r="AF166"/>
      <c r="AG166" t="inlineStr">
        <is>
          <t>AI mg/L</t>
        </is>
      </c>
      <c r="AH166"/>
      <c r="AI166"/>
      <c r="AJ166"/>
      <c r="AK166"/>
      <c r="AL166"/>
      <c r="AM166"/>
      <c r="AN166"/>
      <c r="AO166"/>
      <c r="AP166"/>
      <c r="AQ166"/>
      <c r="AR166"/>
      <c r="AS166"/>
      <c r="AT166"/>
      <c r="AU166"/>
      <c r="AV166"/>
      <c r="AW166"/>
      <c r="AX166" t="inlineStr">
        <is>
          <t>Accumulation</t>
        </is>
      </c>
      <c r="AY166" t="inlineStr">
        <is>
          <t>Residue</t>
        </is>
      </c>
      <c r="AZ166" t="inlineStr">
        <is>
          <t>BCFD</t>
        </is>
      </c>
      <c r="BA166" t="inlineStr">
        <is>
          <t>Whole organism</t>
        </is>
      </c>
      <c r="BB166"/>
      <c r="BC166" t="n">
        <v>7.0</v>
      </c>
      <c r="BD166"/>
      <c r="BE166"/>
      <c r="BF166"/>
      <c r="BG166"/>
      <c r="BH166" t="inlineStr">
        <is>
          <t>Day(s)</t>
        </is>
      </c>
      <c r="BI166"/>
      <c r="BJ166" t="n">
        <v>652.0</v>
      </c>
      <c r="BK166"/>
      <c r="BL166"/>
      <c r="BM166"/>
      <c r="BN166"/>
      <c r="BO166" t="inlineStr">
        <is>
          <t>L/kg</t>
        </is>
      </c>
      <c r="BP166"/>
      <c r="BQ166"/>
      <c r="BR166"/>
      <c r="BS166"/>
      <c r="BT166"/>
      <c r="BU166"/>
      <c r="BV166"/>
      <c r="BW166"/>
      <c r="BX166"/>
      <c r="BY166"/>
      <c r="BZ166"/>
      <c r="CA166"/>
      <c r="CB166"/>
      <c r="CC166"/>
      <c r="CD166" t="inlineStr">
        <is>
          <t>Zachritz,A.M., J.A. Steevens, D.A. Miranda, B.G. Perrotta, R.A. Dorman, H.D. Whitehead, E.L. Pulster, D.M. Walters, D.J</t>
        </is>
      </c>
      <c r="CE166" t="n">
        <v>195317.0</v>
      </c>
      <c r="CF166" t="inlineStr">
        <is>
          <t>Concentration Dependency of PFOS Bioaccumulation by Freshwater Benthic Algae</t>
        </is>
      </c>
      <c r="CG166" t="inlineStr">
        <is>
          <t>ACS ES&amp;T Water5(8): 4415-4422</t>
        </is>
      </c>
      <c r="CH166" t="n">
        <v>2025.0</v>
      </c>
      <c r="CI166" t="inlineStr">
        <is>
          <t>Zachritz,A.M., J.A. Steevens, D.A. Miranda, B.G. Perrotta, R.A. Dorman, H.D. Whitehead, E.L. Pulster, D.M. Walters, D.J (2025). Concentration Dependency of PFOS Bioaccumulation by Freshwater Benthic Algae. ACS ES&amp;T Water, 5, (8), 4415-4422. doi:10.1021/acsestwater.5c00048. ECOREF#:195317</t>
        </is>
      </c>
    </row>
    <row r="167">
      <c r="A167" t="n">
        <v>2795393.0</v>
      </c>
      <c r="B167" t="inlineStr">
        <is>
          <t>1,1,2,2,3,3,4,4,5,5,6,6,7,7,8,8,8-Heptadecafluoro-1-octanesulfonic acid potassium salt</t>
        </is>
      </c>
      <c r="C167"/>
      <c r="D167" t="inlineStr">
        <is>
          <t>Measured</t>
        </is>
      </c>
      <c r="E167" t="inlineStr">
        <is>
          <t>&gt;</t>
        </is>
      </c>
      <c r="F167" t="n">
        <v>98.0</v>
      </c>
      <c r="G167"/>
      <c r="H167"/>
      <c r="I167"/>
      <c r="J167"/>
      <c r="K167" t="inlineStr">
        <is>
          <t>Mayamaea atomus</t>
        </is>
      </c>
      <c r="L167" t="inlineStr">
        <is>
          <t>Diatom</t>
        </is>
      </c>
      <c r="M167" t="inlineStr">
        <is>
          <t>Algae</t>
        </is>
      </c>
      <c r="N167"/>
      <c r="O167"/>
      <c r="P167"/>
      <c r="Q167"/>
      <c r="R167"/>
      <c r="S167"/>
      <c r="T167"/>
      <c r="U167"/>
      <c r="V167" t="inlineStr">
        <is>
          <t>Static</t>
        </is>
      </c>
      <c r="W167" t="inlineStr">
        <is>
          <t>Fresh water</t>
        </is>
      </c>
      <c r="X167" t="inlineStr">
        <is>
          <t>Lab</t>
        </is>
      </c>
      <c r="Y167" t="n">
        <v>6.0</v>
      </c>
      <c r="Z167" t="inlineStr">
        <is>
          <t>Active ingredient</t>
        </is>
      </c>
      <c r="AA167"/>
      <c r="AB167" t="n">
        <v>0.01063</v>
      </c>
      <c r="AC167"/>
      <c r="AD167"/>
      <c r="AE167"/>
      <c r="AF167"/>
      <c r="AG167" t="inlineStr">
        <is>
          <t>AI mg/L</t>
        </is>
      </c>
      <c r="AH167"/>
      <c r="AI167"/>
      <c r="AJ167"/>
      <c r="AK167"/>
      <c r="AL167"/>
      <c r="AM167"/>
      <c r="AN167"/>
      <c r="AO167"/>
      <c r="AP167"/>
      <c r="AQ167"/>
      <c r="AR167"/>
      <c r="AS167"/>
      <c r="AT167"/>
      <c r="AU167"/>
      <c r="AV167"/>
      <c r="AW167"/>
      <c r="AX167" t="inlineStr">
        <is>
          <t>Accumulation</t>
        </is>
      </c>
      <c r="AY167" t="inlineStr">
        <is>
          <t>Residue</t>
        </is>
      </c>
      <c r="AZ167" t="inlineStr">
        <is>
          <t>BCFD</t>
        </is>
      </c>
      <c r="BA167" t="inlineStr">
        <is>
          <t>Whole organism</t>
        </is>
      </c>
      <c r="BB167"/>
      <c r="BC167" t="n">
        <v>7.0</v>
      </c>
      <c r="BD167"/>
      <c r="BE167"/>
      <c r="BF167"/>
      <c r="BG167"/>
      <c r="BH167" t="inlineStr">
        <is>
          <t>Day(s)</t>
        </is>
      </c>
      <c r="BI167"/>
      <c r="BJ167" t="n">
        <v>814.0</v>
      </c>
      <c r="BK167"/>
      <c r="BL167"/>
      <c r="BM167"/>
      <c r="BN167"/>
      <c r="BO167" t="inlineStr">
        <is>
          <t>L/kg</t>
        </is>
      </c>
      <c r="BP167"/>
      <c r="BQ167"/>
      <c r="BR167"/>
      <c r="BS167"/>
      <c r="BT167"/>
      <c r="BU167"/>
      <c r="BV167"/>
      <c r="BW167"/>
      <c r="BX167"/>
      <c r="BY167"/>
      <c r="BZ167"/>
      <c r="CA167"/>
      <c r="CB167"/>
      <c r="CC167"/>
      <c r="CD167" t="inlineStr">
        <is>
          <t>Zachritz,A.M., J.A. Steevens, D.A. Miranda, B.G. Perrotta, R.A. Dorman, H.D. Whitehead, E.L. Pulster, D.M. Walters, D.J</t>
        </is>
      </c>
      <c r="CE167" t="n">
        <v>195317.0</v>
      </c>
      <c r="CF167" t="inlineStr">
        <is>
          <t>Concentration Dependency of PFOS Bioaccumulation by Freshwater Benthic Algae</t>
        </is>
      </c>
      <c r="CG167" t="inlineStr">
        <is>
          <t>ACS ES&amp;T Water5(8): 4415-4422</t>
        </is>
      </c>
      <c r="CH167" t="n">
        <v>2025.0</v>
      </c>
      <c r="CI167" t="inlineStr">
        <is>
          <t>Zachritz,A.M., J.A. Steevens, D.A. Miranda, B.G. Perrotta, R.A. Dorman, H.D. Whitehead, E.L. Pulster, D.M. Walters, D.J (2025). Concentration Dependency of PFOS Bioaccumulation by Freshwater Benthic Algae. ACS ES&amp;T Water, 5, (8), 4415-4422. doi:10.1021/acsestwater.5c00048. ECOREF#:195317</t>
        </is>
      </c>
    </row>
    <row r="168">
      <c r="A168" t="n">
        <v>2795393.0</v>
      </c>
      <c r="B168" t="inlineStr">
        <is>
          <t>1,1,2,2,3,3,4,4,5,5,6,6,7,7,8,8,8-Heptadecafluoro-1-octanesulfonic acid potassium salt</t>
        </is>
      </c>
      <c r="C168"/>
      <c r="D168" t="inlineStr">
        <is>
          <t>Measured</t>
        </is>
      </c>
      <c r="E168" t="inlineStr">
        <is>
          <t>&gt;</t>
        </is>
      </c>
      <c r="F168" t="n">
        <v>98.0</v>
      </c>
      <c r="G168"/>
      <c r="H168"/>
      <c r="I168"/>
      <c r="J168"/>
      <c r="K168" t="inlineStr">
        <is>
          <t>Mayamaea atomus</t>
        </is>
      </c>
      <c r="L168" t="inlineStr">
        <is>
          <t>Diatom</t>
        </is>
      </c>
      <c r="M168" t="inlineStr">
        <is>
          <t>Algae</t>
        </is>
      </c>
      <c r="N168"/>
      <c r="O168"/>
      <c r="P168"/>
      <c r="Q168"/>
      <c r="R168"/>
      <c r="S168"/>
      <c r="T168"/>
      <c r="U168"/>
      <c r="V168" t="inlineStr">
        <is>
          <t>Static</t>
        </is>
      </c>
      <c r="W168" t="inlineStr">
        <is>
          <t>Fresh water</t>
        </is>
      </c>
      <c r="X168" t="inlineStr">
        <is>
          <t>Lab</t>
        </is>
      </c>
      <c r="Y168" t="n">
        <v>6.0</v>
      </c>
      <c r="Z168" t="inlineStr">
        <is>
          <t>Active ingredient</t>
        </is>
      </c>
      <c r="AA168"/>
      <c r="AB168" t="n">
        <v>8.5E-4</v>
      </c>
      <c r="AC168"/>
      <c r="AD168"/>
      <c r="AE168"/>
      <c r="AF168"/>
      <c r="AG168" t="inlineStr">
        <is>
          <t>AI mg/L</t>
        </is>
      </c>
      <c r="AH168"/>
      <c r="AI168"/>
      <c r="AJ168"/>
      <c r="AK168"/>
      <c r="AL168"/>
      <c r="AM168"/>
      <c r="AN168"/>
      <c r="AO168"/>
      <c r="AP168"/>
      <c r="AQ168"/>
      <c r="AR168"/>
      <c r="AS168"/>
      <c r="AT168"/>
      <c r="AU168"/>
      <c r="AV168"/>
      <c r="AW168"/>
      <c r="AX168" t="inlineStr">
        <is>
          <t>Accumulation</t>
        </is>
      </c>
      <c r="AY168" t="inlineStr">
        <is>
          <t>Residue</t>
        </is>
      </c>
      <c r="AZ168" t="inlineStr">
        <is>
          <t>BCFD</t>
        </is>
      </c>
      <c r="BA168" t="inlineStr">
        <is>
          <t>Whole organism</t>
        </is>
      </c>
      <c r="BB168"/>
      <c r="BC168" t="n">
        <v>7.0</v>
      </c>
      <c r="BD168"/>
      <c r="BE168"/>
      <c r="BF168"/>
      <c r="BG168"/>
      <c r="BH168" t="inlineStr">
        <is>
          <t>Day(s)</t>
        </is>
      </c>
      <c r="BI168"/>
      <c r="BJ168" t="n">
        <v>1130.0</v>
      </c>
      <c r="BK168"/>
      <c r="BL168"/>
      <c r="BM168"/>
      <c r="BN168"/>
      <c r="BO168" t="inlineStr">
        <is>
          <t>L/kg</t>
        </is>
      </c>
      <c r="BP168"/>
      <c r="BQ168"/>
      <c r="BR168"/>
      <c r="BS168"/>
      <c r="BT168"/>
      <c r="BU168"/>
      <c r="BV168"/>
      <c r="BW168"/>
      <c r="BX168"/>
      <c r="BY168"/>
      <c r="BZ168"/>
      <c r="CA168"/>
      <c r="CB168"/>
      <c r="CC168"/>
      <c r="CD168" t="inlineStr">
        <is>
          <t>Zachritz,A.M., J.A. Steevens, D.A. Miranda, B.G. Perrotta, R.A. Dorman, H.D. Whitehead, E.L. Pulster, D.M. Walters, D.J</t>
        </is>
      </c>
      <c r="CE168" t="n">
        <v>195317.0</v>
      </c>
      <c r="CF168" t="inlineStr">
        <is>
          <t>Concentration Dependency of PFOS Bioaccumulation by Freshwater Benthic Algae</t>
        </is>
      </c>
      <c r="CG168" t="inlineStr">
        <is>
          <t>ACS ES&amp;T Water5(8): 4415-4422</t>
        </is>
      </c>
      <c r="CH168" t="n">
        <v>2025.0</v>
      </c>
      <c r="CI168" t="inlineStr">
        <is>
          <t>Zachritz,A.M., J.A. Steevens, D.A. Miranda, B.G. Perrotta, R.A. Dorman, H.D. Whitehead, E.L. Pulster, D.M. Walters, D.J (2025). Concentration Dependency of PFOS Bioaccumulation by Freshwater Benthic Algae. ACS ES&amp;T Water, 5, (8), 4415-4422. doi:10.1021/acsestwater.5c00048. ECOREF#:195317</t>
        </is>
      </c>
    </row>
    <row r="169">
      <c r="A169" t="n">
        <v>2795393.0</v>
      </c>
      <c r="B169" t="inlineStr">
        <is>
          <t>1,1,2,2,3,3,4,4,5,5,6,6,7,7,8,8,8-Heptadecafluoro-1-octanesulfonic acid potassium salt</t>
        </is>
      </c>
      <c r="C169"/>
      <c r="D169" t="inlineStr">
        <is>
          <t>Measured</t>
        </is>
      </c>
      <c r="E169" t="inlineStr">
        <is>
          <t>&gt;</t>
        </is>
      </c>
      <c r="F169" t="n">
        <v>98.0</v>
      </c>
      <c r="G169"/>
      <c r="H169"/>
      <c r="I169"/>
      <c r="J169"/>
      <c r="K169" t="inlineStr">
        <is>
          <t>Mayamaea atomus</t>
        </is>
      </c>
      <c r="L169" t="inlineStr">
        <is>
          <t>Diatom</t>
        </is>
      </c>
      <c r="M169" t="inlineStr">
        <is>
          <t>Algae</t>
        </is>
      </c>
      <c r="N169"/>
      <c r="O169"/>
      <c r="P169"/>
      <c r="Q169"/>
      <c r="R169"/>
      <c r="S169"/>
      <c r="T169"/>
      <c r="U169"/>
      <c r="V169" t="inlineStr">
        <is>
          <t>Static</t>
        </is>
      </c>
      <c r="W169" t="inlineStr">
        <is>
          <t>Fresh water</t>
        </is>
      </c>
      <c r="X169" t="inlineStr">
        <is>
          <t>Lab</t>
        </is>
      </c>
      <c r="Y169" t="n">
        <v>6.0</v>
      </c>
      <c r="Z169" t="inlineStr">
        <is>
          <t>Active ingredient</t>
        </is>
      </c>
      <c r="AA169"/>
      <c r="AB169" t="n">
        <v>4.6E-5</v>
      </c>
      <c r="AC169"/>
      <c r="AD169"/>
      <c r="AE169"/>
      <c r="AF169"/>
      <c r="AG169" t="inlineStr">
        <is>
          <t>AI mg/L</t>
        </is>
      </c>
      <c r="AH169"/>
      <c r="AI169"/>
      <c r="AJ169"/>
      <c r="AK169"/>
      <c r="AL169"/>
      <c r="AM169"/>
      <c r="AN169"/>
      <c r="AO169"/>
      <c r="AP169"/>
      <c r="AQ169"/>
      <c r="AR169"/>
      <c r="AS169"/>
      <c r="AT169"/>
      <c r="AU169"/>
      <c r="AV169"/>
      <c r="AW169"/>
      <c r="AX169" t="inlineStr">
        <is>
          <t>Accumulation</t>
        </is>
      </c>
      <c r="AY169" t="inlineStr">
        <is>
          <t>Residue</t>
        </is>
      </c>
      <c r="AZ169" t="inlineStr">
        <is>
          <t>BCFD</t>
        </is>
      </c>
      <c r="BA169" t="inlineStr">
        <is>
          <t>Whole organism</t>
        </is>
      </c>
      <c r="BB169"/>
      <c r="BC169" t="n">
        <v>7.0</v>
      </c>
      <c r="BD169"/>
      <c r="BE169"/>
      <c r="BF169"/>
      <c r="BG169"/>
      <c r="BH169" t="inlineStr">
        <is>
          <t>Day(s)</t>
        </is>
      </c>
      <c r="BI169"/>
      <c r="BJ169" t="n">
        <v>3438.0</v>
      </c>
      <c r="BK169"/>
      <c r="BL169"/>
      <c r="BM169"/>
      <c r="BN169"/>
      <c r="BO169" t="inlineStr">
        <is>
          <t>L/kg</t>
        </is>
      </c>
      <c r="BP169"/>
      <c r="BQ169"/>
      <c r="BR169"/>
      <c r="BS169"/>
      <c r="BT169"/>
      <c r="BU169"/>
      <c r="BV169"/>
      <c r="BW169"/>
      <c r="BX169"/>
      <c r="BY169"/>
      <c r="BZ169"/>
      <c r="CA169"/>
      <c r="CB169"/>
      <c r="CC169"/>
      <c r="CD169" t="inlineStr">
        <is>
          <t>Zachritz,A.M., J.A. Steevens, D.A. Miranda, B.G. Perrotta, R.A. Dorman, H.D. Whitehead, E.L. Pulster, D.M. Walters, D.J</t>
        </is>
      </c>
      <c r="CE169" t="n">
        <v>195317.0</v>
      </c>
      <c r="CF169" t="inlineStr">
        <is>
          <t>Concentration Dependency of PFOS Bioaccumulation by Freshwater Benthic Algae</t>
        </is>
      </c>
      <c r="CG169" t="inlineStr">
        <is>
          <t>ACS ES&amp;T Water5(8): 4415-4422</t>
        </is>
      </c>
      <c r="CH169" t="n">
        <v>2025.0</v>
      </c>
      <c r="CI169" t="inlineStr">
        <is>
          <t>Zachritz,A.M., J.A. Steevens, D.A. Miranda, B.G. Perrotta, R.A. Dorman, H.D. Whitehead, E.L. Pulster, D.M. Walters, D.J (2025). Concentration Dependency of PFOS Bioaccumulation by Freshwater Benthic Algae. ACS ES&amp;T Water, 5, (8), 4415-4422. doi:10.1021/acsestwater.5c00048. ECOREF#:195317</t>
        </is>
      </c>
    </row>
    <row r="170">
      <c r="A170" t="n">
        <v>2795393.0</v>
      </c>
      <c r="B170" t="inlineStr">
        <is>
          <t>1,1,2,2,3,3,4,4,5,5,6,6,7,7,8,8,8-Heptadecafluoro-1-octanesulfonic acid potassium salt</t>
        </is>
      </c>
      <c r="C170"/>
      <c r="D170" t="inlineStr">
        <is>
          <t>Measured</t>
        </is>
      </c>
      <c r="E170" t="inlineStr">
        <is>
          <t>&gt;</t>
        </is>
      </c>
      <c r="F170" t="n">
        <v>98.0</v>
      </c>
      <c r="G170"/>
      <c r="H170"/>
      <c r="I170"/>
      <c r="J170"/>
      <c r="K170" t="inlineStr">
        <is>
          <t>Mayamaea atomus</t>
        </is>
      </c>
      <c r="L170" t="inlineStr">
        <is>
          <t>Diatom</t>
        </is>
      </c>
      <c r="M170" t="inlineStr">
        <is>
          <t>Algae</t>
        </is>
      </c>
      <c r="N170"/>
      <c r="O170"/>
      <c r="P170"/>
      <c r="Q170"/>
      <c r="R170"/>
      <c r="S170"/>
      <c r="T170"/>
      <c r="U170"/>
      <c r="V170" t="inlineStr">
        <is>
          <t>Static</t>
        </is>
      </c>
      <c r="W170" t="inlineStr">
        <is>
          <t>Fresh water</t>
        </is>
      </c>
      <c r="X170" t="inlineStr">
        <is>
          <t>Lab</t>
        </is>
      </c>
      <c r="Y170" t="n">
        <v>6.0</v>
      </c>
      <c r="Z170" t="inlineStr">
        <is>
          <t>Active ingredient</t>
        </is>
      </c>
      <c r="AA170"/>
      <c r="AB170" t="n">
        <v>1.0E-5</v>
      </c>
      <c r="AC170"/>
      <c r="AD170"/>
      <c r="AE170"/>
      <c r="AF170"/>
      <c r="AG170" t="inlineStr">
        <is>
          <t>AI mg/L</t>
        </is>
      </c>
      <c r="AH170"/>
      <c r="AI170"/>
      <c r="AJ170"/>
      <c r="AK170"/>
      <c r="AL170"/>
      <c r="AM170"/>
      <c r="AN170"/>
      <c r="AO170"/>
      <c r="AP170"/>
      <c r="AQ170"/>
      <c r="AR170"/>
      <c r="AS170"/>
      <c r="AT170"/>
      <c r="AU170"/>
      <c r="AV170"/>
      <c r="AW170"/>
      <c r="AX170" t="inlineStr">
        <is>
          <t>Accumulation</t>
        </is>
      </c>
      <c r="AY170" t="inlineStr">
        <is>
          <t>Residue</t>
        </is>
      </c>
      <c r="AZ170" t="inlineStr">
        <is>
          <t>BCFD</t>
        </is>
      </c>
      <c r="BA170" t="inlineStr">
        <is>
          <t>Whole organism</t>
        </is>
      </c>
      <c r="BB170"/>
      <c r="BC170" t="n">
        <v>7.0</v>
      </c>
      <c r="BD170"/>
      <c r="BE170"/>
      <c r="BF170"/>
      <c r="BG170"/>
      <c r="BH170" t="inlineStr">
        <is>
          <t>Day(s)</t>
        </is>
      </c>
      <c r="BI170"/>
      <c r="BJ170" t="n">
        <v>4116.0</v>
      </c>
      <c r="BK170"/>
      <c r="BL170"/>
      <c r="BM170"/>
      <c r="BN170"/>
      <c r="BO170" t="inlineStr">
        <is>
          <t>L/kg</t>
        </is>
      </c>
      <c r="BP170"/>
      <c r="BQ170"/>
      <c r="BR170"/>
      <c r="BS170"/>
      <c r="BT170"/>
      <c r="BU170"/>
      <c r="BV170"/>
      <c r="BW170"/>
      <c r="BX170"/>
      <c r="BY170"/>
      <c r="BZ170"/>
      <c r="CA170"/>
      <c r="CB170"/>
      <c r="CC170"/>
      <c r="CD170" t="inlineStr">
        <is>
          <t>Zachritz,A.M., J.A. Steevens, D.A. Miranda, B.G. Perrotta, R.A. Dorman, H.D. Whitehead, E.L. Pulster, D.M. Walters, D.J</t>
        </is>
      </c>
      <c r="CE170" t="n">
        <v>195317.0</v>
      </c>
      <c r="CF170" t="inlineStr">
        <is>
          <t>Concentration Dependency of PFOS Bioaccumulation by Freshwater Benthic Algae</t>
        </is>
      </c>
      <c r="CG170" t="inlineStr">
        <is>
          <t>ACS ES&amp;T Water5(8): 4415-4422</t>
        </is>
      </c>
      <c r="CH170" t="n">
        <v>2025.0</v>
      </c>
      <c r="CI170" t="inlineStr">
        <is>
          <t>Zachritz,A.M., J.A. Steevens, D.A. Miranda, B.G. Perrotta, R.A. Dorman, H.D. Whitehead, E.L. Pulster, D.M. Walters, D.J (2025). Concentration Dependency of PFOS Bioaccumulation by Freshwater Benthic Algae. ACS ES&amp;T Water, 5, (8), 4415-4422. doi:10.1021/acsestwater.5c00048. ECOREF#:195317</t>
        </is>
      </c>
    </row>
    <row r="171">
      <c r="A171" t="n">
        <v>2795393.0</v>
      </c>
      <c r="B171" t="inlineStr">
        <is>
          <t>1,1,2,2,3,3,4,4,5,5,6,6,7,7,8,8,8-Heptadecafluoro-1-octanesulfonic acid potassium salt</t>
        </is>
      </c>
      <c r="C171"/>
      <c r="D171" t="inlineStr">
        <is>
          <t>Measured</t>
        </is>
      </c>
      <c r="E171" t="inlineStr">
        <is>
          <t>&gt;</t>
        </is>
      </c>
      <c r="F171" t="n">
        <v>98.0</v>
      </c>
      <c r="G171"/>
      <c r="H171"/>
      <c r="I171"/>
      <c r="J171"/>
      <c r="K171" t="inlineStr">
        <is>
          <t>Synechocystis sp.</t>
        </is>
      </c>
      <c r="L171" t="inlineStr">
        <is>
          <t>Blue-Green Algae</t>
        </is>
      </c>
      <c r="M171" t="inlineStr">
        <is>
          <t>Algae</t>
        </is>
      </c>
      <c r="N171"/>
      <c r="O171"/>
      <c r="P171"/>
      <c r="Q171"/>
      <c r="R171"/>
      <c r="S171"/>
      <c r="T171"/>
      <c r="U171"/>
      <c r="V171" t="inlineStr">
        <is>
          <t>Flow-through</t>
        </is>
      </c>
      <c r="W171" t="inlineStr">
        <is>
          <t>Culture</t>
        </is>
      </c>
      <c r="X171" t="inlineStr">
        <is>
          <t>Lab</t>
        </is>
      </c>
      <c r="Y171" t="n">
        <v>2.0</v>
      </c>
      <c r="Z171" t="inlineStr">
        <is>
          <t>Active ingredient</t>
        </is>
      </c>
      <c r="AA171"/>
      <c r="AB171"/>
      <c r="AC171" t="inlineStr">
        <is>
          <t>&gt;</t>
        </is>
      </c>
      <c r="AD171" t="n">
        <v>0.1</v>
      </c>
      <c r="AE171" t="inlineStr">
        <is>
          <t>~</t>
        </is>
      </c>
      <c r="AF171" t="n">
        <v>1.0</v>
      </c>
      <c r="AG171" t="inlineStr">
        <is>
          <t>AI mg/L</t>
        </is>
      </c>
      <c r="AH171"/>
      <c r="AI171"/>
      <c r="AJ171"/>
      <c r="AK171"/>
      <c r="AL171"/>
      <c r="AM171"/>
      <c r="AN171"/>
      <c r="AO171"/>
      <c r="AP171"/>
      <c r="AQ171"/>
      <c r="AR171"/>
      <c r="AS171"/>
      <c r="AT171"/>
      <c r="AU171"/>
      <c r="AV171"/>
      <c r="AW171"/>
      <c r="AX171" t="inlineStr">
        <is>
          <t>Accumulation</t>
        </is>
      </c>
      <c r="AY171" t="inlineStr">
        <is>
          <t>Residue</t>
        </is>
      </c>
      <c r="AZ171"/>
      <c r="BA171" t="inlineStr">
        <is>
          <t>Culture cells</t>
        </is>
      </c>
      <c r="BB171"/>
      <c r="BC171"/>
      <c r="BD171"/>
      <c r="BE171" t="n">
        <v>12.0</v>
      </c>
      <c r="BF171"/>
      <c r="BG171" t="n">
        <v>15.0</v>
      </c>
      <c r="BH171" t="inlineStr">
        <is>
          <t>Day(s)</t>
        </is>
      </c>
      <c r="BI171"/>
      <c r="BJ171"/>
      <c r="BK171"/>
      <c r="BL171"/>
      <c r="BM171"/>
      <c r="BN171"/>
      <c r="BO171" t="inlineStr">
        <is>
          <t>--</t>
        </is>
      </c>
      <c r="BP171"/>
      <c r="BQ171"/>
      <c r="BR171"/>
      <c r="BS171"/>
      <c r="BT171"/>
      <c r="BU171"/>
      <c r="BV171"/>
      <c r="BW171"/>
      <c r="BX171"/>
      <c r="BY171"/>
      <c r="BZ171"/>
      <c r="CA171"/>
      <c r="CB171"/>
      <c r="CC171"/>
      <c r="CD171" t="inlineStr">
        <is>
          <t>Marchetto,F., M. Roverso, D. Righetti, S. Bogialli, F. Filippini, E. Bergantino, and E. Sforza</t>
        </is>
      </c>
      <c r="CE171" t="n">
        <v>188797.0</v>
      </c>
      <c r="CF171" t="inlineStr">
        <is>
          <t>Bioremediation of Per- and Poly-Fluoroalkyl Substances (PFAS) by Synechocystis sp. PCC 6803: A Chassis for a Synthetic Biology Approach</t>
        </is>
      </c>
      <c r="CG171" t="inlineStr">
        <is>
          <t>Life (Basel)11(12): 18 p.</t>
        </is>
      </c>
      <c r="CH171" t="n">
        <v>2021.0</v>
      </c>
      <c r="CI171" t="inlineStr">
        <is>
          <t>Marchetto,F., M. Roverso, D. Righetti, S. Bogialli, F. Filippini, E. Bergantino, and E. Sforza (2021). Bioremediation of Per- and Poly-Fluoroalkyl Substances (PFAS) by Synechocystis sp. PCC 6803: A Chassis for a Synthetic Biology Approach. Life (Basel), 11, (12), 18 p. ECOREF#:188797</t>
        </is>
      </c>
    </row>
    <row r="172">
      <c r="A172" t="n">
        <v>2795393.0</v>
      </c>
      <c r="B172" t="inlineStr">
        <is>
          <t>1,1,2,2,3,3,4,4,5,5,6,6,7,7,8,8,8-Heptadecafluoro-1-octanesulfonic acid potassium salt</t>
        </is>
      </c>
      <c r="C172"/>
      <c r="D172" t="inlineStr">
        <is>
          <t>Measured</t>
        </is>
      </c>
      <c r="E172" t="inlineStr">
        <is>
          <t>&gt;</t>
        </is>
      </c>
      <c r="F172" t="n">
        <v>98.0</v>
      </c>
      <c r="G172"/>
      <c r="H172"/>
      <c r="I172"/>
      <c r="J172"/>
      <c r="K172" t="inlineStr">
        <is>
          <t>Synechocystis sp.</t>
        </is>
      </c>
      <c r="L172" t="inlineStr">
        <is>
          <t>Blue-Green Algae</t>
        </is>
      </c>
      <c r="M172" t="inlineStr">
        <is>
          <t>Algae</t>
        </is>
      </c>
      <c r="N172"/>
      <c r="O172"/>
      <c r="P172"/>
      <c r="Q172"/>
      <c r="R172"/>
      <c r="S172"/>
      <c r="T172"/>
      <c r="U172"/>
      <c r="V172" t="inlineStr">
        <is>
          <t>Static</t>
        </is>
      </c>
      <c r="W172" t="inlineStr">
        <is>
          <t>Culture</t>
        </is>
      </c>
      <c r="X172" t="inlineStr">
        <is>
          <t>Lab</t>
        </is>
      </c>
      <c r="Y172" t="n">
        <v>2.0</v>
      </c>
      <c r="Z172" t="inlineStr">
        <is>
          <t>Active ingredient</t>
        </is>
      </c>
      <c r="AA172"/>
      <c r="AB172"/>
      <c r="AC172" t="inlineStr">
        <is>
          <t>&gt;</t>
        </is>
      </c>
      <c r="AD172" t="n">
        <v>0.25</v>
      </c>
      <c r="AE172" t="inlineStr">
        <is>
          <t>&lt;</t>
        </is>
      </c>
      <c r="AF172" t="n">
        <v>1.0</v>
      </c>
      <c r="AG172" t="inlineStr">
        <is>
          <t>AI mg/L</t>
        </is>
      </c>
      <c r="AH172"/>
      <c r="AI172"/>
      <c r="AJ172"/>
      <c r="AK172"/>
      <c r="AL172"/>
      <c r="AM172"/>
      <c r="AN172"/>
      <c r="AO172"/>
      <c r="AP172"/>
      <c r="AQ172"/>
      <c r="AR172"/>
      <c r="AS172"/>
      <c r="AT172"/>
      <c r="AU172"/>
      <c r="AV172"/>
      <c r="AW172"/>
      <c r="AX172" t="inlineStr">
        <is>
          <t>Accumulation</t>
        </is>
      </c>
      <c r="AY172" t="inlineStr">
        <is>
          <t>Residue</t>
        </is>
      </c>
      <c r="AZ172"/>
      <c r="BA172"/>
      <c r="BB172"/>
      <c r="BC172" t="n">
        <v>4.0</v>
      </c>
      <c r="BD172"/>
      <c r="BE172"/>
      <c r="BF172"/>
      <c r="BG172"/>
      <c r="BH172" t="inlineStr">
        <is>
          <t>Day(s)</t>
        </is>
      </c>
      <c r="BI172"/>
      <c r="BJ172"/>
      <c r="BK172"/>
      <c r="BL172"/>
      <c r="BM172"/>
      <c r="BN172"/>
      <c r="BO172" t="inlineStr">
        <is>
          <t>--</t>
        </is>
      </c>
      <c r="BP172"/>
      <c r="BQ172"/>
      <c r="BR172"/>
      <c r="BS172"/>
      <c r="BT172"/>
      <c r="BU172"/>
      <c r="BV172"/>
      <c r="BW172"/>
      <c r="BX172"/>
      <c r="BY172"/>
      <c r="BZ172"/>
      <c r="CA172"/>
      <c r="CB172"/>
      <c r="CC172"/>
      <c r="CD172" t="inlineStr">
        <is>
          <t>Marchetto,F., M. Roverso, D. Righetti, S. Bogialli, F. Filippini, E. Bergantino, and E. Sforza</t>
        </is>
      </c>
      <c r="CE172" t="n">
        <v>188797.0</v>
      </c>
      <c r="CF172" t="inlineStr">
        <is>
          <t>Bioremediation of Per- and Poly-Fluoroalkyl Substances (PFAS) by Synechocystis sp. PCC 6803: A Chassis for a Synthetic Biology Approach</t>
        </is>
      </c>
      <c r="CG172" t="inlineStr">
        <is>
          <t>Life (Basel)11(12): 18 p.</t>
        </is>
      </c>
      <c r="CH172" t="n">
        <v>2021.0</v>
      </c>
      <c r="CI172" t="inlineStr">
        <is>
          <t>Marchetto,F., M. Roverso, D. Righetti, S. Bogialli, F. Filippini, E. Bergantino, and E. Sforza (2021). Bioremediation of Per- and Poly-Fluoroalkyl Substances (PFAS) by Synechocystis sp. PCC 6803: A Chassis for a Synthetic Biology Approach. Life (Basel), 11, (12), 18 p. ECOREF#:188797</t>
        </is>
      </c>
    </row>
    <row r="173">
      <c r="A173" t="n">
        <v>2795393.0</v>
      </c>
      <c r="B173" t="inlineStr">
        <is>
          <t>1,1,2,2,3,3,4,4,5,5,6,6,7,7,8,8,8-Heptadecafluoro-1-octanesulfonic acid potassium salt</t>
        </is>
      </c>
      <c r="C173"/>
      <c r="D173" t="inlineStr">
        <is>
          <t>Measured</t>
        </is>
      </c>
      <c r="E173" t="inlineStr">
        <is>
          <t>&gt;</t>
        </is>
      </c>
      <c r="F173" t="n">
        <v>98.0</v>
      </c>
      <c r="G173"/>
      <c r="H173"/>
      <c r="I173"/>
      <c r="J173"/>
      <c r="K173" t="inlineStr">
        <is>
          <t>Fistulifera pelliculosa</t>
        </is>
      </c>
      <c r="L173" t="inlineStr">
        <is>
          <t>Diatom</t>
        </is>
      </c>
      <c r="M173" t="inlineStr">
        <is>
          <t>Algae; Standard Test Species</t>
        </is>
      </c>
      <c r="N173"/>
      <c r="O173"/>
      <c r="P173"/>
      <c r="Q173"/>
      <c r="R173"/>
      <c r="S173"/>
      <c r="T173"/>
      <c r="U173"/>
      <c r="V173" t="inlineStr">
        <is>
          <t>Static</t>
        </is>
      </c>
      <c r="W173" t="inlineStr">
        <is>
          <t>Fresh water</t>
        </is>
      </c>
      <c r="X173" t="inlineStr">
        <is>
          <t>Lab</t>
        </is>
      </c>
      <c r="Y173" t="n">
        <v>1.0</v>
      </c>
      <c r="Z173" t="inlineStr">
        <is>
          <t>Active ingredient</t>
        </is>
      </c>
      <c r="AA173"/>
      <c r="AB173" t="n">
        <v>7.1E-5</v>
      </c>
      <c r="AC173"/>
      <c r="AD173"/>
      <c r="AE173"/>
      <c r="AF173"/>
      <c r="AG173" t="inlineStr">
        <is>
          <t>AI mg/L</t>
        </is>
      </c>
      <c r="AH173"/>
      <c r="AI173"/>
      <c r="AJ173"/>
      <c r="AK173"/>
      <c r="AL173"/>
      <c r="AM173"/>
      <c r="AN173"/>
      <c r="AO173"/>
      <c r="AP173"/>
      <c r="AQ173"/>
      <c r="AR173"/>
      <c r="AS173"/>
      <c r="AT173"/>
      <c r="AU173"/>
      <c r="AV173"/>
      <c r="AW173"/>
      <c r="AX173" t="inlineStr">
        <is>
          <t>Accumulation</t>
        </is>
      </c>
      <c r="AY173" t="inlineStr">
        <is>
          <t>Residue</t>
        </is>
      </c>
      <c r="AZ173"/>
      <c r="BA173"/>
      <c r="BB173"/>
      <c r="BC173"/>
      <c r="BD173"/>
      <c r="BE173" t="n">
        <v>0.0208</v>
      </c>
      <c r="BF173"/>
      <c r="BG173" t="n">
        <v>7.0</v>
      </c>
      <c r="BH173" t="inlineStr">
        <is>
          <t>Day(s)</t>
        </is>
      </c>
      <c r="BI173"/>
      <c r="BJ173"/>
      <c r="BK173"/>
      <c r="BL173"/>
      <c r="BM173"/>
      <c r="BN173"/>
      <c r="BO173" t="inlineStr">
        <is>
          <t>--</t>
        </is>
      </c>
      <c r="BP173"/>
      <c r="BQ173"/>
      <c r="BR173"/>
      <c r="BS173"/>
      <c r="BT173"/>
      <c r="BU173"/>
      <c r="BV173"/>
      <c r="BW173"/>
      <c r="BX173"/>
      <c r="BY173"/>
      <c r="BZ173"/>
      <c r="CA173"/>
      <c r="CB173"/>
      <c r="CC173"/>
      <c r="CD173" t="inlineStr">
        <is>
          <t>Zachritz,A.M., J.A. Steevens, D.A. Miranda, B.G. Perrotta, R.A. Dorman, H.D. Whitehead, E.L. Pulster, D.M. Walters, D.J</t>
        </is>
      </c>
      <c r="CE173" t="n">
        <v>195317.0</v>
      </c>
      <c r="CF173" t="inlineStr">
        <is>
          <t>Concentration Dependency of PFOS Bioaccumulation by Freshwater Benthic Algae</t>
        </is>
      </c>
      <c r="CG173" t="inlineStr">
        <is>
          <t>ACS ES&amp;T Water5(8): 4415-4422</t>
        </is>
      </c>
      <c r="CH173" t="n">
        <v>2025.0</v>
      </c>
      <c r="CI173" t="inlineStr">
        <is>
          <t>Zachritz,A.M., J.A. Steevens, D.A. Miranda, B.G. Perrotta, R.A. Dorman, H.D. Whitehead, E.L. Pulster, D.M. Walters, D.J (2025). Concentration Dependency of PFOS Bioaccumulation by Freshwater Benthic Algae. ACS ES&amp;T Water, 5, (8), 4415-4422. doi:10.1021/acsestwater.5c00048. ECOREF#:195317</t>
        </is>
      </c>
    </row>
    <row r="174">
      <c r="A174" t="n">
        <v>2795393.0</v>
      </c>
      <c r="B174" t="inlineStr">
        <is>
          <t>1,1,2,2,3,3,4,4,5,5,6,6,7,7,8,8,8-Heptadecafluoro-1-octanesulfonic acid potassium salt</t>
        </is>
      </c>
      <c r="C174"/>
      <c r="D174" t="inlineStr">
        <is>
          <t>Measured</t>
        </is>
      </c>
      <c r="E174" t="inlineStr">
        <is>
          <t>&gt;</t>
        </is>
      </c>
      <c r="F174" t="n">
        <v>98.0</v>
      </c>
      <c r="G174"/>
      <c r="H174"/>
      <c r="I174"/>
      <c r="J174"/>
      <c r="K174" t="inlineStr">
        <is>
          <t>Pelophylax nigromaculatus</t>
        </is>
      </c>
      <c r="L174" t="inlineStr">
        <is>
          <t>Black-Spotted Frog</t>
        </is>
      </c>
      <c r="M174" t="inlineStr">
        <is>
          <t>Amphibians</t>
        </is>
      </c>
      <c r="N174" t="inlineStr">
        <is>
          <t>Adult</t>
        </is>
      </c>
      <c r="O174"/>
      <c r="P174"/>
      <c r="Q174"/>
      <c r="R174"/>
      <c r="S174"/>
      <c r="T174"/>
      <c r="U174"/>
      <c r="V174" t="inlineStr">
        <is>
          <t>Renewal</t>
        </is>
      </c>
      <c r="W174" t="inlineStr">
        <is>
          <t>Fresh water</t>
        </is>
      </c>
      <c r="X174" t="inlineStr">
        <is>
          <t>Lab</t>
        </is>
      </c>
      <c r="Y174" t="n">
        <v>3.0</v>
      </c>
      <c r="Z174" t="inlineStr">
        <is>
          <t>Active ingredient</t>
        </is>
      </c>
      <c r="AA174"/>
      <c r="AB174"/>
      <c r="AC174"/>
      <c r="AD174" t="n">
        <v>6.2E-4</v>
      </c>
      <c r="AE174"/>
      <c r="AF174" t="n">
        <v>0.01114</v>
      </c>
      <c r="AG174" t="inlineStr">
        <is>
          <t>AI mg/L</t>
        </is>
      </c>
      <c r="AH174"/>
      <c r="AI174"/>
      <c r="AJ174"/>
      <c r="AK174"/>
      <c r="AL174"/>
      <c r="AM174"/>
      <c r="AN174"/>
      <c r="AO174"/>
      <c r="AP174"/>
      <c r="AQ174"/>
      <c r="AR174"/>
      <c r="AS174"/>
      <c r="AT174"/>
      <c r="AU174"/>
      <c r="AV174"/>
      <c r="AW174"/>
      <c r="AX174" t="inlineStr">
        <is>
          <t>Accumulation</t>
        </is>
      </c>
      <c r="AY174" t="inlineStr">
        <is>
          <t>Residue</t>
        </is>
      </c>
      <c r="AZ174"/>
      <c r="BA174" t="inlineStr">
        <is>
          <t>Gut</t>
        </is>
      </c>
      <c r="BB174"/>
      <c r="BC174" t="n">
        <v>21.0</v>
      </c>
      <c r="BD174"/>
      <c r="BE174"/>
      <c r="BF174"/>
      <c r="BG174"/>
      <c r="BH174" t="inlineStr">
        <is>
          <t>Day(s)</t>
        </is>
      </c>
      <c r="BI174"/>
      <c r="BJ174"/>
      <c r="BK174"/>
      <c r="BL174"/>
      <c r="BM174"/>
      <c r="BN174"/>
      <c r="BO174" t="inlineStr">
        <is>
          <t>--</t>
        </is>
      </c>
      <c r="BP174"/>
      <c r="BQ174"/>
      <c r="BR174"/>
      <c r="BS174"/>
      <c r="BT174"/>
      <c r="BU174"/>
      <c r="BV174"/>
      <c r="BW174"/>
      <c r="BX174"/>
      <c r="BY174"/>
      <c r="BZ174"/>
      <c r="CA174"/>
      <c r="CB174"/>
      <c r="CC174"/>
      <c r="CD174" t="inlineStr">
        <is>
          <t>Lin,H., H. Wu, F. Liu, H. Yang, L. Shen, J. Chen, X. Zhang, Y. Zhong, H. Zhang, and Z. Liu</t>
        </is>
      </c>
      <c r="CE174" t="n">
        <v>191182.0</v>
      </c>
      <c r="CF174" t="inlineStr">
        <is>
          <t>Assessing the Hepatotoxicity of PFOA, PFOS, and 6:2 Cl-PFESA in Black-Spotted Frogs (Rana nigromaculata) and Elucidating Potential Association with Gut Microbiota</t>
        </is>
      </c>
      <c r="CG174" t="inlineStr">
        <is>
          <t>Environ. Pollut.312:11 p.</t>
        </is>
      </c>
      <c r="CH174" t="n">
        <v>2022.0</v>
      </c>
      <c r="CI174" t="inlineStr">
        <is>
          <t>Lin,H., H. Wu, F. Liu, H. Yang, L. Shen, J. Chen, X. Zhang, Y. Zhong, H. Zhang, and Z. Liu (2022). Assessing the Hepatotoxicity of PFOA, PFOS, and 6:2 Cl-PFESA in Black-Spotted Frogs (Rana nigromaculata) and Elucidating Potential Association with Gut Microbiota. Environ. Pollut., 312, 11 p. doi:10.1016/j.envpol.2022.120029. ECOREF#:191182</t>
        </is>
      </c>
    </row>
    <row r="175">
      <c r="A175" t="n">
        <v>2795393.0</v>
      </c>
      <c r="B175" t="inlineStr">
        <is>
          <t>1,1,2,2,3,3,4,4,5,5,6,6,7,7,8,8,8-Heptadecafluoro-1-octanesulfonic acid potassium salt</t>
        </is>
      </c>
      <c r="C175"/>
      <c r="D175" t="inlineStr">
        <is>
          <t>Measured</t>
        </is>
      </c>
      <c r="E175"/>
      <c r="F175" t="n">
        <v>98.0</v>
      </c>
      <c r="G175"/>
      <c r="H175"/>
      <c r="I175"/>
      <c r="J175"/>
      <c r="K175" t="inlineStr">
        <is>
          <t>Lithobates pipiens</t>
        </is>
      </c>
      <c r="L175" t="inlineStr">
        <is>
          <t>Leopard Frog</t>
        </is>
      </c>
      <c r="M175" t="inlineStr">
        <is>
          <t>Amphibians; Standard Test Species</t>
        </is>
      </c>
      <c r="N175" t="inlineStr">
        <is>
          <t>Embryo</t>
        </is>
      </c>
      <c r="O175"/>
      <c r="P175"/>
      <c r="Q175"/>
      <c r="R175" t="n">
        <v>8.0</v>
      </c>
      <c r="S175"/>
      <c r="T175" t="n">
        <v>9.0</v>
      </c>
      <c r="U175" t="inlineStr">
        <is>
          <t>Stage</t>
        </is>
      </c>
      <c r="V175" t="inlineStr">
        <is>
          <t>Flow-through</t>
        </is>
      </c>
      <c r="W175" t="inlineStr">
        <is>
          <t>Fresh water</t>
        </is>
      </c>
      <c r="X175" t="inlineStr">
        <is>
          <t>Lab</t>
        </is>
      </c>
      <c r="Y175" t="n">
        <v>7.0</v>
      </c>
      <c r="Z175" t="inlineStr">
        <is>
          <t>Active ingredient</t>
        </is>
      </c>
      <c r="AA175"/>
      <c r="AB175"/>
      <c r="AC175"/>
      <c r="AD175" t="n">
        <v>0.04</v>
      </c>
      <c r="AE175"/>
      <c r="AF175" t="n">
        <v>12.5</v>
      </c>
      <c r="AG175" t="inlineStr">
        <is>
          <t>AI mg/L</t>
        </is>
      </c>
      <c r="AH175"/>
      <c r="AI175"/>
      <c r="AJ175"/>
      <c r="AK175"/>
      <c r="AL175"/>
      <c r="AM175"/>
      <c r="AN175"/>
      <c r="AO175"/>
      <c r="AP175"/>
      <c r="AQ175"/>
      <c r="AR175"/>
      <c r="AS175"/>
      <c r="AT175"/>
      <c r="AU175"/>
      <c r="AV175"/>
      <c r="AW175"/>
      <c r="AX175" t="inlineStr">
        <is>
          <t>Accumulation</t>
        </is>
      </c>
      <c r="AY175" t="inlineStr">
        <is>
          <t>Residue</t>
        </is>
      </c>
      <c r="AZ175"/>
      <c r="BA175" t="inlineStr">
        <is>
          <t>Whole organism</t>
        </is>
      </c>
      <c r="BB175"/>
      <c r="BC175"/>
      <c r="BD175"/>
      <c r="BE175" t="n">
        <v>6.0</v>
      </c>
      <c r="BF175"/>
      <c r="BG175" t="n">
        <v>54.0</v>
      </c>
      <c r="BH175" t="inlineStr">
        <is>
          <t>Day(s)</t>
        </is>
      </c>
      <c r="BI175"/>
      <c r="BJ175"/>
      <c r="BK175"/>
      <c r="BL175"/>
      <c r="BM175"/>
      <c r="BN175"/>
      <c r="BO175" t="inlineStr">
        <is>
          <t>--</t>
        </is>
      </c>
      <c r="BP175"/>
      <c r="BQ175"/>
      <c r="BR175"/>
      <c r="BS175"/>
      <c r="BT175"/>
      <c r="BU175"/>
      <c r="BV175"/>
      <c r="BW175"/>
      <c r="BX175"/>
      <c r="BY175"/>
      <c r="BZ175"/>
      <c r="CA175"/>
      <c r="CB175"/>
      <c r="CC175"/>
      <c r="CD175" t="inlineStr">
        <is>
          <t>Ankley,G.T., D.W. Kuehl, M.D. Kahl, K.M. Jensen, B.C. Butterworth, and J.W. Nichols</t>
        </is>
      </c>
      <c r="CE175" t="n">
        <v>77666.0</v>
      </c>
      <c r="CF175" t="inlineStr">
        <is>
          <t>Partial Life-Cycle Toxicity and Bioconcentration Modeling of Perfluorooctanesulfonate in the Northern Leopard Frog (Rana pipiens)</t>
        </is>
      </c>
      <c r="CG175" t="inlineStr">
        <is>
          <t>Environ. Toxicol. Chem.23(11): 2745-2755</t>
        </is>
      </c>
      <c r="CH175" t="n">
        <v>2004.0</v>
      </c>
      <c r="CI175" t="inlineStr">
        <is>
          <t>Ankley,G.T., D.W. Kuehl, M.D. Kahl, K.M. Jensen, B.C. Butterworth, and J.W. Nichols (2004). Partial Life-Cycle Toxicity and Bioconcentration Modeling of Perfluorooctanesulfonate in the Northern Leopard Frog (Rana pipiens). Environ. Toxicol. Chem., 23, (11), 2745-2755. doi:10.1897/03-667. ECOREF#:77666</t>
        </is>
      </c>
    </row>
    <row r="176">
      <c r="A176" t="n">
        <v>2795393.0</v>
      </c>
      <c r="B176" t="inlineStr">
        <is>
          <t>1,1,2,2,3,3,4,4,5,5,6,6,7,7,8,8,8-Heptadecafluoro-1-octanesulfonic acid potassium salt</t>
        </is>
      </c>
      <c r="C176"/>
      <c r="D176" t="inlineStr">
        <is>
          <t>Unmeasured</t>
        </is>
      </c>
      <c r="E176" t="inlineStr">
        <is>
          <t>&gt;=</t>
        </is>
      </c>
      <c r="F176" t="n">
        <v>98.0</v>
      </c>
      <c r="G176"/>
      <c r="H176"/>
      <c r="I176"/>
      <c r="J176"/>
      <c r="K176" t="inlineStr">
        <is>
          <t>Cherax quadricarinatus</t>
        </is>
      </c>
      <c r="L176" t="inlineStr">
        <is>
          <t>Australian Redclaw Crayfish</t>
        </is>
      </c>
      <c r="M176" t="inlineStr">
        <is>
          <t>Crustaceans</t>
        </is>
      </c>
      <c r="N176" t="inlineStr">
        <is>
          <t>Juvenile</t>
        </is>
      </c>
      <c r="O176"/>
      <c r="P176"/>
      <c r="Q176"/>
      <c r="R176"/>
      <c r="S176"/>
      <c r="T176"/>
      <c r="U176"/>
      <c r="V176" t="inlineStr">
        <is>
          <t>Renewal</t>
        </is>
      </c>
      <c r="W176" t="inlineStr">
        <is>
          <t>Fresh water</t>
        </is>
      </c>
      <c r="X176" t="inlineStr">
        <is>
          <t>Lab</t>
        </is>
      </c>
      <c r="Y176" t="n">
        <v>4.0</v>
      </c>
      <c r="Z176" t="inlineStr">
        <is>
          <t>Active ingredient</t>
        </is>
      </c>
      <c r="AA176"/>
      <c r="AB176" t="n">
        <v>1.0E-4</v>
      </c>
      <c r="AC176"/>
      <c r="AD176"/>
      <c r="AE176"/>
      <c r="AF176"/>
      <c r="AG176" t="inlineStr">
        <is>
          <t>AI mg/L</t>
        </is>
      </c>
      <c r="AH176"/>
      <c r="AI176"/>
      <c r="AJ176"/>
      <c r="AK176"/>
      <c r="AL176"/>
      <c r="AM176"/>
      <c r="AN176"/>
      <c r="AO176"/>
      <c r="AP176"/>
      <c r="AQ176"/>
      <c r="AR176"/>
      <c r="AS176"/>
      <c r="AT176"/>
      <c r="AU176"/>
      <c r="AV176"/>
      <c r="AW176"/>
      <c r="AX176" t="inlineStr">
        <is>
          <t>Accumulation</t>
        </is>
      </c>
      <c r="AY176" t="inlineStr">
        <is>
          <t>Residue</t>
        </is>
      </c>
      <c r="AZ176" t="inlineStr">
        <is>
          <t>LOEC</t>
        </is>
      </c>
      <c r="BA176" t="inlineStr">
        <is>
          <t>Serum</t>
        </is>
      </c>
      <c r="BB176"/>
      <c r="BC176" t="n">
        <v>28.0</v>
      </c>
      <c r="BD176"/>
      <c r="BE176"/>
      <c r="BF176"/>
      <c r="BG176"/>
      <c r="BH176" t="inlineStr">
        <is>
          <t>Day(s)</t>
        </is>
      </c>
      <c r="BI176"/>
      <c r="BJ176"/>
      <c r="BK176"/>
      <c r="BL176"/>
      <c r="BM176"/>
      <c r="BN176"/>
      <c r="BO176" t="inlineStr">
        <is>
          <t>--</t>
        </is>
      </c>
      <c r="BP176"/>
      <c r="BQ176"/>
      <c r="BR176"/>
      <c r="BS176"/>
      <c r="BT176"/>
      <c r="BU176"/>
      <c r="BV176"/>
      <c r="BW176"/>
      <c r="BX176"/>
      <c r="BY176"/>
      <c r="BZ176"/>
      <c r="CA176"/>
      <c r="CB176"/>
      <c r="CC176"/>
      <c r="CD176" t="inlineStr">
        <is>
          <t>Hong,S., T. Zhu, C. Liu, Y. Li, W. Song, X. Wang, X. Liu, H. Wang, K. Li, X. Cao, C. Yao, and W. Lv</t>
        </is>
      </c>
      <c r="CE176" t="n">
        <v>195125.0</v>
      </c>
      <c r="CF176" t="inlineStr">
        <is>
          <t>Perfluorobutane Sulfonate (PFOS) Accumulation in Tissues of Cherax quadricarinatus and Its Toxicity Mechanism</t>
        </is>
      </c>
      <c r="CG176" t="inlineStr">
        <is>
          <t>Toxics13(4): 16 p.</t>
        </is>
      </c>
      <c r="CH176" t="n">
        <v>2025.0</v>
      </c>
      <c r="CI176" t="inlineStr">
        <is>
          <t>Hong,S., T. Zhu, C. Liu, Y. Li, W. Song, X. Wang, X. Liu, H. Wang, K. Li, X. Cao, C. Yao, and W. Lv (2025). Perfluorobutane Sulfonate (PFOS) Accumulation in Tissues of Cherax quadricarinatus and Its Toxicity Mechanism. Toxics, 13, (4), 16 p. doi:10.3390/toxics13040269. ECOREF#:195125</t>
        </is>
      </c>
    </row>
    <row r="177">
      <c r="A177" t="n">
        <v>2795393.0</v>
      </c>
      <c r="B177" t="inlineStr">
        <is>
          <t>1,1,2,2,3,3,4,4,5,5,6,6,7,7,8,8,8-Heptadecafluoro-1-octanesulfonic acid potassium salt</t>
        </is>
      </c>
      <c r="C177"/>
      <c r="D177" t="inlineStr">
        <is>
          <t>Unmeasured</t>
        </is>
      </c>
      <c r="E177" t="inlineStr">
        <is>
          <t>&gt;=</t>
        </is>
      </c>
      <c r="F177" t="n">
        <v>98.0</v>
      </c>
      <c r="G177"/>
      <c r="H177"/>
      <c r="I177"/>
      <c r="J177"/>
      <c r="K177" t="inlineStr">
        <is>
          <t>Cherax quadricarinatus</t>
        </is>
      </c>
      <c r="L177" t="inlineStr">
        <is>
          <t>Australian Redclaw Crayfish</t>
        </is>
      </c>
      <c r="M177" t="inlineStr">
        <is>
          <t>Crustaceans</t>
        </is>
      </c>
      <c r="N177" t="inlineStr">
        <is>
          <t>Juvenile</t>
        </is>
      </c>
      <c r="O177"/>
      <c r="P177"/>
      <c r="Q177"/>
      <c r="R177"/>
      <c r="S177"/>
      <c r="T177"/>
      <c r="U177"/>
      <c r="V177" t="inlineStr">
        <is>
          <t>Renewal</t>
        </is>
      </c>
      <c r="W177" t="inlineStr">
        <is>
          <t>Fresh water</t>
        </is>
      </c>
      <c r="X177" t="inlineStr">
        <is>
          <t>Lab</t>
        </is>
      </c>
      <c r="Y177" t="n">
        <v>4.0</v>
      </c>
      <c r="Z177" t="inlineStr">
        <is>
          <t>Active ingredient</t>
        </is>
      </c>
      <c r="AA177"/>
      <c r="AB177" t="n">
        <v>1.0E-4</v>
      </c>
      <c r="AC177"/>
      <c r="AD177"/>
      <c r="AE177"/>
      <c r="AF177"/>
      <c r="AG177" t="inlineStr">
        <is>
          <t>AI mg/L</t>
        </is>
      </c>
      <c r="AH177"/>
      <c r="AI177"/>
      <c r="AJ177"/>
      <c r="AK177"/>
      <c r="AL177"/>
      <c r="AM177"/>
      <c r="AN177"/>
      <c r="AO177"/>
      <c r="AP177"/>
      <c r="AQ177"/>
      <c r="AR177"/>
      <c r="AS177"/>
      <c r="AT177"/>
      <c r="AU177"/>
      <c r="AV177"/>
      <c r="AW177"/>
      <c r="AX177" t="inlineStr">
        <is>
          <t>Accumulation</t>
        </is>
      </c>
      <c r="AY177" t="inlineStr">
        <is>
          <t>Residue</t>
        </is>
      </c>
      <c r="AZ177" t="inlineStr">
        <is>
          <t>LOEC</t>
        </is>
      </c>
      <c r="BA177" t="inlineStr">
        <is>
          <t>Hepatopancreas</t>
        </is>
      </c>
      <c r="BB177"/>
      <c r="BC177" t="n">
        <v>28.0</v>
      </c>
      <c r="BD177"/>
      <c r="BE177"/>
      <c r="BF177"/>
      <c r="BG177"/>
      <c r="BH177" t="inlineStr">
        <is>
          <t>Day(s)</t>
        </is>
      </c>
      <c r="BI177"/>
      <c r="BJ177"/>
      <c r="BK177"/>
      <c r="BL177"/>
      <c r="BM177"/>
      <c r="BN177"/>
      <c r="BO177" t="inlineStr">
        <is>
          <t>--</t>
        </is>
      </c>
      <c r="BP177"/>
      <c r="BQ177"/>
      <c r="BR177"/>
      <c r="BS177"/>
      <c r="BT177"/>
      <c r="BU177"/>
      <c r="BV177"/>
      <c r="BW177"/>
      <c r="BX177"/>
      <c r="BY177"/>
      <c r="BZ177"/>
      <c r="CA177"/>
      <c r="CB177"/>
      <c r="CC177"/>
      <c r="CD177" t="inlineStr">
        <is>
          <t>Hong,S., T. Zhu, C. Liu, Y. Li, W. Song, X. Wang, X. Liu, H. Wang, K. Li, X. Cao, C. Yao, and W. Lv</t>
        </is>
      </c>
      <c r="CE177" t="n">
        <v>195125.0</v>
      </c>
      <c r="CF177" t="inlineStr">
        <is>
          <t>Perfluorobutane Sulfonate (PFOS) Accumulation in Tissues of Cherax quadricarinatus and Its Toxicity Mechanism</t>
        </is>
      </c>
      <c r="CG177" t="inlineStr">
        <is>
          <t>Toxics13(4): 16 p.</t>
        </is>
      </c>
      <c r="CH177" t="n">
        <v>2025.0</v>
      </c>
      <c r="CI177" t="inlineStr">
        <is>
          <t>Hong,S., T. Zhu, C. Liu, Y. Li, W. Song, X. Wang, X. Liu, H. Wang, K. Li, X. Cao, C. Yao, and W. Lv (2025). Perfluorobutane Sulfonate (PFOS) Accumulation in Tissues of Cherax quadricarinatus and Its Toxicity Mechanism. Toxics, 13, (4), 16 p. doi:10.3390/toxics13040269. ECOREF#:195125</t>
        </is>
      </c>
    </row>
    <row r="178">
      <c r="A178" t="n">
        <v>2795393.0</v>
      </c>
      <c r="B178" t="inlineStr">
        <is>
          <t>1,1,2,2,3,3,4,4,5,5,6,6,7,7,8,8,8-Heptadecafluoro-1-octanesulfonic acid potassium salt</t>
        </is>
      </c>
      <c r="C178"/>
      <c r="D178" t="inlineStr">
        <is>
          <t>Unmeasured</t>
        </is>
      </c>
      <c r="E178" t="inlineStr">
        <is>
          <t>&gt;=</t>
        </is>
      </c>
      <c r="F178" t="n">
        <v>98.0</v>
      </c>
      <c r="G178"/>
      <c r="H178"/>
      <c r="I178"/>
      <c r="J178"/>
      <c r="K178" t="inlineStr">
        <is>
          <t>Cherax quadricarinatus</t>
        </is>
      </c>
      <c r="L178" t="inlineStr">
        <is>
          <t>Australian Redclaw Crayfish</t>
        </is>
      </c>
      <c r="M178" t="inlineStr">
        <is>
          <t>Crustaceans</t>
        </is>
      </c>
      <c r="N178" t="inlineStr">
        <is>
          <t>Juvenile</t>
        </is>
      </c>
      <c r="O178"/>
      <c r="P178"/>
      <c r="Q178"/>
      <c r="R178"/>
      <c r="S178"/>
      <c r="T178"/>
      <c r="U178"/>
      <c r="V178" t="inlineStr">
        <is>
          <t>Renewal</t>
        </is>
      </c>
      <c r="W178" t="inlineStr">
        <is>
          <t>Fresh water</t>
        </is>
      </c>
      <c r="X178" t="inlineStr">
        <is>
          <t>Lab</t>
        </is>
      </c>
      <c r="Y178" t="n">
        <v>4.0</v>
      </c>
      <c r="Z178" t="inlineStr">
        <is>
          <t>Active ingredient</t>
        </is>
      </c>
      <c r="AA178"/>
      <c r="AB178" t="n">
        <v>0.01</v>
      </c>
      <c r="AC178"/>
      <c r="AD178"/>
      <c r="AE178"/>
      <c r="AF178"/>
      <c r="AG178" t="inlineStr">
        <is>
          <t>AI mg/L</t>
        </is>
      </c>
      <c r="AH178"/>
      <c r="AI178"/>
      <c r="AJ178"/>
      <c r="AK178"/>
      <c r="AL178"/>
      <c r="AM178"/>
      <c r="AN178"/>
      <c r="AO178"/>
      <c r="AP178"/>
      <c r="AQ178"/>
      <c r="AR178"/>
      <c r="AS178"/>
      <c r="AT178"/>
      <c r="AU178"/>
      <c r="AV178"/>
      <c r="AW178"/>
      <c r="AX178" t="inlineStr">
        <is>
          <t>Accumulation</t>
        </is>
      </c>
      <c r="AY178" t="inlineStr">
        <is>
          <t>Residue</t>
        </is>
      </c>
      <c r="AZ178" t="inlineStr">
        <is>
          <t>LOEC</t>
        </is>
      </c>
      <c r="BA178" t="inlineStr">
        <is>
          <t>Muscle</t>
        </is>
      </c>
      <c r="BB178"/>
      <c r="BC178" t="n">
        <v>28.0</v>
      </c>
      <c r="BD178"/>
      <c r="BE178"/>
      <c r="BF178"/>
      <c r="BG178"/>
      <c r="BH178" t="inlineStr">
        <is>
          <t>Day(s)</t>
        </is>
      </c>
      <c r="BI178"/>
      <c r="BJ178"/>
      <c r="BK178"/>
      <c r="BL178"/>
      <c r="BM178"/>
      <c r="BN178"/>
      <c r="BO178" t="inlineStr">
        <is>
          <t>--</t>
        </is>
      </c>
      <c r="BP178"/>
      <c r="BQ178"/>
      <c r="BR178"/>
      <c r="BS178"/>
      <c r="BT178"/>
      <c r="BU178"/>
      <c r="BV178"/>
      <c r="BW178"/>
      <c r="BX178"/>
      <c r="BY178"/>
      <c r="BZ178"/>
      <c r="CA178"/>
      <c r="CB178"/>
      <c r="CC178"/>
      <c r="CD178" t="inlineStr">
        <is>
          <t>Hong,S., T. Zhu, C. Liu, Y. Li, W. Song, X. Wang, X. Liu, H. Wang, K. Li, X. Cao, C. Yao, and W. Lv</t>
        </is>
      </c>
      <c r="CE178" t="n">
        <v>195125.0</v>
      </c>
      <c r="CF178" t="inlineStr">
        <is>
          <t>Perfluorobutane Sulfonate (PFOS) Accumulation in Tissues of Cherax quadricarinatus and Its Toxicity Mechanism</t>
        </is>
      </c>
      <c r="CG178" t="inlineStr">
        <is>
          <t>Toxics13(4): 16 p.</t>
        </is>
      </c>
      <c r="CH178" t="n">
        <v>2025.0</v>
      </c>
      <c r="CI178" t="inlineStr">
        <is>
          <t>Hong,S., T. Zhu, C. Liu, Y. Li, W. Song, X. Wang, X. Liu, H. Wang, K. Li, X. Cao, C. Yao, and W. Lv (2025). Perfluorobutane Sulfonate (PFOS) Accumulation in Tissues of Cherax quadricarinatus and Its Toxicity Mechanism. Toxics, 13, (4), 16 p. doi:10.3390/toxics13040269. ECOREF#:195125</t>
        </is>
      </c>
    </row>
    <row r="179">
      <c r="A179" t="n">
        <v>2795393.0</v>
      </c>
      <c r="B179" t="inlineStr">
        <is>
          <t>1,1,2,2,3,3,4,4,5,5,6,6,7,7,8,8,8-Heptadecafluoro-1-octanesulfonic acid potassium salt</t>
        </is>
      </c>
      <c r="C179"/>
      <c r="D179" t="inlineStr">
        <is>
          <t>Unmeasured</t>
        </is>
      </c>
      <c r="E179" t="inlineStr">
        <is>
          <t>&gt;=</t>
        </is>
      </c>
      <c r="F179" t="n">
        <v>98.0</v>
      </c>
      <c r="G179"/>
      <c r="H179"/>
      <c r="I179"/>
      <c r="J179"/>
      <c r="K179" t="inlineStr">
        <is>
          <t>Cherax quadricarinatus</t>
        </is>
      </c>
      <c r="L179" t="inlineStr">
        <is>
          <t>Australian Redclaw Crayfish</t>
        </is>
      </c>
      <c r="M179" t="inlineStr">
        <is>
          <t>Crustaceans</t>
        </is>
      </c>
      <c r="N179" t="inlineStr">
        <is>
          <t>Juvenile</t>
        </is>
      </c>
      <c r="O179"/>
      <c r="P179"/>
      <c r="Q179"/>
      <c r="R179"/>
      <c r="S179"/>
      <c r="T179"/>
      <c r="U179"/>
      <c r="V179" t="inlineStr">
        <is>
          <t>Renewal</t>
        </is>
      </c>
      <c r="W179" t="inlineStr">
        <is>
          <t>Fresh water</t>
        </is>
      </c>
      <c r="X179" t="inlineStr">
        <is>
          <t>Lab</t>
        </is>
      </c>
      <c r="Y179" t="n">
        <v>4.0</v>
      </c>
      <c r="Z179" t="inlineStr">
        <is>
          <t>Active ingredient</t>
        </is>
      </c>
      <c r="AA179"/>
      <c r="AB179" t="n">
        <v>1.0E-4</v>
      </c>
      <c r="AC179"/>
      <c r="AD179"/>
      <c r="AE179"/>
      <c r="AF179"/>
      <c r="AG179" t="inlineStr">
        <is>
          <t>AI mg/L</t>
        </is>
      </c>
      <c r="AH179"/>
      <c r="AI179"/>
      <c r="AJ179"/>
      <c r="AK179"/>
      <c r="AL179"/>
      <c r="AM179"/>
      <c r="AN179"/>
      <c r="AO179"/>
      <c r="AP179"/>
      <c r="AQ179"/>
      <c r="AR179"/>
      <c r="AS179"/>
      <c r="AT179"/>
      <c r="AU179"/>
      <c r="AV179"/>
      <c r="AW179"/>
      <c r="AX179" t="inlineStr">
        <is>
          <t>Accumulation</t>
        </is>
      </c>
      <c r="AY179" t="inlineStr">
        <is>
          <t>Residue</t>
        </is>
      </c>
      <c r="AZ179" t="inlineStr">
        <is>
          <t>NOEC</t>
        </is>
      </c>
      <c r="BA179" t="inlineStr">
        <is>
          <t>Muscle</t>
        </is>
      </c>
      <c r="BB179"/>
      <c r="BC179" t="n">
        <v>28.0</v>
      </c>
      <c r="BD179"/>
      <c r="BE179"/>
      <c r="BF179"/>
      <c r="BG179"/>
      <c r="BH179" t="inlineStr">
        <is>
          <t>Day(s)</t>
        </is>
      </c>
      <c r="BI179"/>
      <c r="BJ179"/>
      <c r="BK179"/>
      <c r="BL179"/>
      <c r="BM179"/>
      <c r="BN179"/>
      <c r="BO179" t="inlineStr">
        <is>
          <t>--</t>
        </is>
      </c>
      <c r="BP179"/>
      <c r="BQ179"/>
      <c r="BR179"/>
      <c r="BS179"/>
      <c r="BT179"/>
      <c r="BU179"/>
      <c r="BV179"/>
      <c r="BW179"/>
      <c r="BX179"/>
      <c r="BY179"/>
      <c r="BZ179"/>
      <c r="CA179"/>
      <c r="CB179"/>
      <c r="CC179"/>
      <c r="CD179" t="inlineStr">
        <is>
          <t>Hong,S., T. Zhu, C. Liu, Y. Li, W. Song, X. Wang, X. Liu, H. Wang, K. Li, X. Cao, C. Yao, and W. Lv</t>
        </is>
      </c>
      <c r="CE179" t="n">
        <v>195125.0</v>
      </c>
      <c r="CF179" t="inlineStr">
        <is>
          <t>Perfluorobutane Sulfonate (PFOS) Accumulation in Tissues of Cherax quadricarinatus and Its Toxicity Mechanism</t>
        </is>
      </c>
      <c r="CG179" t="inlineStr">
        <is>
          <t>Toxics13(4): 16 p.</t>
        </is>
      </c>
      <c r="CH179" t="n">
        <v>2025.0</v>
      </c>
      <c r="CI179" t="inlineStr">
        <is>
          <t>Hong,S., T. Zhu, C. Liu, Y. Li, W. Song, X. Wang, X. Liu, H. Wang, K. Li, X. Cao, C. Yao, and W. Lv (2025). Perfluorobutane Sulfonate (PFOS) Accumulation in Tissues of Cherax quadricarinatus and Its Toxicity Mechanism. Toxics, 13, (4), 16 p. doi:10.3390/toxics13040269. ECOREF#:195125</t>
        </is>
      </c>
    </row>
    <row r="180">
      <c r="A180" t="n">
        <v>2795393.0</v>
      </c>
      <c r="B180" t="inlineStr">
        <is>
          <t>1,1,2,2,3,3,4,4,5,5,6,6,7,7,8,8,8-Heptadecafluoro-1-octanesulfonic acid potassium salt</t>
        </is>
      </c>
      <c r="C180"/>
      <c r="D180" t="inlineStr">
        <is>
          <t>Unmeasured</t>
        </is>
      </c>
      <c r="E180" t="inlineStr">
        <is>
          <t>&gt;=</t>
        </is>
      </c>
      <c r="F180" t="n">
        <v>98.0</v>
      </c>
      <c r="G180"/>
      <c r="H180"/>
      <c r="I180"/>
      <c r="J180"/>
      <c r="K180" t="inlineStr">
        <is>
          <t>Cherax quadricarinatus</t>
        </is>
      </c>
      <c r="L180" t="inlineStr">
        <is>
          <t>Australian Redclaw Crayfish</t>
        </is>
      </c>
      <c r="M180" t="inlineStr">
        <is>
          <t>Crustaceans</t>
        </is>
      </c>
      <c r="N180" t="inlineStr">
        <is>
          <t>Juvenile</t>
        </is>
      </c>
      <c r="O180"/>
      <c r="P180"/>
      <c r="Q180"/>
      <c r="R180"/>
      <c r="S180"/>
      <c r="T180"/>
      <c r="U180"/>
      <c r="V180" t="inlineStr">
        <is>
          <t>Renewal</t>
        </is>
      </c>
      <c r="W180" t="inlineStr">
        <is>
          <t>Fresh water</t>
        </is>
      </c>
      <c r="X180" t="inlineStr">
        <is>
          <t>Lab</t>
        </is>
      </c>
      <c r="Y180" t="n">
        <v>4.0</v>
      </c>
      <c r="Z180" t="inlineStr">
        <is>
          <t>Active ingredient</t>
        </is>
      </c>
      <c r="AA180"/>
      <c r="AB180" t="n">
        <v>1.0E-6</v>
      </c>
      <c r="AC180"/>
      <c r="AD180"/>
      <c r="AE180"/>
      <c r="AF180"/>
      <c r="AG180" t="inlineStr">
        <is>
          <t>AI mg/L</t>
        </is>
      </c>
      <c r="AH180"/>
      <c r="AI180"/>
      <c r="AJ180"/>
      <c r="AK180"/>
      <c r="AL180"/>
      <c r="AM180"/>
      <c r="AN180"/>
      <c r="AO180"/>
      <c r="AP180"/>
      <c r="AQ180"/>
      <c r="AR180"/>
      <c r="AS180"/>
      <c r="AT180"/>
      <c r="AU180"/>
      <c r="AV180"/>
      <c r="AW180"/>
      <c r="AX180" t="inlineStr">
        <is>
          <t>Accumulation</t>
        </is>
      </c>
      <c r="AY180" t="inlineStr">
        <is>
          <t>Residue</t>
        </is>
      </c>
      <c r="AZ180" t="inlineStr">
        <is>
          <t>NOEC</t>
        </is>
      </c>
      <c r="BA180" t="inlineStr">
        <is>
          <t>Serum</t>
        </is>
      </c>
      <c r="BB180"/>
      <c r="BC180" t="n">
        <v>28.0</v>
      </c>
      <c r="BD180"/>
      <c r="BE180"/>
      <c r="BF180"/>
      <c r="BG180"/>
      <c r="BH180" t="inlineStr">
        <is>
          <t>Day(s)</t>
        </is>
      </c>
      <c r="BI180"/>
      <c r="BJ180"/>
      <c r="BK180"/>
      <c r="BL180"/>
      <c r="BM180"/>
      <c r="BN180"/>
      <c r="BO180" t="inlineStr">
        <is>
          <t>--</t>
        </is>
      </c>
      <c r="BP180"/>
      <c r="BQ180"/>
      <c r="BR180"/>
      <c r="BS180"/>
      <c r="BT180"/>
      <c r="BU180"/>
      <c r="BV180"/>
      <c r="BW180"/>
      <c r="BX180"/>
      <c r="BY180"/>
      <c r="BZ180"/>
      <c r="CA180"/>
      <c r="CB180"/>
      <c r="CC180"/>
      <c r="CD180" t="inlineStr">
        <is>
          <t>Hong,S., T. Zhu, C. Liu, Y. Li, W. Song, X. Wang, X. Liu, H. Wang, K. Li, X. Cao, C. Yao, and W. Lv</t>
        </is>
      </c>
      <c r="CE180" t="n">
        <v>195125.0</v>
      </c>
      <c r="CF180" t="inlineStr">
        <is>
          <t>Perfluorobutane Sulfonate (PFOS) Accumulation in Tissues of Cherax quadricarinatus and Its Toxicity Mechanism</t>
        </is>
      </c>
      <c r="CG180" t="inlineStr">
        <is>
          <t>Toxics13(4): 16 p.</t>
        </is>
      </c>
      <c r="CH180" t="n">
        <v>2025.0</v>
      </c>
      <c r="CI180" t="inlineStr">
        <is>
          <t>Hong,S., T. Zhu, C. Liu, Y. Li, W. Song, X. Wang, X. Liu, H. Wang, K. Li, X. Cao, C. Yao, and W. Lv (2025). Perfluorobutane Sulfonate (PFOS) Accumulation in Tissues of Cherax quadricarinatus and Its Toxicity Mechanism. Toxics, 13, (4), 16 p. doi:10.3390/toxics13040269. ECOREF#:195125</t>
        </is>
      </c>
    </row>
    <row r="181">
      <c r="A181" t="n">
        <v>2795393.0</v>
      </c>
      <c r="B181" t="inlineStr">
        <is>
          <t>1,1,2,2,3,3,4,4,5,5,6,6,7,7,8,8,8-Heptadecafluoro-1-octanesulfonic acid potassium salt</t>
        </is>
      </c>
      <c r="C181"/>
      <c r="D181" t="inlineStr">
        <is>
          <t>Unmeasured</t>
        </is>
      </c>
      <c r="E181" t="inlineStr">
        <is>
          <t>&gt;=</t>
        </is>
      </c>
      <c r="F181" t="n">
        <v>98.0</v>
      </c>
      <c r="G181"/>
      <c r="H181"/>
      <c r="I181"/>
      <c r="J181"/>
      <c r="K181" t="inlineStr">
        <is>
          <t>Cherax quadricarinatus</t>
        </is>
      </c>
      <c r="L181" t="inlineStr">
        <is>
          <t>Australian Redclaw Crayfish</t>
        </is>
      </c>
      <c r="M181" t="inlineStr">
        <is>
          <t>Crustaceans</t>
        </is>
      </c>
      <c r="N181" t="inlineStr">
        <is>
          <t>Juvenile</t>
        </is>
      </c>
      <c r="O181"/>
      <c r="P181"/>
      <c r="Q181"/>
      <c r="R181"/>
      <c r="S181"/>
      <c r="T181"/>
      <c r="U181"/>
      <c r="V181" t="inlineStr">
        <is>
          <t>Renewal</t>
        </is>
      </c>
      <c r="W181" t="inlineStr">
        <is>
          <t>Fresh water</t>
        </is>
      </c>
      <c r="X181" t="inlineStr">
        <is>
          <t>Lab</t>
        </is>
      </c>
      <c r="Y181" t="n">
        <v>4.0</v>
      </c>
      <c r="Z181" t="inlineStr">
        <is>
          <t>Active ingredient</t>
        </is>
      </c>
      <c r="AA181"/>
      <c r="AB181" t="n">
        <v>1.0E-6</v>
      </c>
      <c r="AC181"/>
      <c r="AD181"/>
      <c r="AE181"/>
      <c r="AF181"/>
      <c r="AG181" t="inlineStr">
        <is>
          <t>AI mg/L</t>
        </is>
      </c>
      <c r="AH181"/>
      <c r="AI181"/>
      <c r="AJ181"/>
      <c r="AK181"/>
      <c r="AL181"/>
      <c r="AM181"/>
      <c r="AN181"/>
      <c r="AO181"/>
      <c r="AP181"/>
      <c r="AQ181"/>
      <c r="AR181"/>
      <c r="AS181"/>
      <c r="AT181"/>
      <c r="AU181"/>
      <c r="AV181"/>
      <c r="AW181"/>
      <c r="AX181" t="inlineStr">
        <is>
          <t>Accumulation</t>
        </is>
      </c>
      <c r="AY181" t="inlineStr">
        <is>
          <t>Residue</t>
        </is>
      </c>
      <c r="AZ181" t="inlineStr">
        <is>
          <t>NOEC</t>
        </is>
      </c>
      <c r="BA181" t="inlineStr">
        <is>
          <t>Hepatopancreas</t>
        </is>
      </c>
      <c r="BB181"/>
      <c r="BC181" t="n">
        <v>28.0</v>
      </c>
      <c r="BD181"/>
      <c r="BE181"/>
      <c r="BF181"/>
      <c r="BG181"/>
      <c r="BH181" t="inlineStr">
        <is>
          <t>Day(s)</t>
        </is>
      </c>
      <c r="BI181"/>
      <c r="BJ181"/>
      <c r="BK181"/>
      <c r="BL181"/>
      <c r="BM181"/>
      <c r="BN181"/>
      <c r="BO181" t="inlineStr">
        <is>
          <t>--</t>
        </is>
      </c>
      <c r="BP181"/>
      <c r="BQ181"/>
      <c r="BR181"/>
      <c r="BS181"/>
      <c r="BT181"/>
      <c r="BU181"/>
      <c r="BV181"/>
      <c r="BW181"/>
      <c r="BX181"/>
      <c r="BY181"/>
      <c r="BZ181"/>
      <c r="CA181"/>
      <c r="CB181"/>
      <c r="CC181"/>
      <c r="CD181" t="inlineStr">
        <is>
          <t>Hong,S., T. Zhu, C. Liu, Y. Li, W. Song, X. Wang, X. Liu, H. Wang, K. Li, X. Cao, C. Yao, and W. Lv</t>
        </is>
      </c>
      <c r="CE181" t="n">
        <v>195125.0</v>
      </c>
      <c r="CF181" t="inlineStr">
        <is>
          <t>Perfluorobutane Sulfonate (PFOS) Accumulation in Tissues of Cherax quadricarinatus and Its Toxicity Mechanism</t>
        </is>
      </c>
      <c r="CG181" t="inlineStr">
        <is>
          <t>Toxics13(4): 16 p.</t>
        </is>
      </c>
      <c r="CH181" t="n">
        <v>2025.0</v>
      </c>
      <c r="CI181" t="inlineStr">
        <is>
          <t>Hong,S., T. Zhu, C. Liu, Y. Li, W. Song, X. Wang, X. Liu, H. Wang, K. Li, X. Cao, C. Yao, and W. Lv (2025). Perfluorobutane Sulfonate (PFOS) Accumulation in Tissues of Cherax quadricarinatus and Its Toxicity Mechanism. Toxics, 13, (4), 16 p. doi:10.3390/toxics13040269. ECOREF#:195125</t>
        </is>
      </c>
    </row>
    <row r="182">
      <c r="A182" t="n">
        <v>2795393.0</v>
      </c>
      <c r="B182" t="inlineStr">
        <is>
          <t>1,1,2,2,3,3,4,4,5,5,6,6,7,7,8,8,8-Heptadecafluoro-1-octanesulfonic acid potassium salt</t>
        </is>
      </c>
      <c r="C182"/>
      <c r="D182" t="inlineStr">
        <is>
          <t>Unmeasured</t>
        </is>
      </c>
      <c r="E182"/>
      <c r="F182"/>
      <c r="G182"/>
      <c r="H182"/>
      <c r="I182"/>
      <c r="J182"/>
      <c r="K182" t="inlineStr">
        <is>
          <t>Monoporeia affinis</t>
        </is>
      </c>
      <c r="L182" t="inlineStr">
        <is>
          <t>Baltic Amphipod</t>
        </is>
      </c>
      <c r="M182" t="inlineStr">
        <is>
          <t>Crustaceans</t>
        </is>
      </c>
      <c r="N182" t="inlineStr">
        <is>
          <t>Adult</t>
        </is>
      </c>
      <c r="O182"/>
      <c r="P182"/>
      <c r="Q182"/>
      <c r="R182"/>
      <c r="S182"/>
      <c r="T182"/>
      <c r="U182"/>
      <c r="V182" t="inlineStr">
        <is>
          <t>Static</t>
        </is>
      </c>
      <c r="W182" t="inlineStr">
        <is>
          <t>Fresh water</t>
        </is>
      </c>
      <c r="X182" t="inlineStr">
        <is>
          <t>Lab</t>
        </is>
      </c>
      <c r="Y182" t="n">
        <v>3.0</v>
      </c>
      <c r="Z182" t="inlineStr">
        <is>
          <t>Formulation</t>
        </is>
      </c>
      <c r="AA182"/>
      <c r="AB182"/>
      <c r="AC182"/>
      <c r="AD182" t="n">
        <v>0.01</v>
      </c>
      <c r="AE182"/>
      <c r="AF182" t="n">
        <v>0.05</v>
      </c>
      <c r="AG182" t="inlineStr">
        <is>
          <t>AI mg/L</t>
        </is>
      </c>
      <c r="AH182"/>
      <c r="AI182"/>
      <c r="AJ182"/>
      <c r="AK182"/>
      <c r="AL182"/>
      <c r="AM182"/>
      <c r="AN182"/>
      <c r="AO182"/>
      <c r="AP182"/>
      <c r="AQ182"/>
      <c r="AR182"/>
      <c r="AS182"/>
      <c r="AT182"/>
      <c r="AU182"/>
      <c r="AV182"/>
      <c r="AW182"/>
      <c r="AX182" t="inlineStr">
        <is>
          <t>Accumulation</t>
        </is>
      </c>
      <c r="AY182" t="inlineStr">
        <is>
          <t>Residue</t>
        </is>
      </c>
      <c r="AZ182"/>
      <c r="BA182" t="inlineStr">
        <is>
          <t>Whole organism</t>
        </is>
      </c>
      <c r="BB182"/>
      <c r="BC182" t="n">
        <v>35.0</v>
      </c>
      <c r="BD182"/>
      <c r="BE182"/>
      <c r="BF182"/>
      <c r="BG182"/>
      <c r="BH182" t="inlineStr">
        <is>
          <t>Day(s)</t>
        </is>
      </c>
      <c r="BI182"/>
      <c r="BJ182"/>
      <c r="BK182"/>
      <c r="BL182"/>
      <c r="BM182"/>
      <c r="BN182"/>
      <c r="BO182" t="inlineStr">
        <is>
          <t>--</t>
        </is>
      </c>
      <c r="BP182"/>
      <c r="BQ182"/>
      <c r="BR182"/>
      <c r="BS182"/>
      <c r="BT182"/>
      <c r="BU182"/>
      <c r="BV182"/>
      <c r="BW182"/>
      <c r="BX182"/>
      <c r="BY182"/>
      <c r="BZ182"/>
      <c r="CA182"/>
      <c r="CB182"/>
      <c r="CC182"/>
      <c r="CD182" t="inlineStr">
        <is>
          <t>Jacobson,T., K. Holmstrom, G. Yang, A.T. Ford, U. Berger, and B. Sundelin</t>
        </is>
      </c>
      <c r="CE182" t="n">
        <v>152160.0</v>
      </c>
      <c r="CF182" t="inlineStr">
        <is>
          <t>Perfluorooctane Sulfonate Accumulation and Parasite Infestation in a Field Population of the Amphipod Monoporeia affinis After Microcosm Exposure</t>
        </is>
      </c>
      <c r="CG182" t="inlineStr">
        <is>
          <t>Aquat. Toxicol.98(1): 99-106</t>
        </is>
      </c>
      <c r="CH182" t="n">
        <v>2010.0</v>
      </c>
      <c r="CI182" t="inlineStr">
        <is>
          <t>Jacobson,T., K. Holmstrom, G. Yang, A.T. Ford, U. Berger, and B. Sundelin (2010). Perfluorooctane Sulfonate Accumulation and Parasite Infestation in a Field Population of the Amphipod Monoporeia affinis After Microcosm Exposure. Aquat. Toxicol., 98, (1), 99-106. doi:10.1016/j.aquatox.2010.01.017. ECOREF#:152160</t>
        </is>
      </c>
    </row>
    <row r="183">
      <c r="A183" t="n">
        <v>2795393.0</v>
      </c>
      <c r="B183" t="inlineStr">
        <is>
          <t>1,1,2,2,3,3,4,4,5,5,6,6,7,7,8,8,8-Heptadecafluoro-1-octanesulfonic acid potassium salt</t>
        </is>
      </c>
      <c r="C183"/>
      <c r="D183" t="inlineStr">
        <is>
          <t>Unmeasured values (some measured values reported in article)</t>
        </is>
      </c>
      <c r="E183"/>
      <c r="F183"/>
      <c r="G183"/>
      <c r="H183"/>
      <c r="I183"/>
      <c r="J183"/>
      <c r="K183" t="inlineStr">
        <is>
          <t>Monoporeia affinis</t>
        </is>
      </c>
      <c r="L183" t="inlineStr">
        <is>
          <t>Baltic Amphipod</t>
        </is>
      </c>
      <c r="M183" t="inlineStr">
        <is>
          <t>Crustaceans</t>
        </is>
      </c>
      <c r="N183" t="inlineStr">
        <is>
          <t>Adult</t>
        </is>
      </c>
      <c r="O183"/>
      <c r="P183"/>
      <c r="Q183"/>
      <c r="R183"/>
      <c r="S183"/>
      <c r="T183"/>
      <c r="U183"/>
      <c r="V183" t="inlineStr">
        <is>
          <t>Renewal</t>
        </is>
      </c>
      <c r="W183" t="inlineStr">
        <is>
          <t>Fresh water</t>
        </is>
      </c>
      <c r="X183" t="inlineStr">
        <is>
          <t>Lab</t>
        </is>
      </c>
      <c r="Y183" t="n">
        <v>4.0</v>
      </c>
      <c r="Z183" t="inlineStr">
        <is>
          <t>Active ingredient</t>
        </is>
      </c>
      <c r="AA183"/>
      <c r="AB183"/>
      <c r="AC183"/>
      <c r="AD183" t="n">
        <v>0.0072</v>
      </c>
      <c r="AE183"/>
      <c r="AF183" t="n">
        <v>0.0202</v>
      </c>
      <c r="AG183" t="inlineStr">
        <is>
          <t>AI mg/L</t>
        </is>
      </c>
      <c r="AH183"/>
      <c r="AI183"/>
      <c r="AJ183"/>
      <c r="AK183"/>
      <c r="AL183"/>
      <c r="AM183"/>
      <c r="AN183"/>
      <c r="AO183"/>
      <c r="AP183"/>
      <c r="AQ183"/>
      <c r="AR183"/>
      <c r="AS183"/>
      <c r="AT183"/>
      <c r="AU183"/>
      <c r="AV183"/>
      <c r="AW183"/>
      <c r="AX183" t="inlineStr">
        <is>
          <t>Accumulation</t>
        </is>
      </c>
      <c r="AY183" t="inlineStr">
        <is>
          <t>Residue</t>
        </is>
      </c>
      <c r="AZ183"/>
      <c r="BA183" t="inlineStr">
        <is>
          <t>Whole organism</t>
        </is>
      </c>
      <c r="BB183"/>
      <c r="BC183" t="n">
        <v>21.0</v>
      </c>
      <c r="BD183"/>
      <c r="BE183"/>
      <c r="BF183"/>
      <c r="BG183"/>
      <c r="BH183" t="inlineStr">
        <is>
          <t>Day(s)</t>
        </is>
      </c>
      <c r="BI183"/>
      <c r="BJ183"/>
      <c r="BK183"/>
      <c r="BL183"/>
      <c r="BM183"/>
      <c r="BN183"/>
      <c r="BO183" t="inlineStr">
        <is>
          <t>--</t>
        </is>
      </c>
      <c r="BP183"/>
      <c r="BQ183"/>
      <c r="BR183"/>
      <c r="BS183"/>
      <c r="BT183"/>
      <c r="BU183"/>
      <c r="BV183"/>
      <c r="BW183"/>
      <c r="BX183"/>
      <c r="BY183"/>
      <c r="BZ183"/>
      <c r="CA183"/>
      <c r="CB183"/>
      <c r="CC183"/>
      <c r="CD183" t="inlineStr">
        <is>
          <t>Jacobson,T., K. Holmstrom, G. Yang, A.T. Ford, U. Berger, and B. Sundelin</t>
        </is>
      </c>
      <c r="CE183" t="n">
        <v>152160.0</v>
      </c>
      <c r="CF183" t="inlineStr">
        <is>
          <t>Perfluorooctane Sulfonate Accumulation and Parasite Infestation in a Field Population of the Amphipod Monoporeia affinis After Microcosm Exposure</t>
        </is>
      </c>
      <c r="CG183" t="inlineStr">
        <is>
          <t>Aquat. Toxicol.98(1): 99-106</t>
        </is>
      </c>
      <c r="CH183" t="n">
        <v>2010.0</v>
      </c>
      <c r="CI183" t="inlineStr">
        <is>
          <t>Jacobson,T., K. Holmstrom, G. Yang, A.T. Ford, U. Berger, and B. Sundelin (2010). Perfluorooctane Sulfonate Accumulation and Parasite Infestation in a Field Population of the Amphipod Monoporeia affinis After Microcosm Exposure. Aquat. Toxicol., 98, (1), 99-106. doi:10.1016/j.aquatox.2010.01.017. ECOREF#:152160</t>
        </is>
      </c>
    </row>
    <row r="184">
      <c r="A184" t="n">
        <v>2795393.0</v>
      </c>
      <c r="B184" t="inlineStr">
        <is>
          <t>1,1,2,2,3,3,4,4,5,5,6,6,7,7,8,8,8-Heptadecafluoro-1-octanesulfonic acid potassium salt</t>
        </is>
      </c>
      <c r="C184"/>
      <c r="D184" t="inlineStr">
        <is>
          <t>Measured</t>
        </is>
      </c>
      <c r="E184" t="inlineStr">
        <is>
          <t>&gt;</t>
        </is>
      </c>
      <c r="F184" t="n">
        <v>98.0</v>
      </c>
      <c r="G184"/>
      <c r="H184"/>
      <c r="I184"/>
      <c r="J184"/>
      <c r="K184" t="inlineStr">
        <is>
          <t>Daphnia magna</t>
        </is>
      </c>
      <c r="L184" t="inlineStr">
        <is>
          <t>Water Flea</t>
        </is>
      </c>
      <c r="M184" t="inlineStr">
        <is>
          <t>Crustaceans; Standard Test Species</t>
        </is>
      </c>
      <c r="N184" t="inlineStr">
        <is>
          <t>Adult</t>
        </is>
      </c>
      <c r="O184"/>
      <c r="P184" t="n">
        <v>3.0</v>
      </c>
      <c r="Q184"/>
      <c r="R184"/>
      <c r="S184"/>
      <c r="T184"/>
      <c r="U184" t="inlineStr">
        <is>
          <t>Week(s)</t>
        </is>
      </c>
      <c r="V184" t="inlineStr">
        <is>
          <t>Static</t>
        </is>
      </c>
      <c r="W184" t="inlineStr">
        <is>
          <t>Fresh water</t>
        </is>
      </c>
      <c r="X184" t="inlineStr">
        <is>
          <t>Lab</t>
        </is>
      </c>
      <c r="Y184" t="n">
        <v>2.0</v>
      </c>
      <c r="Z184" t="inlineStr">
        <is>
          <t>Active ingredient</t>
        </is>
      </c>
      <c r="AA184"/>
      <c r="AB184"/>
      <c r="AC184" t="inlineStr">
        <is>
          <t>&gt;</t>
        </is>
      </c>
      <c r="AD184" t="n">
        <v>0.4</v>
      </c>
      <c r="AE184" t="inlineStr">
        <is>
          <t>&lt;</t>
        </is>
      </c>
      <c r="AF184" t="n">
        <v>0.6</v>
      </c>
      <c r="AG184" t="inlineStr">
        <is>
          <t>AI mg/L</t>
        </is>
      </c>
      <c r="AH184"/>
      <c r="AI184"/>
      <c r="AJ184"/>
      <c r="AK184"/>
      <c r="AL184"/>
      <c r="AM184"/>
      <c r="AN184"/>
      <c r="AO184"/>
      <c r="AP184"/>
      <c r="AQ184"/>
      <c r="AR184"/>
      <c r="AS184"/>
      <c r="AT184"/>
      <c r="AU184"/>
      <c r="AV184"/>
      <c r="AW184"/>
      <c r="AX184" t="inlineStr">
        <is>
          <t>Accumulation</t>
        </is>
      </c>
      <c r="AY184" t="inlineStr">
        <is>
          <t>Residue</t>
        </is>
      </c>
      <c r="AZ184" t="inlineStr">
        <is>
          <t>BCF</t>
        </is>
      </c>
      <c r="BA184" t="inlineStr">
        <is>
          <t>Whole organism</t>
        </is>
      </c>
      <c r="BB184"/>
      <c r="BC184" t="n">
        <v>0.0542</v>
      </c>
      <c r="BD184"/>
      <c r="BE184"/>
      <c r="BF184"/>
      <c r="BG184"/>
      <c r="BH184" t="inlineStr">
        <is>
          <t>Day(s)</t>
        </is>
      </c>
      <c r="BI184"/>
      <c r="BJ184"/>
      <c r="BK184" t="inlineStr">
        <is>
          <t>&gt;</t>
        </is>
      </c>
      <c r="BL184" t="n">
        <v>0.0</v>
      </c>
      <c r="BM184" t="inlineStr">
        <is>
          <t>&lt;</t>
        </is>
      </c>
      <c r="BN184" t="n">
        <v>500.0</v>
      </c>
      <c r="BO184" t="inlineStr">
        <is>
          <t>L/kg</t>
        </is>
      </c>
      <c r="BP184"/>
      <c r="BQ184"/>
      <c r="BR184"/>
      <c r="BS184"/>
      <c r="BT184"/>
      <c r="BU184"/>
      <c r="BV184"/>
      <c r="BW184"/>
      <c r="BX184"/>
      <c r="BY184"/>
      <c r="BZ184"/>
      <c r="CA184"/>
      <c r="CB184"/>
      <c r="CC184"/>
      <c r="CD184" t="inlineStr">
        <is>
          <t>Jeong,T., and M.J. Simpson</t>
        </is>
      </c>
      <c r="CE184" t="n">
        <v>184766.0</v>
      </c>
      <c r="CF184" t="inlineStr">
        <is>
          <t>Time-Dependent Biomolecular Responses and Bioaccumulation of Perfluorooctane Sulfonate (PFOS) in Daphnia magna</t>
        </is>
      </c>
      <c r="CG184" t="inlineStr">
        <is>
          <t>Comp. Biochem. Physiol.35:7 p.</t>
        </is>
      </c>
      <c r="CH184" t="n">
        <v>2020.0</v>
      </c>
      <c r="CI184" t="inlineStr">
        <is>
          <t>Jeong,T., and M.J. Simpson (2020). Time-Dependent Biomolecular Responses and Bioaccumulation of Perfluorooctane Sulfonate (PFOS) in Daphnia magna. Comp. Biochem. Physiol., 35, 7 p. doi:10.1016/j.cbd.2020.100701. ECOREF#:184766</t>
        </is>
      </c>
    </row>
    <row r="185">
      <c r="A185" t="n">
        <v>2795393.0</v>
      </c>
      <c r="B185" t="inlineStr">
        <is>
          <t>1,1,2,2,3,3,4,4,5,5,6,6,7,7,8,8,8-Heptadecafluoro-1-octanesulfonic acid potassium salt</t>
        </is>
      </c>
      <c r="C185"/>
      <c r="D185" t="inlineStr">
        <is>
          <t>Measured</t>
        </is>
      </c>
      <c r="E185" t="inlineStr">
        <is>
          <t>&gt;</t>
        </is>
      </c>
      <c r="F185" t="n">
        <v>98.0</v>
      </c>
      <c r="G185"/>
      <c r="H185"/>
      <c r="I185"/>
      <c r="J185"/>
      <c r="K185" t="inlineStr">
        <is>
          <t>Daphnia magna</t>
        </is>
      </c>
      <c r="L185" t="inlineStr">
        <is>
          <t>Water Flea</t>
        </is>
      </c>
      <c r="M185" t="inlineStr">
        <is>
          <t>Crustaceans; Standard Test Species</t>
        </is>
      </c>
      <c r="N185" t="inlineStr">
        <is>
          <t>Adult</t>
        </is>
      </c>
      <c r="O185"/>
      <c r="P185" t="n">
        <v>3.0</v>
      </c>
      <c r="Q185"/>
      <c r="R185"/>
      <c r="S185"/>
      <c r="T185"/>
      <c r="U185" t="inlineStr">
        <is>
          <t>Week(s)</t>
        </is>
      </c>
      <c r="V185" t="inlineStr">
        <is>
          <t>Static</t>
        </is>
      </c>
      <c r="W185" t="inlineStr">
        <is>
          <t>Fresh water</t>
        </is>
      </c>
      <c r="X185" t="inlineStr">
        <is>
          <t>Lab</t>
        </is>
      </c>
      <c r="Y185" t="n">
        <v>2.0</v>
      </c>
      <c r="Z185" t="inlineStr">
        <is>
          <t>Active ingredient</t>
        </is>
      </c>
      <c r="AA185"/>
      <c r="AB185"/>
      <c r="AC185" t="inlineStr">
        <is>
          <t>&gt;</t>
        </is>
      </c>
      <c r="AD185" t="n">
        <v>0.4</v>
      </c>
      <c r="AE185" t="inlineStr">
        <is>
          <t>&lt;</t>
        </is>
      </c>
      <c r="AF185" t="n">
        <v>0.6</v>
      </c>
      <c r="AG185" t="inlineStr">
        <is>
          <t>AI mg/L</t>
        </is>
      </c>
      <c r="AH185"/>
      <c r="AI185"/>
      <c r="AJ185"/>
      <c r="AK185"/>
      <c r="AL185"/>
      <c r="AM185"/>
      <c r="AN185"/>
      <c r="AO185"/>
      <c r="AP185"/>
      <c r="AQ185"/>
      <c r="AR185"/>
      <c r="AS185"/>
      <c r="AT185"/>
      <c r="AU185"/>
      <c r="AV185"/>
      <c r="AW185"/>
      <c r="AX185" t="inlineStr">
        <is>
          <t>Accumulation</t>
        </is>
      </c>
      <c r="AY185" t="inlineStr">
        <is>
          <t>Residue</t>
        </is>
      </c>
      <c r="AZ185" t="inlineStr">
        <is>
          <t>BCF</t>
        </is>
      </c>
      <c r="BA185" t="inlineStr">
        <is>
          <t>Whole organism</t>
        </is>
      </c>
      <c r="BB185"/>
      <c r="BC185" t="n">
        <v>1.0</v>
      </c>
      <c r="BD185"/>
      <c r="BE185"/>
      <c r="BF185"/>
      <c r="BG185"/>
      <c r="BH185" t="inlineStr">
        <is>
          <t>Day(s)</t>
        </is>
      </c>
      <c r="BI185"/>
      <c r="BJ185"/>
      <c r="BK185" t="inlineStr">
        <is>
          <t>&gt;</t>
        </is>
      </c>
      <c r="BL185" t="n">
        <v>0.0</v>
      </c>
      <c r="BM185" t="inlineStr">
        <is>
          <t>&lt;</t>
        </is>
      </c>
      <c r="BN185" t="n">
        <v>500.0</v>
      </c>
      <c r="BO185" t="inlineStr">
        <is>
          <t>L/kg</t>
        </is>
      </c>
      <c r="BP185"/>
      <c r="BQ185"/>
      <c r="BR185"/>
      <c r="BS185"/>
      <c r="BT185"/>
      <c r="BU185"/>
      <c r="BV185"/>
      <c r="BW185"/>
      <c r="BX185"/>
      <c r="BY185"/>
      <c r="BZ185"/>
      <c r="CA185"/>
      <c r="CB185"/>
      <c r="CC185"/>
      <c r="CD185" t="inlineStr">
        <is>
          <t>Jeong,T., and M.J. Simpson</t>
        </is>
      </c>
      <c r="CE185" t="n">
        <v>184766.0</v>
      </c>
      <c r="CF185" t="inlineStr">
        <is>
          <t>Time-Dependent Biomolecular Responses and Bioaccumulation of Perfluorooctane Sulfonate (PFOS) in Daphnia magna</t>
        </is>
      </c>
      <c r="CG185" t="inlineStr">
        <is>
          <t>Comp. Biochem. Physiol.35:7 p.</t>
        </is>
      </c>
      <c r="CH185" t="n">
        <v>2020.0</v>
      </c>
      <c r="CI185" t="inlineStr">
        <is>
          <t>Jeong,T., and M.J. Simpson (2020). Time-Dependent Biomolecular Responses and Bioaccumulation of Perfluorooctane Sulfonate (PFOS) in Daphnia magna. Comp. Biochem. Physiol., 35, 7 p. doi:10.1016/j.cbd.2020.100701. ECOREF#:184766</t>
        </is>
      </c>
    </row>
    <row r="186">
      <c r="A186" t="n">
        <v>2795393.0</v>
      </c>
      <c r="B186" t="inlineStr">
        <is>
          <t>1,1,2,2,3,3,4,4,5,5,6,6,7,7,8,8,8-Heptadecafluoro-1-octanesulfonic acid potassium salt</t>
        </is>
      </c>
      <c r="C186"/>
      <c r="D186" t="inlineStr">
        <is>
          <t>Measured</t>
        </is>
      </c>
      <c r="E186" t="inlineStr">
        <is>
          <t>&gt;</t>
        </is>
      </c>
      <c r="F186" t="n">
        <v>98.0</v>
      </c>
      <c r="G186"/>
      <c r="H186"/>
      <c r="I186"/>
      <c r="J186"/>
      <c r="K186" t="inlineStr">
        <is>
          <t>Daphnia magna</t>
        </is>
      </c>
      <c r="L186" t="inlineStr">
        <is>
          <t>Water Flea</t>
        </is>
      </c>
      <c r="M186" t="inlineStr">
        <is>
          <t>Crustaceans; Standard Test Species</t>
        </is>
      </c>
      <c r="N186" t="inlineStr">
        <is>
          <t>Neonate</t>
        </is>
      </c>
      <c r="O186" t="inlineStr">
        <is>
          <t>&lt;</t>
        </is>
      </c>
      <c r="P186" t="n">
        <v>24.0</v>
      </c>
      <c r="Q186"/>
      <c r="R186"/>
      <c r="S186"/>
      <c r="T186"/>
      <c r="U186" t="inlineStr">
        <is>
          <t>Hour(s)</t>
        </is>
      </c>
      <c r="V186" t="inlineStr">
        <is>
          <t>Aquatic, unspecified</t>
        </is>
      </c>
      <c r="W186" t="inlineStr">
        <is>
          <t>Fresh water</t>
        </is>
      </c>
      <c r="X186" t="inlineStr">
        <is>
          <t>Lab</t>
        </is>
      </c>
      <c r="Y186" t="n">
        <v>2.0</v>
      </c>
      <c r="Z186" t="inlineStr">
        <is>
          <t>Active ingredient</t>
        </is>
      </c>
      <c r="AA186"/>
      <c r="AB186"/>
      <c r="AC186" t="inlineStr">
        <is>
          <t>&gt;</t>
        </is>
      </c>
      <c r="AD186" t="n">
        <v>0.2</v>
      </c>
      <c r="AE186" t="inlineStr">
        <is>
          <t>&lt;</t>
        </is>
      </c>
      <c r="AF186" t="n">
        <v>0.6</v>
      </c>
      <c r="AG186" t="inlineStr">
        <is>
          <t>AI mg/L</t>
        </is>
      </c>
      <c r="AH186"/>
      <c r="AI186"/>
      <c r="AJ186"/>
      <c r="AK186"/>
      <c r="AL186"/>
      <c r="AM186"/>
      <c r="AN186"/>
      <c r="AO186"/>
      <c r="AP186"/>
      <c r="AQ186"/>
      <c r="AR186"/>
      <c r="AS186"/>
      <c r="AT186"/>
      <c r="AU186"/>
      <c r="AV186"/>
      <c r="AW186"/>
      <c r="AX186" t="inlineStr">
        <is>
          <t>Accumulation</t>
        </is>
      </c>
      <c r="AY186" t="inlineStr">
        <is>
          <t>Residue</t>
        </is>
      </c>
      <c r="AZ186" t="inlineStr">
        <is>
          <t>BCF</t>
        </is>
      </c>
      <c r="BA186" t="inlineStr">
        <is>
          <t>Whole organism</t>
        </is>
      </c>
      <c r="BB186"/>
      <c r="BC186" t="n">
        <v>16.0</v>
      </c>
      <c r="BD186"/>
      <c r="BE186"/>
      <c r="BF186"/>
      <c r="BG186"/>
      <c r="BH186" t="inlineStr">
        <is>
          <t>Day(s)</t>
        </is>
      </c>
      <c r="BI186"/>
      <c r="BJ186"/>
      <c r="BK186" t="inlineStr">
        <is>
          <t>&gt;</t>
        </is>
      </c>
      <c r="BL186" t="n">
        <v>500.0</v>
      </c>
      <c r="BM186" t="inlineStr">
        <is>
          <t>&lt;</t>
        </is>
      </c>
      <c r="BN186" t="n">
        <v>1000.0</v>
      </c>
      <c r="BO186" t="inlineStr">
        <is>
          <t>L/kg</t>
        </is>
      </c>
      <c r="BP186"/>
      <c r="BQ186"/>
      <c r="BR186"/>
      <c r="BS186"/>
      <c r="BT186"/>
      <c r="BU186"/>
      <c r="BV186"/>
      <c r="BW186"/>
      <c r="BX186"/>
      <c r="BY186"/>
      <c r="BZ186"/>
      <c r="CA186"/>
      <c r="CB186"/>
      <c r="CC186"/>
      <c r="CD186" t="inlineStr">
        <is>
          <t>Jeong,T., and M.J. Simpson</t>
        </is>
      </c>
      <c r="CE186" t="n">
        <v>184766.0</v>
      </c>
      <c r="CF186" t="inlineStr">
        <is>
          <t>Time-Dependent Biomolecular Responses and Bioaccumulation of Perfluorooctane Sulfonate (PFOS) in Daphnia magna</t>
        </is>
      </c>
      <c r="CG186" t="inlineStr">
        <is>
          <t>Comp. Biochem. Physiol.35:7 p.</t>
        </is>
      </c>
      <c r="CH186" t="n">
        <v>2020.0</v>
      </c>
      <c r="CI186" t="inlineStr">
        <is>
          <t>Jeong,T., and M.J. Simpson (2020). Time-Dependent Biomolecular Responses and Bioaccumulation of Perfluorooctane Sulfonate (PFOS) in Daphnia magna. Comp. Biochem. Physiol., 35, 7 p. doi:10.1016/j.cbd.2020.100701. ECOREF#:184766</t>
        </is>
      </c>
    </row>
    <row r="187">
      <c r="A187" t="n">
        <v>2795393.0</v>
      </c>
      <c r="B187" t="inlineStr">
        <is>
          <t>1,1,2,2,3,3,4,4,5,5,6,6,7,7,8,8,8-Heptadecafluoro-1-octanesulfonic acid potassium salt</t>
        </is>
      </c>
      <c r="C187"/>
      <c r="D187" t="inlineStr">
        <is>
          <t>Measured</t>
        </is>
      </c>
      <c r="E187" t="inlineStr">
        <is>
          <t>&gt;</t>
        </is>
      </c>
      <c r="F187" t="n">
        <v>98.0</v>
      </c>
      <c r="G187"/>
      <c r="H187"/>
      <c r="I187"/>
      <c r="J187"/>
      <c r="K187" t="inlineStr">
        <is>
          <t>Daphnia magna</t>
        </is>
      </c>
      <c r="L187" t="inlineStr">
        <is>
          <t>Water Flea</t>
        </is>
      </c>
      <c r="M187" t="inlineStr">
        <is>
          <t>Crustaceans; Standard Test Species</t>
        </is>
      </c>
      <c r="N187" t="inlineStr">
        <is>
          <t>Neonate</t>
        </is>
      </c>
      <c r="O187" t="inlineStr">
        <is>
          <t>&lt;</t>
        </is>
      </c>
      <c r="P187" t="n">
        <v>24.0</v>
      </c>
      <c r="Q187"/>
      <c r="R187"/>
      <c r="S187"/>
      <c r="T187"/>
      <c r="U187" t="inlineStr">
        <is>
          <t>Hour(s)</t>
        </is>
      </c>
      <c r="V187" t="inlineStr">
        <is>
          <t>Aquatic, unspecified</t>
        </is>
      </c>
      <c r="W187" t="inlineStr">
        <is>
          <t>Fresh water</t>
        </is>
      </c>
      <c r="X187" t="inlineStr">
        <is>
          <t>Lab</t>
        </is>
      </c>
      <c r="Y187" t="n">
        <v>2.0</v>
      </c>
      <c r="Z187" t="inlineStr">
        <is>
          <t>Active ingredient</t>
        </is>
      </c>
      <c r="AA187"/>
      <c r="AB187"/>
      <c r="AC187" t="inlineStr">
        <is>
          <t>&gt;</t>
        </is>
      </c>
      <c r="AD187" t="n">
        <v>0.2</v>
      </c>
      <c r="AE187" t="inlineStr">
        <is>
          <t>&lt;</t>
        </is>
      </c>
      <c r="AF187" t="n">
        <v>0.6</v>
      </c>
      <c r="AG187" t="inlineStr">
        <is>
          <t>AI mg/L</t>
        </is>
      </c>
      <c r="AH187"/>
      <c r="AI187"/>
      <c r="AJ187"/>
      <c r="AK187"/>
      <c r="AL187"/>
      <c r="AM187"/>
      <c r="AN187"/>
      <c r="AO187"/>
      <c r="AP187"/>
      <c r="AQ187"/>
      <c r="AR187"/>
      <c r="AS187"/>
      <c r="AT187"/>
      <c r="AU187"/>
      <c r="AV187"/>
      <c r="AW187"/>
      <c r="AX187" t="inlineStr">
        <is>
          <t>Accumulation</t>
        </is>
      </c>
      <c r="AY187" t="inlineStr">
        <is>
          <t>Residue</t>
        </is>
      </c>
      <c r="AZ187" t="inlineStr">
        <is>
          <t>BCF</t>
        </is>
      </c>
      <c r="BA187" t="inlineStr">
        <is>
          <t>Whole organism</t>
        </is>
      </c>
      <c r="BB187"/>
      <c r="BC187" t="n">
        <v>14.0</v>
      </c>
      <c r="BD187"/>
      <c r="BE187"/>
      <c r="BF187"/>
      <c r="BG187"/>
      <c r="BH187" t="inlineStr">
        <is>
          <t>Day(s)</t>
        </is>
      </c>
      <c r="BI187"/>
      <c r="BJ187"/>
      <c r="BK187" t="inlineStr">
        <is>
          <t>&gt;</t>
        </is>
      </c>
      <c r="BL187" t="n">
        <v>500.0</v>
      </c>
      <c r="BM187" t="inlineStr">
        <is>
          <t>&lt;</t>
        </is>
      </c>
      <c r="BN187" t="n">
        <v>1000.0</v>
      </c>
      <c r="BO187" t="inlineStr">
        <is>
          <t>L/kg</t>
        </is>
      </c>
      <c r="BP187"/>
      <c r="BQ187"/>
      <c r="BR187"/>
      <c r="BS187"/>
      <c r="BT187"/>
      <c r="BU187"/>
      <c r="BV187"/>
      <c r="BW187"/>
      <c r="BX187"/>
      <c r="BY187"/>
      <c r="BZ187"/>
      <c r="CA187"/>
      <c r="CB187"/>
      <c r="CC187"/>
      <c r="CD187" t="inlineStr">
        <is>
          <t>Jeong,T., and M.J. Simpson</t>
        </is>
      </c>
      <c r="CE187" t="n">
        <v>184766.0</v>
      </c>
      <c r="CF187" t="inlineStr">
        <is>
          <t>Time-Dependent Biomolecular Responses and Bioaccumulation of Perfluorooctane Sulfonate (PFOS) in Daphnia magna</t>
        </is>
      </c>
      <c r="CG187" t="inlineStr">
        <is>
          <t>Comp. Biochem. Physiol.35:7 p.</t>
        </is>
      </c>
      <c r="CH187" t="n">
        <v>2020.0</v>
      </c>
      <c r="CI187" t="inlineStr">
        <is>
          <t>Jeong,T., and M.J. Simpson (2020). Time-Dependent Biomolecular Responses and Bioaccumulation of Perfluorooctane Sulfonate (PFOS) in Daphnia magna. Comp. Biochem. Physiol., 35, 7 p. doi:10.1016/j.cbd.2020.100701. ECOREF#:184766</t>
        </is>
      </c>
    </row>
    <row r="188">
      <c r="A188" t="n">
        <v>2795393.0</v>
      </c>
      <c r="B188" t="inlineStr">
        <is>
          <t>1,1,2,2,3,3,4,4,5,5,6,6,7,7,8,8,8-Heptadecafluoro-1-octanesulfonic acid potassium salt</t>
        </is>
      </c>
      <c r="C188"/>
      <c r="D188" t="inlineStr">
        <is>
          <t>Measured</t>
        </is>
      </c>
      <c r="E188" t="inlineStr">
        <is>
          <t>&gt;</t>
        </is>
      </c>
      <c r="F188" t="n">
        <v>98.0</v>
      </c>
      <c r="G188"/>
      <c r="H188"/>
      <c r="I188"/>
      <c r="J188"/>
      <c r="K188" t="inlineStr">
        <is>
          <t>Daphnia magna</t>
        </is>
      </c>
      <c r="L188" t="inlineStr">
        <is>
          <t>Water Flea</t>
        </is>
      </c>
      <c r="M188" t="inlineStr">
        <is>
          <t>Crustaceans; Standard Test Species</t>
        </is>
      </c>
      <c r="N188" t="inlineStr">
        <is>
          <t>Adult</t>
        </is>
      </c>
      <c r="O188"/>
      <c r="P188" t="n">
        <v>3.0</v>
      </c>
      <c r="Q188"/>
      <c r="R188"/>
      <c r="S188"/>
      <c r="T188"/>
      <c r="U188" t="inlineStr">
        <is>
          <t>Week(s)</t>
        </is>
      </c>
      <c r="V188" t="inlineStr">
        <is>
          <t>Static</t>
        </is>
      </c>
      <c r="W188" t="inlineStr">
        <is>
          <t>Fresh water</t>
        </is>
      </c>
      <c r="X188" t="inlineStr">
        <is>
          <t>Lab</t>
        </is>
      </c>
      <c r="Y188" t="n">
        <v>2.0</v>
      </c>
      <c r="Z188" t="inlineStr">
        <is>
          <t>Active ingredient</t>
        </is>
      </c>
      <c r="AA188"/>
      <c r="AB188"/>
      <c r="AC188" t="inlineStr">
        <is>
          <t>&gt;</t>
        </is>
      </c>
      <c r="AD188" t="n">
        <v>0.4</v>
      </c>
      <c r="AE188" t="inlineStr">
        <is>
          <t>&lt;</t>
        </is>
      </c>
      <c r="AF188" t="n">
        <v>0.6</v>
      </c>
      <c r="AG188" t="inlineStr">
        <is>
          <t>AI mg/L</t>
        </is>
      </c>
      <c r="AH188"/>
      <c r="AI188"/>
      <c r="AJ188"/>
      <c r="AK188"/>
      <c r="AL188"/>
      <c r="AM188"/>
      <c r="AN188"/>
      <c r="AO188"/>
      <c r="AP188"/>
      <c r="AQ188"/>
      <c r="AR188"/>
      <c r="AS188"/>
      <c r="AT188"/>
      <c r="AU188"/>
      <c r="AV188"/>
      <c r="AW188"/>
      <c r="AX188" t="inlineStr">
        <is>
          <t>Accumulation</t>
        </is>
      </c>
      <c r="AY188" t="inlineStr">
        <is>
          <t>Residue</t>
        </is>
      </c>
      <c r="AZ188" t="inlineStr">
        <is>
          <t>BCF</t>
        </is>
      </c>
      <c r="BA188" t="inlineStr">
        <is>
          <t>Whole organism</t>
        </is>
      </c>
      <c r="BB188"/>
      <c r="BC188" t="n">
        <v>3.1667</v>
      </c>
      <c r="BD188"/>
      <c r="BE188"/>
      <c r="BF188"/>
      <c r="BG188"/>
      <c r="BH188" t="inlineStr">
        <is>
          <t>Day(s)</t>
        </is>
      </c>
      <c r="BI188"/>
      <c r="BJ188"/>
      <c r="BK188" t="inlineStr">
        <is>
          <t>&gt;</t>
        </is>
      </c>
      <c r="BL188" t="n">
        <v>500.0</v>
      </c>
      <c r="BM188" t="inlineStr">
        <is>
          <t>&lt;</t>
        </is>
      </c>
      <c r="BN188" t="n">
        <v>1000.0</v>
      </c>
      <c r="BO188" t="inlineStr">
        <is>
          <t>L/kg</t>
        </is>
      </c>
      <c r="BP188"/>
      <c r="BQ188"/>
      <c r="BR188"/>
      <c r="BS188"/>
      <c r="BT188"/>
      <c r="BU188"/>
      <c r="BV188"/>
      <c r="BW188"/>
      <c r="BX188"/>
      <c r="BY188"/>
      <c r="BZ188"/>
      <c r="CA188"/>
      <c r="CB188"/>
      <c r="CC188"/>
      <c r="CD188" t="inlineStr">
        <is>
          <t>Jeong,T., and M.J. Simpson</t>
        </is>
      </c>
      <c r="CE188" t="n">
        <v>184766.0</v>
      </c>
      <c r="CF188" t="inlineStr">
        <is>
          <t>Time-Dependent Biomolecular Responses and Bioaccumulation of Perfluorooctane Sulfonate (PFOS) in Daphnia magna</t>
        </is>
      </c>
      <c r="CG188" t="inlineStr">
        <is>
          <t>Comp. Biochem. Physiol.35:7 p.</t>
        </is>
      </c>
      <c r="CH188" t="n">
        <v>2020.0</v>
      </c>
      <c r="CI188" t="inlineStr">
        <is>
          <t>Jeong,T., and M.J. Simpson (2020). Time-Dependent Biomolecular Responses and Bioaccumulation of Perfluorooctane Sulfonate (PFOS) in Daphnia magna. Comp. Biochem. Physiol., 35, 7 p. doi:10.1016/j.cbd.2020.100701. ECOREF#:184766</t>
        </is>
      </c>
    </row>
    <row r="189">
      <c r="A189" t="n">
        <v>2795393.0</v>
      </c>
      <c r="B189" t="inlineStr">
        <is>
          <t>1,1,2,2,3,3,4,4,5,5,6,6,7,7,8,8,8-Heptadecafluoro-1-octanesulfonic acid potassium salt</t>
        </is>
      </c>
      <c r="C189"/>
      <c r="D189" t="inlineStr">
        <is>
          <t>Measured</t>
        </is>
      </c>
      <c r="E189" t="inlineStr">
        <is>
          <t>&gt;</t>
        </is>
      </c>
      <c r="F189" t="n">
        <v>98.0</v>
      </c>
      <c r="G189"/>
      <c r="H189"/>
      <c r="I189"/>
      <c r="J189"/>
      <c r="K189" t="inlineStr">
        <is>
          <t>Daphnia magna</t>
        </is>
      </c>
      <c r="L189" t="inlineStr">
        <is>
          <t>Water Flea</t>
        </is>
      </c>
      <c r="M189" t="inlineStr">
        <is>
          <t>Crustaceans; Standard Test Species</t>
        </is>
      </c>
      <c r="N189" t="inlineStr">
        <is>
          <t>Adult</t>
        </is>
      </c>
      <c r="O189"/>
      <c r="P189" t="n">
        <v>3.0</v>
      </c>
      <c r="Q189"/>
      <c r="R189"/>
      <c r="S189"/>
      <c r="T189"/>
      <c r="U189" t="inlineStr">
        <is>
          <t>Week(s)</t>
        </is>
      </c>
      <c r="V189" t="inlineStr">
        <is>
          <t>Static</t>
        </is>
      </c>
      <c r="W189" t="inlineStr">
        <is>
          <t>Fresh water</t>
        </is>
      </c>
      <c r="X189" t="inlineStr">
        <is>
          <t>Lab</t>
        </is>
      </c>
      <c r="Y189" t="n">
        <v>2.0</v>
      </c>
      <c r="Z189" t="inlineStr">
        <is>
          <t>Active ingredient</t>
        </is>
      </c>
      <c r="AA189"/>
      <c r="AB189"/>
      <c r="AC189" t="inlineStr">
        <is>
          <t>&gt;</t>
        </is>
      </c>
      <c r="AD189" t="n">
        <v>0.4</v>
      </c>
      <c r="AE189" t="inlineStr">
        <is>
          <t>&lt;</t>
        </is>
      </c>
      <c r="AF189" t="n">
        <v>0.6</v>
      </c>
      <c r="AG189" t="inlineStr">
        <is>
          <t>AI mg/L</t>
        </is>
      </c>
      <c r="AH189"/>
      <c r="AI189"/>
      <c r="AJ189"/>
      <c r="AK189"/>
      <c r="AL189"/>
      <c r="AM189"/>
      <c r="AN189"/>
      <c r="AO189"/>
      <c r="AP189"/>
      <c r="AQ189"/>
      <c r="AR189"/>
      <c r="AS189"/>
      <c r="AT189"/>
      <c r="AU189"/>
      <c r="AV189"/>
      <c r="AW189"/>
      <c r="AX189" t="inlineStr">
        <is>
          <t>Accumulation</t>
        </is>
      </c>
      <c r="AY189" t="inlineStr">
        <is>
          <t>Residue</t>
        </is>
      </c>
      <c r="AZ189" t="inlineStr">
        <is>
          <t>BCF</t>
        </is>
      </c>
      <c r="BA189" t="inlineStr">
        <is>
          <t>Whole organism</t>
        </is>
      </c>
      <c r="BB189"/>
      <c r="BC189" t="n">
        <v>2.0</v>
      </c>
      <c r="BD189"/>
      <c r="BE189"/>
      <c r="BF189"/>
      <c r="BG189"/>
      <c r="BH189" t="inlineStr">
        <is>
          <t>Day(s)</t>
        </is>
      </c>
      <c r="BI189"/>
      <c r="BJ189"/>
      <c r="BK189" t="inlineStr">
        <is>
          <t>&gt;</t>
        </is>
      </c>
      <c r="BL189" t="n">
        <v>500.0</v>
      </c>
      <c r="BM189" t="inlineStr">
        <is>
          <t>&lt;</t>
        </is>
      </c>
      <c r="BN189" t="n">
        <v>1000.0</v>
      </c>
      <c r="BO189" t="inlineStr">
        <is>
          <t>L/kg</t>
        </is>
      </c>
      <c r="BP189"/>
      <c r="BQ189"/>
      <c r="BR189"/>
      <c r="BS189"/>
      <c r="BT189"/>
      <c r="BU189"/>
      <c r="BV189"/>
      <c r="BW189"/>
      <c r="BX189"/>
      <c r="BY189"/>
      <c r="BZ189"/>
      <c r="CA189"/>
      <c r="CB189"/>
      <c r="CC189"/>
      <c r="CD189" t="inlineStr">
        <is>
          <t>Jeong,T., and M.J. Simpson</t>
        </is>
      </c>
      <c r="CE189" t="n">
        <v>184766.0</v>
      </c>
      <c r="CF189" t="inlineStr">
        <is>
          <t>Time-Dependent Biomolecular Responses and Bioaccumulation of Perfluorooctane Sulfonate (PFOS) in Daphnia magna</t>
        </is>
      </c>
      <c r="CG189" t="inlineStr">
        <is>
          <t>Comp. Biochem. Physiol.35:7 p.</t>
        </is>
      </c>
      <c r="CH189" t="n">
        <v>2020.0</v>
      </c>
      <c r="CI189" t="inlineStr">
        <is>
          <t>Jeong,T., and M.J. Simpson (2020). Time-Dependent Biomolecular Responses and Bioaccumulation of Perfluorooctane Sulfonate (PFOS) in Daphnia magna. Comp. Biochem. Physiol., 35, 7 p. doi:10.1016/j.cbd.2020.100701. ECOREF#:184766</t>
        </is>
      </c>
    </row>
    <row r="190">
      <c r="A190" t="n">
        <v>2795393.0</v>
      </c>
      <c r="B190" t="inlineStr">
        <is>
          <t>1,1,2,2,3,3,4,4,5,5,6,6,7,7,8,8,8-Heptadecafluoro-1-octanesulfonic acid potassium salt</t>
        </is>
      </c>
      <c r="C190"/>
      <c r="D190" t="inlineStr">
        <is>
          <t>Measured</t>
        </is>
      </c>
      <c r="E190" t="inlineStr">
        <is>
          <t>&gt;</t>
        </is>
      </c>
      <c r="F190" t="n">
        <v>98.0</v>
      </c>
      <c r="G190"/>
      <c r="H190"/>
      <c r="I190"/>
      <c r="J190"/>
      <c r="K190" t="inlineStr">
        <is>
          <t>Daphnia magna</t>
        </is>
      </c>
      <c r="L190" t="inlineStr">
        <is>
          <t>Water Flea</t>
        </is>
      </c>
      <c r="M190" t="inlineStr">
        <is>
          <t>Crustaceans; Standard Test Species</t>
        </is>
      </c>
      <c r="N190" t="inlineStr">
        <is>
          <t>Neonate</t>
        </is>
      </c>
      <c r="O190" t="inlineStr">
        <is>
          <t>&lt;</t>
        </is>
      </c>
      <c r="P190" t="n">
        <v>24.0</v>
      </c>
      <c r="Q190"/>
      <c r="R190"/>
      <c r="S190"/>
      <c r="T190"/>
      <c r="U190" t="inlineStr">
        <is>
          <t>Hour(s)</t>
        </is>
      </c>
      <c r="V190" t="inlineStr">
        <is>
          <t>Aquatic, unspecified</t>
        </is>
      </c>
      <c r="W190" t="inlineStr">
        <is>
          <t>Fresh water</t>
        </is>
      </c>
      <c r="X190" t="inlineStr">
        <is>
          <t>Lab</t>
        </is>
      </c>
      <c r="Y190" t="n">
        <v>2.0</v>
      </c>
      <c r="Z190" t="inlineStr">
        <is>
          <t>Active ingredient</t>
        </is>
      </c>
      <c r="AA190"/>
      <c r="AB190"/>
      <c r="AC190" t="inlineStr">
        <is>
          <t>&gt;</t>
        </is>
      </c>
      <c r="AD190" t="n">
        <v>0.2</v>
      </c>
      <c r="AE190" t="inlineStr">
        <is>
          <t>&lt;</t>
        </is>
      </c>
      <c r="AF190" t="n">
        <v>0.6</v>
      </c>
      <c r="AG190" t="inlineStr">
        <is>
          <t>AI mg/L</t>
        </is>
      </c>
      <c r="AH190"/>
      <c r="AI190"/>
      <c r="AJ190"/>
      <c r="AK190"/>
      <c r="AL190"/>
      <c r="AM190"/>
      <c r="AN190"/>
      <c r="AO190"/>
      <c r="AP190"/>
      <c r="AQ190"/>
      <c r="AR190"/>
      <c r="AS190"/>
      <c r="AT190"/>
      <c r="AU190"/>
      <c r="AV190"/>
      <c r="AW190"/>
      <c r="AX190" t="inlineStr">
        <is>
          <t>Accumulation</t>
        </is>
      </c>
      <c r="AY190" t="inlineStr">
        <is>
          <t>Residue</t>
        </is>
      </c>
      <c r="AZ190" t="inlineStr">
        <is>
          <t>BCF</t>
        </is>
      </c>
      <c r="BA190" t="inlineStr">
        <is>
          <t>Whole organism</t>
        </is>
      </c>
      <c r="BB190"/>
      <c r="BC190" t="n">
        <v>2.0</v>
      </c>
      <c r="BD190"/>
      <c r="BE190"/>
      <c r="BF190"/>
      <c r="BG190"/>
      <c r="BH190" t="inlineStr">
        <is>
          <t>Day(s)</t>
        </is>
      </c>
      <c r="BI190"/>
      <c r="BJ190"/>
      <c r="BK190" t="inlineStr">
        <is>
          <t>&gt;</t>
        </is>
      </c>
      <c r="BL190" t="n">
        <v>1000.0</v>
      </c>
      <c r="BM190" t="inlineStr">
        <is>
          <t>&lt;</t>
        </is>
      </c>
      <c r="BN190" t="n">
        <v>1500.0</v>
      </c>
      <c r="BO190" t="inlineStr">
        <is>
          <t>L/kg</t>
        </is>
      </c>
      <c r="BP190"/>
      <c r="BQ190"/>
      <c r="BR190"/>
      <c r="BS190"/>
      <c r="BT190"/>
      <c r="BU190"/>
      <c r="BV190"/>
      <c r="BW190"/>
      <c r="BX190"/>
      <c r="BY190"/>
      <c r="BZ190"/>
      <c r="CA190"/>
      <c r="CB190"/>
      <c r="CC190"/>
      <c r="CD190" t="inlineStr">
        <is>
          <t>Jeong,T., and M.J. Simpson</t>
        </is>
      </c>
      <c r="CE190" t="n">
        <v>184766.0</v>
      </c>
      <c r="CF190" t="inlineStr">
        <is>
          <t>Time-Dependent Biomolecular Responses and Bioaccumulation of Perfluorooctane Sulfonate (PFOS) in Daphnia magna</t>
        </is>
      </c>
      <c r="CG190" t="inlineStr">
        <is>
          <t>Comp. Biochem. Physiol.35:7 p.</t>
        </is>
      </c>
      <c r="CH190" t="n">
        <v>2020.0</v>
      </c>
      <c r="CI190" t="inlineStr">
        <is>
          <t>Jeong,T., and M.J. Simpson (2020). Time-Dependent Biomolecular Responses and Bioaccumulation of Perfluorooctane Sulfonate (PFOS) in Daphnia magna. Comp. Biochem. Physiol., 35, 7 p. doi:10.1016/j.cbd.2020.100701. ECOREF#:184766</t>
        </is>
      </c>
    </row>
    <row r="191">
      <c r="A191" t="n">
        <v>2795393.0</v>
      </c>
      <c r="B191" t="inlineStr">
        <is>
          <t>1,1,2,2,3,3,4,4,5,5,6,6,7,7,8,8,8-Heptadecafluoro-1-octanesulfonic acid potassium salt</t>
        </is>
      </c>
      <c r="C191"/>
      <c r="D191" t="inlineStr">
        <is>
          <t>Measured</t>
        </is>
      </c>
      <c r="E191" t="inlineStr">
        <is>
          <t>&gt;</t>
        </is>
      </c>
      <c r="F191" t="n">
        <v>98.0</v>
      </c>
      <c r="G191"/>
      <c r="H191"/>
      <c r="I191"/>
      <c r="J191"/>
      <c r="K191" t="inlineStr">
        <is>
          <t>Daphnia magna</t>
        </is>
      </c>
      <c r="L191" t="inlineStr">
        <is>
          <t>Water Flea</t>
        </is>
      </c>
      <c r="M191" t="inlineStr">
        <is>
          <t>Crustaceans; Standard Test Species</t>
        </is>
      </c>
      <c r="N191" t="inlineStr">
        <is>
          <t>Neonate</t>
        </is>
      </c>
      <c r="O191" t="inlineStr">
        <is>
          <t>&lt;</t>
        </is>
      </c>
      <c r="P191" t="n">
        <v>24.0</v>
      </c>
      <c r="Q191"/>
      <c r="R191"/>
      <c r="S191"/>
      <c r="T191"/>
      <c r="U191" t="inlineStr">
        <is>
          <t>Hour(s)</t>
        </is>
      </c>
      <c r="V191" t="inlineStr">
        <is>
          <t>Aquatic, unspecified</t>
        </is>
      </c>
      <c r="W191" t="inlineStr">
        <is>
          <t>Fresh water</t>
        </is>
      </c>
      <c r="X191" t="inlineStr">
        <is>
          <t>Lab</t>
        </is>
      </c>
      <c r="Y191" t="n">
        <v>2.0</v>
      </c>
      <c r="Z191" t="inlineStr">
        <is>
          <t>Active ingredient</t>
        </is>
      </c>
      <c r="AA191"/>
      <c r="AB191"/>
      <c r="AC191" t="inlineStr">
        <is>
          <t>&gt;</t>
        </is>
      </c>
      <c r="AD191" t="n">
        <v>0.2</v>
      </c>
      <c r="AE191" t="inlineStr">
        <is>
          <t>&lt;</t>
        </is>
      </c>
      <c r="AF191" t="n">
        <v>0.6</v>
      </c>
      <c r="AG191" t="inlineStr">
        <is>
          <t>AI mg/L</t>
        </is>
      </c>
      <c r="AH191"/>
      <c r="AI191"/>
      <c r="AJ191"/>
      <c r="AK191"/>
      <c r="AL191"/>
      <c r="AM191"/>
      <c r="AN191"/>
      <c r="AO191"/>
      <c r="AP191"/>
      <c r="AQ191"/>
      <c r="AR191"/>
      <c r="AS191"/>
      <c r="AT191"/>
      <c r="AU191"/>
      <c r="AV191"/>
      <c r="AW191"/>
      <c r="AX191" t="inlineStr">
        <is>
          <t>Accumulation</t>
        </is>
      </c>
      <c r="AY191" t="inlineStr">
        <is>
          <t>Residue</t>
        </is>
      </c>
      <c r="AZ191" t="inlineStr">
        <is>
          <t>BCF</t>
        </is>
      </c>
      <c r="BA191" t="inlineStr">
        <is>
          <t>Whole organism</t>
        </is>
      </c>
      <c r="BB191"/>
      <c r="BC191" t="n">
        <v>8.0</v>
      </c>
      <c r="BD191"/>
      <c r="BE191"/>
      <c r="BF191"/>
      <c r="BG191"/>
      <c r="BH191" t="inlineStr">
        <is>
          <t>Day(s)</t>
        </is>
      </c>
      <c r="BI191"/>
      <c r="BJ191"/>
      <c r="BK191" t="inlineStr">
        <is>
          <t>&gt;</t>
        </is>
      </c>
      <c r="BL191" t="n">
        <v>1000.0</v>
      </c>
      <c r="BM191" t="inlineStr">
        <is>
          <t>&lt;</t>
        </is>
      </c>
      <c r="BN191" t="n">
        <v>1500.0</v>
      </c>
      <c r="BO191" t="inlineStr">
        <is>
          <t>L/kg</t>
        </is>
      </c>
      <c r="BP191"/>
      <c r="BQ191"/>
      <c r="BR191"/>
      <c r="BS191"/>
      <c r="BT191"/>
      <c r="BU191"/>
      <c r="BV191"/>
      <c r="BW191"/>
      <c r="BX191"/>
      <c r="BY191"/>
      <c r="BZ191"/>
      <c r="CA191"/>
      <c r="CB191"/>
      <c r="CC191"/>
      <c r="CD191" t="inlineStr">
        <is>
          <t>Jeong,T., and M.J. Simpson</t>
        </is>
      </c>
      <c r="CE191" t="n">
        <v>184766.0</v>
      </c>
      <c r="CF191" t="inlineStr">
        <is>
          <t>Time-Dependent Biomolecular Responses and Bioaccumulation of Perfluorooctane Sulfonate (PFOS) in Daphnia magna</t>
        </is>
      </c>
      <c r="CG191" t="inlineStr">
        <is>
          <t>Comp. Biochem. Physiol.35:7 p.</t>
        </is>
      </c>
      <c r="CH191" t="n">
        <v>2020.0</v>
      </c>
      <c r="CI191" t="inlineStr">
        <is>
          <t>Jeong,T., and M.J. Simpson (2020). Time-Dependent Biomolecular Responses and Bioaccumulation of Perfluorooctane Sulfonate (PFOS) in Daphnia magna. Comp. Biochem. Physiol., 35, 7 p. doi:10.1016/j.cbd.2020.100701. ECOREF#:184766</t>
        </is>
      </c>
    </row>
    <row r="192">
      <c r="A192" t="n">
        <v>2795393.0</v>
      </c>
      <c r="B192" t="inlineStr">
        <is>
          <t>1,1,2,2,3,3,4,4,5,5,6,6,7,7,8,8,8-Heptadecafluoro-1-octanesulfonic acid potassium salt</t>
        </is>
      </c>
      <c r="C192"/>
      <c r="D192" t="inlineStr">
        <is>
          <t>Measured</t>
        </is>
      </c>
      <c r="E192" t="inlineStr">
        <is>
          <t>&gt;</t>
        </is>
      </c>
      <c r="F192" t="n">
        <v>98.0</v>
      </c>
      <c r="G192"/>
      <c r="H192"/>
      <c r="I192"/>
      <c r="J192"/>
      <c r="K192" t="inlineStr">
        <is>
          <t>Daphnia magna</t>
        </is>
      </c>
      <c r="L192" t="inlineStr">
        <is>
          <t>Water Flea</t>
        </is>
      </c>
      <c r="M192" t="inlineStr">
        <is>
          <t>Crustaceans; Standard Test Species</t>
        </is>
      </c>
      <c r="N192" t="inlineStr">
        <is>
          <t>Neonate</t>
        </is>
      </c>
      <c r="O192" t="inlineStr">
        <is>
          <t>&lt;</t>
        </is>
      </c>
      <c r="P192" t="n">
        <v>24.0</v>
      </c>
      <c r="Q192"/>
      <c r="R192"/>
      <c r="S192"/>
      <c r="T192"/>
      <c r="U192" t="inlineStr">
        <is>
          <t>Hour(s)</t>
        </is>
      </c>
      <c r="V192" t="inlineStr">
        <is>
          <t>Aquatic, unspecified</t>
        </is>
      </c>
      <c r="W192" t="inlineStr">
        <is>
          <t>Fresh water</t>
        </is>
      </c>
      <c r="X192" t="inlineStr">
        <is>
          <t>Lab</t>
        </is>
      </c>
      <c r="Y192" t="n">
        <v>2.0</v>
      </c>
      <c r="Z192" t="inlineStr">
        <is>
          <t>Active ingredient</t>
        </is>
      </c>
      <c r="AA192"/>
      <c r="AB192"/>
      <c r="AC192" t="inlineStr">
        <is>
          <t>&gt;</t>
        </is>
      </c>
      <c r="AD192" t="n">
        <v>0.2</v>
      </c>
      <c r="AE192" t="inlineStr">
        <is>
          <t>&lt;</t>
        </is>
      </c>
      <c r="AF192" t="n">
        <v>0.6</v>
      </c>
      <c r="AG192" t="inlineStr">
        <is>
          <t>AI mg/L</t>
        </is>
      </c>
      <c r="AH192"/>
      <c r="AI192"/>
      <c r="AJ192"/>
      <c r="AK192"/>
      <c r="AL192"/>
      <c r="AM192"/>
      <c r="AN192"/>
      <c r="AO192"/>
      <c r="AP192"/>
      <c r="AQ192"/>
      <c r="AR192"/>
      <c r="AS192"/>
      <c r="AT192"/>
      <c r="AU192"/>
      <c r="AV192"/>
      <c r="AW192"/>
      <c r="AX192" t="inlineStr">
        <is>
          <t>Accumulation</t>
        </is>
      </c>
      <c r="AY192" t="inlineStr">
        <is>
          <t>Residue</t>
        </is>
      </c>
      <c r="AZ192" t="inlineStr">
        <is>
          <t>BCF</t>
        </is>
      </c>
      <c r="BA192" t="inlineStr">
        <is>
          <t>Whole organism</t>
        </is>
      </c>
      <c r="BB192"/>
      <c r="BC192" t="n">
        <v>6.0</v>
      </c>
      <c r="BD192"/>
      <c r="BE192"/>
      <c r="BF192"/>
      <c r="BG192"/>
      <c r="BH192" t="inlineStr">
        <is>
          <t>Day(s)</t>
        </is>
      </c>
      <c r="BI192"/>
      <c r="BJ192"/>
      <c r="BK192" t="inlineStr">
        <is>
          <t>&gt;</t>
        </is>
      </c>
      <c r="BL192" t="n">
        <v>1000.0</v>
      </c>
      <c r="BM192" t="inlineStr">
        <is>
          <t>&lt;</t>
        </is>
      </c>
      <c r="BN192" t="n">
        <v>1500.0</v>
      </c>
      <c r="BO192" t="inlineStr">
        <is>
          <t>L/kg</t>
        </is>
      </c>
      <c r="BP192"/>
      <c r="BQ192"/>
      <c r="BR192"/>
      <c r="BS192"/>
      <c r="BT192"/>
      <c r="BU192"/>
      <c r="BV192"/>
      <c r="BW192"/>
      <c r="BX192"/>
      <c r="BY192"/>
      <c r="BZ192"/>
      <c r="CA192"/>
      <c r="CB192"/>
      <c r="CC192"/>
      <c r="CD192" t="inlineStr">
        <is>
          <t>Jeong,T., and M.J. Simpson</t>
        </is>
      </c>
      <c r="CE192" t="n">
        <v>184766.0</v>
      </c>
      <c r="CF192" t="inlineStr">
        <is>
          <t>Time-Dependent Biomolecular Responses and Bioaccumulation of Perfluorooctane Sulfonate (PFOS) in Daphnia magna</t>
        </is>
      </c>
      <c r="CG192" t="inlineStr">
        <is>
          <t>Comp. Biochem. Physiol.35:7 p.</t>
        </is>
      </c>
      <c r="CH192" t="n">
        <v>2020.0</v>
      </c>
      <c r="CI192" t="inlineStr">
        <is>
          <t>Jeong,T., and M.J. Simpson (2020). Time-Dependent Biomolecular Responses and Bioaccumulation of Perfluorooctane Sulfonate (PFOS) in Daphnia magna. Comp. Biochem. Physiol., 35, 7 p. doi:10.1016/j.cbd.2020.100701. ECOREF#:184766</t>
        </is>
      </c>
    </row>
    <row r="193">
      <c r="A193" t="n">
        <v>2795393.0</v>
      </c>
      <c r="B193" t="inlineStr">
        <is>
          <t>1,1,2,2,3,3,4,4,5,5,6,6,7,7,8,8,8-Heptadecafluoro-1-octanesulfonic acid potassium salt</t>
        </is>
      </c>
      <c r="C193"/>
      <c r="D193" t="inlineStr">
        <is>
          <t>Measured</t>
        </is>
      </c>
      <c r="E193" t="inlineStr">
        <is>
          <t>&gt;</t>
        </is>
      </c>
      <c r="F193" t="n">
        <v>98.0</v>
      </c>
      <c r="G193"/>
      <c r="H193"/>
      <c r="I193"/>
      <c r="J193"/>
      <c r="K193" t="inlineStr">
        <is>
          <t>Daphnia magna</t>
        </is>
      </c>
      <c r="L193" t="inlineStr">
        <is>
          <t>Water Flea</t>
        </is>
      </c>
      <c r="M193" t="inlineStr">
        <is>
          <t>Crustaceans; Standard Test Species</t>
        </is>
      </c>
      <c r="N193" t="inlineStr">
        <is>
          <t>Neonate</t>
        </is>
      </c>
      <c r="O193" t="inlineStr">
        <is>
          <t>&lt;</t>
        </is>
      </c>
      <c r="P193" t="n">
        <v>24.0</v>
      </c>
      <c r="Q193"/>
      <c r="R193"/>
      <c r="S193"/>
      <c r="T193"/>
      <c r="U193" t="inlineStr">
        <is>
          <t>Hour(s)</t>
        </is>
      </c>
      <c r="V193" t="inlineStr">
        <is>
          <t>Aquatic, unspecified</t>
        </is>
      </c>
      <c r="W193" t="inlineStr">
        <is>
          <t>Fresh water</t>
        </is>
      </c>
      <c r="X193" t="inlineStr">
        <is>
          <t>Lab</t>
        </is>
      </c>
      <c r="Y193" t="n">
        <v>2.0</v>
      </c>
      <c r="Z193" t="inlineStr">
        <is>
          <t>Active ingredient</t>
        </is>
      </c>
      <c r="AA193"/>
      <c r="AB193"/>
      <c r="AC193" t="inlineStr">
        <is>
          <t>&gt;</t>
        </is>
      </c>
      <c r="AD193" t="n">
        <v>0.2</v>
      </c>
      <c r="AE193" t="inlineStr">
        <is>
          <t>&lt;</t>
        </is>
      </c>
      <c r="AF193" t="n">
        <v>0.6</v>
      </c>
      <c r="AG193" t="inlineStr">
        <is>
          <t>AI mg/L</t>
        </is>
      </c>
      <c r="AH193"/>
      <c r="AI193"/>
      <c r="AJ193"/>
      <c r="AK193"/>
      <c r="AL193"/>
      <c r="AM193"/>
      <c r="AN193"/>
      <c r="AO193"/>
      <c r="AP193"/>
      <c r="AQ193"/>
      <c r="AR193"/>
      <c r="AS193"/>
      <c r="AT193"/>
      <c r="AU193"/>
      <c r="AV193"/>
      <c r="AW193"/>
      <c r="AX193" t="inlineStr">
        <is>
          <t>Accumulation</t>
        </is>
      </c>
      <c r="AY193" t="inlineStr">
        <is>
          <t>Residue</t>
        </is>
      </c>
      <c r="AZ193" t="inlineStr">
        <is>
          <t>BCF</t>
        </is>
      </c>
      <c r="BA193" t="inlineStr">
        <is>
          <t>Whole organism</t>
        </is>
      </c>
      <c r="BB193"/>
      <c r="BC193" t="n">
        <v>4.0</v>
      </c>
      <c r="BD193"/>
      <c r="BE193"/>
      <c r="BF193"/>
      <c r="BG193"/>
      <c r="BH193" t="inlineStr">
        <is>
          <t>Day(s)</t>
        </is>
      </c>
      <c r="BI193" t="inlineStr">
        <is>
          <t>&gt;</t>
        </is>
      </c>
      <c r="BJ193" t="n">
        <v>1500.0</v>
      </c>
      <c r="BK193"/>
      <c r="BL193"/>
      <c r="BM193"/>
      <c r="BN193"/>
      <c r="BO193" t="inlineStr">
        <is>
          <t>L/kg</t>
        </is>
      </c>
      <c r="BP193"/>
      <c r="BQ193"/>
      <c r="BR193"/>
      <c r="BS193"/>
      <c r="BT193"/>
      <c r="BU193"/>
      <c r="BV193"/>
      <c r="BW193"/>
      <c r="BX193"/>
      <c r="BY193"/>
      <c r="BZ193"/>
      <c r="CA193"/>
      <c r="CB193"/>
      <c r="CC193"/>
      <c r="CD193" t="inlineStr">
        <is>
          <t>Jeong,T., and M.J. Simpson</t>
        </is>
      </c>
      <c r="CE193" t="n">
        <v>184766.0</v>
      </c>
      <c r="CF193" t="inlineStr">
        <is>
          <t>Time-Dependent Biomolecular Responses and Bioaccumulation of Perfluorooctane Sulfonate (PFOS) in Daphnia magna</t>
        </is>
      </c>
      <c r="CG193" t="inlineStr">
        <is>
          <t>Comp. Biochem. Physiol.35:7 p.</t>
        </is>
      </c>
      <c r="CH193" t="n">
        <v>2020.0</v>
      </c>
      <c r="CI193" t="inlineStr">
        <is>
          <t>Jeong,T., and M.J. Simpson (2020). Time-Dependent Biomolecular Responses and Bioaccumulation of Perfluorooctane Sulfonate (PFOS) in Daphnia magna. Comp. Biochem. Physiol., 35, 7 p. doi:10.1016/j.cbd.2020.100701. ECOREF#:184766</t>
        </is>
      </c>
    </row>
    <row r="194">
      <c r="A194" t="n">
        <v>2795393.0</v>
      </c>
      <c r="B194" t="inlineStr">
        <is>
          <t>1,1,2,2,3,3,4,4,5,5,6,6,7,7,8,8,8-Heptadecafluoro-1-octanesulfonic acid potassium salt</t>
        </is>
      </c>
      <c r="C194"/>
      <c r="D194" t="inlineStr">
        <is>
          <t>Chemical analysis reported</t>
        </is>
      </c>
      <c r="E194" t="inlineStr">
        <is>
          <t>&gt;</t>
        </is>
      </c>
      <c r="F194" t="n">
        <v>98.0</v>
      </c>
      <c r="G194"/>
      <c r="H194"/>
      <c r="I194"/>
      <c r="J194"/>
      <c r="K194" t="inlineStr">
        <is>
          <t>Eriocheir sinensis</t>
        </is>
      </c>
      <c r="L194" t="inlineStr">
        <is>
          <t>Chinese Mitten Crab</t>
        </is>
      </c>
      <c r="M194" t="inlineStr">
        <is>
          <t>Crustaceans; U.S. Invasive Species</t>
        </is>
      </c>
      <c r="N194" t="inlineStr">
        <is>
          <t>Juvenile</t>
        </is>
      </c>
      <c r="O194"/>
      <c r="P194"/>
      <c r="Q194"/>
      <c r="R194"/>
      <c r="S194"/>
      <c r="T194"/>
      <c r="U194"/>
      <c r="V194" t="inlineStr">
        <is>
          <t>Renewal</t>
        </is>
      </c>
      <c r="W194" t="inlineStr">
        <is>
          <t>Fresh water</t>
        </is>
      </c>
      <c r="X194" t="inlineStr">
        <is>
          <t>Lab</t>
        </is>
      </c>
      <c r="Y194" t="n">
        <v>3.0</v>
      </c>
      <c r="Z194" t="inlineStr">
        <is>
          <t>Active ingredient</t>
        </is>
      </c>
      <c r="AA194"/>
      <c r="AB194" t="n">
        <v>0.1</v>
      </c>
      <c r="AC194"/>
      <c r="AD194"/>
      <c r="AE194"/>
      <c r="AF194"/>
      <c r="AG194" t="inlineStr">
        <is>
          <t>AI mg/L</t>
        </is>
      </c>
      <c r="AH194"/>
      <c r="AI194"/>
      <c r="AJ194"/>
      <c r="AK194"/>
      <c r="AL194"/>
      <c r="AM194"/>
      <c r="AN194"/>
      <c r="AO194"/>
      <c r="AP194"/>
      <c r="AQ194"/>
      <c r="AR194"/>
      <c r="AS194"/>
      <c r="AT194"/>
      <c r="AU194"/>
      <c r="AV194"/>
      <c r="AW194"/>
      <c r="AX194" t="inlineStr">
        <is>
          <t>Accumulation</t>
        </is>
      </c>
      <c r="AY194" t="inlineStr">
        <is>
          <t>Residue</t>
        </is>
      </c>
      <c r="AZ194" t="inlineStr">
        <is>
          <t>LOEC</t>
        </is>
      </c>
      <c r="BA194" t="inlineStr">
        <is>
          <t>Hepatopancreas</t>
        </is>
      </c>
      <c r="BB194"/>
      <c r="BC194" t="n">
        <v>28.0</v>
      </c>
      <c r="BD194"/>
      <c r="BE194"/>
      <c r="BF194"/>
      <c r="BG194"/>
      <c r="BH194" t="inlineStr">
        <is>
          <t>Day(s)</t>
        </is>
      </c>
      <c r="BI194"/>
      <c r="BJ194"/>
      <c r="BK194"/>
      <c r="BL194"/>
      <c r="BM194"/>
      <c r="BN194"/>
      <c r="BO194" t="inlineStr">
        <is>
          <t>--</t>
        </is>
      </c>
      <c r="BP194"/>
      <c r="BQ194"/>
      <c r="BR194"/>
      <c r="BS194"/>
      <c r="BT194"/>
      <c r="BU194"/>
      <c r="BV194"/>
      <c r="BW194"/>
      <c r="BX194"/>
      <c r="BY194"/>
      <c r="BZ194"/>
      <c r="CA194"/>
      <c r="CB194"/>
      <c r="CC194"/>
      <c r="CD194" t="inlineStr">
        <is>
          <t>Yu,Q., S. Wang, E. Li, Y. Yang, X. Wang, C. Qin, J.G. Qin, and L. Chen</t>
        </is>
      </c>
      <c r="CE194" t="n">
        <v>193990.0</v>
      </c>
      <c r="CF194" t="inlineStr">
        <is>
          <t>Interactions of a PFOS/Sodium Nitrite Mixture in Chinese Mitten Crab (Eriocheir sinensis): Impacts on Survival, Growth, Behavior, Energy Metabolism and Hepatopancreas Transcriptome</t>
        </is>
      </c>
      <c r="CG194" t="inlineStr">
        <is>
          <t>Comp. Biochem. Physiol. C Toxicol. Pharmacol.289:12 p.</t>
        </is>
      </c>
      <c r="CH194" t="n">
        <v>2025.0</v>
      </c>
      <c r="CI194" t="inlineStr">
        <is>
          <t>Yu,Q., S. Wang, E. Li, Y. Yang, X. Wang, C. Qin, J.G. Qin, and L. Chen (2025). Interactions of a PFOS/Sodium Nitrite Mixture in Chinese Mitten Crab (Eriocheir sinensis): Impacts on Survival, Growth, Behavior, Energy Metabolism and Hepatopancreas Transcriptome. Comp. Biochem. Physiol. C Toxicol. Pharmacol., 289, 12 p. doi:10.1016/j.cbpc.2024.110114. ECOREF#:193990</t>
        </is>
      </c>
    </row>
    <row r="195">
      <c r="A195" t="n">
        <v>2795393.0</v>
      </c>
      <c r="B195" t="inlineStr">
        <is>
          <t>1,1,2,2,3,3,4,4,5,5,6,6,7,7,8,8,8-Heptadecafluoro-1-octanesulfonic acid potassium salt</t>
        </is>
      </c>
      <c r="C195"/>
      <c r="D195" t="inlineStr">
        <is>
          <t>Measured</t>
        </is>
      </c>
      <c r="E195"/>
      <c r="F195" t="n">
        <v>98.0</v>
      </c>
      <c r="G195"/>
      <c r="H195"/>
      <c r="I195"/>
      <c r="J195"/>
      <c r="K195" t="inlineStr">
        <is>
          <t>Hypostomus plecostomus</t>
        </is>
      </c>
      <c r="L195" t="inlineStr">
        <is>
          <t>Suckermouth Catfish</t>
        </is>
      </c>
      <c r="M195" t="inlineStr">
        <is>
          <t>Fish</t>
        </is>
      </c>
      <c r="N195"/>
      <c r="O195"/>
      <c r="P195"/>
      <c r="Q195"/>
      <c r="R195"/>
      <c r="S195"/>
      <c r="T195"/>
      <c r="U195"/>
      <c r="V195" t="inlineStr">
        <is>
          <t>Renewal</t>
        </is>
      </c>
      <c r="W195" t="inlineStr">
        <is>
          <t>Fresh water</t>
        </is>
      </c>
      <c r="X195" t="inlineStr">
        <is>
          <t>Lab</t>
        </is>
      </c>
      <c r="Y195" t="n">
        <v>2.0</v>
      </c>
      <c r="Z195" t="inlineStr">
        <is>
          <t>Active ingredient</t>
        </is>
      </c>
      <c r="AA195"/>
      <c r="AB195"/>
      <c r="AC195"/>
      <c r="AD195" t="n">
        <v>6.0E-4</v>
      </c>
      <c r="AE195"/>
      <c r="AF195" t="n">
        <v>7.0E-4</v>
      </c>
      <c r="AG195" t="inlineStr">
        <is>
          <t>AI mg/L</t>
        </is>
      </c>
      <c r="AH195"/>
      <c r="AI195"/>
      <c r="AJ195"/>
      <c r="AK195"/>
      <c r="AL195"/>
      <c r="AM195"/>
      <c r="AN195"/>
      <c r="AO195"/>
      <c r="AP195"/>
      <c r="AQ195"/>
      <c r="AR195"/>
      <c r="AS195"/>
      <c r="AT195"/>
      <c r="AU195"/>
      <c r="AV195"/>
      <c r="AW195"/>
      <c r="AX195" t="inlineStr">
        <is>
          <t>Accumulation</t>
        </is>
      </c>
      <c r="AY195" t="inlineStr">
        <is>
          <t>Residue</t>
        </is>
      </c>
      <c r="AZ195" t="inlineStr">
        <is>
          <t>BAF</t>
        </is>
      </c>
      <c r="BA195" t="inlineStr">
        <is>
          <t>Whole organism</t>
        </is>
      </c>
      <c r="BB195"/>
      <c r="BC195" t="n">
        <v>58.0</v>
      </c>
      <c r="BD195"/>
      <c r="BE195"/>
      <c r="BF195"/>
      <c r="BG195"/>
      <c r="BH195" t="inlineStr">
        <is>
          <t>Day(s)</t>
        </is>
      </c>
      <c r="BI195"/>
      <c r="BJ195" t="n">
        <v>4200.0</v>
      </c>
      <c r="BK195"/>
      <c r="BL195"/>
      <c r="BM195"/>
      <c r="BN195"/>
      <c r="BO195" t="inlineStr">
        <is>
          <t>RA</t>
        </is>
      </c>
      <c r="BP195"/>
      <c r="BQ195"/>
      <c r="BR195"/>
      <c r="BS195"/>
      <c r="BT195"/>
      <c r="BU195"/>
      <c r="BV195"/>
      <c r="BW195"/>
      <c r="BX195"/>
      <c r="BY195"/>
      <c r="BZ195"/>
      <c r="CA195"/>
      <c r="CB195"/>
      <c r="CC195"/>
      <c r="CD195" t="inlineStr">
        <is>
          <t>Qiang,L., X. Pan, L. Zhu, S. Fang, and S. Tian</t>
        </is>
      </c>
      <c r="CE195" t="n">
        <v>177094.0</v>
      </c>
      <c r="CF195" t="inlineStr">
        <is>
          <t>Effects of Nano-TiO2 on Perfluorooctanesulfonate Bioaccumulation in Fishes Living in Different Water Layers: Implications for Enhanced Risk of Perfluorooctanesulfonate</t>
        </is>
      </c>
      <c r="CG195" t="inlineStr">
        <is>
          <t>Nanotoxicology10(4): 471-479</t>
        </is>
      </c>
      <c r="CH195" t="n">
        <v>2016.0</v>
      </c>
      <c r="CI195"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196">
      <c r="A196" t="n">
        <v>2795393.0</v>
      </c>
      <c r="B196" t="inlineStr">
        <is>
          <t>1,1,2,2,3,3,4,4,5,5,6,6,7,7,8,8,8-Heptadecafluoro-1-octanesulfonic acid potassium salt</t>
        </is>
      </c>
      <c r="C196"/>
      <c r="D196" t="inlineStr">
        <is>
          <t>Measured</t>
        </is>
      </c>
      <c r="E196"/>
      <c r="F196" t="n">
        <v>98.0</v>
      </c>
      <c r="G196"/>
      <c r="H196"/>
      <c r="I196"/>
      <c r="J196"/>
      <c r="K196" t="inlineStr">
        <is>
          <t>Hypostomus plecostomus</t>
        </is>
      </c>
      <c r="L196" t="inlineStr">
        <is>
          <t>Suckermouth Catfish</t>
        </is>
      </c>
      <c r="M196" t="inlineStr">
        <is>
          <t>Fish</t>
        </is>
      </c>
      <c r="N196"/>
      <c r="O196"/>
      <c r="P196"/>
      <c r="Q196"/>
      <c r="R196"/>
      <c r="S196"/>
      <c r="T196"/>
      <c r="U196"/>
      <c r="V196" t="inlineStr">
        <is>
          <t>Renewal</t>
        </is>
      </c>
      <c r="W196" t="inlineStr">
        <is>
          <t>Fresh water</t>
        </is>
      </c>
      <c r="X196" t="inlineStr">
        <is>
          <t>Lab</t>
        </is>
      </c>
      <c r="Y196" t="n">
        <v>2.0</v>
      </c>
      <c r="Z196" t="inlineStr">
        <is>
          <t>Active ingredient</t>
        </is>
      </c>
      <c r="AA196"/>
      <c r="AB196"/>
      <c r="AC196"/>
      <c r="AD196" t="n">
        <v>6.0E-4</v>
      </c>
      <c r="AE196"/>
      <c r="AF196" t="n">
        <v>7.0E-4</v>
      </c>
      <c r="AG196" t="inlineStr">
        <is>
          <t>AI mg/L</t>
        </is>
      </c>
      <c r="AH196"/>
      <c r="AI196"/>
      <c r="AJ196"/>
      <c r="AK196"/>
      <c r="AL196"/>
      <c r="AM196"/>
      <c r="AN196"/>
      <c r="AO196"/>
      <c r="AP196"/>
      <c r="AQ196"/>
      <c r="AR196"/>
      <c r="AS196"/>
      <c r="AT196"/>
      <c r="AU196"/>
      <c r="AV196"/>
      <c r="AW196"/>
      <c r="AX196" t="inlineStr">
        <is>
          <t>Accumulation</t>
        </is>
      </c>
      <c r="AY196" t="inlineStr">
        <is>
          <t>Residue</t>
        </is>
      </c>
      <c r="AZ196" t="inlineStr">
        <is>
          <t>LOEC</t>
        </is>
      </c>
      <c r="BA196" t="inlineStr">
        <is>
          <t>Muscle</t>
        </is>
      </c>
      <c r="BB196"/>
      <c r="BC196" t="n">
        <v>58.0</v>
      </c>
      <c r="BD196"/>
      <c r="BE196"/>
      <c r="BF196"/>
      <c r="BG196"/>
      <c r="BH196" t="inlineStr">
        <is>
          <t>Day(s)</t>
        </is>
      </c>
      <c r="BI196"/>
      <c r="BJ196"/>
      <c r="BK196"/>
      <c r="BL196"/>
      <c r="BM196"/>
      <c r="BN196"/>
      <c r="BO196" t="inlineStr">
        <is>
          <t>--</t>
        </is>
      </c>
      <c r="BP196"/>
      <c r="BQ196"/>
      <c r="BR196"/>
      <c r="BS196"/>
      <c r="BT196"/>
      <c r="BU196"/>
      <c r="BV196"/>
      <c r="BW196"/>
      <c r="BX196"/>
      <c r="BY196"/>
      <c r="BZ196"/>
      <c r="CA196"/>
      <c r="CB196"/>
      <c r="CC196"/>
      <c r="CD196" t="inlineStr">
        <is>
          <t>Qiang,L., X. Pan, L. Zhu, S. Fang, and S. Tian</t>
        </is>
      </c>
      <c r="CE196" t="n">
        <v>177094.0</v>
      </c>
      <c r="CF196" t="inlineStr">
        <is>
          <t>Effects of Nano-TiO2 on Perfluorooctanesulfonate Bioaccumulation in Fishes Living in Different Water Layers: Implications for Enhanced Risk of Perfluorooctanesulfonate</t>
        </is>
      </c>
      <c r="CG196" t="inlineStr">
        <is>
          <t>Nanotoxicology10(4): 471-479</t>
        </is>
      </c>
      <c r="CH196" t="n">
        <v>2016.0</v>
      </c>
      <c r="CI196"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197">
      <c r="A197" t="n">
        <v>2795393.0</v>
      </c>
      <c r="B197" t="inlineStr">
        <is>
          <t>1,1,2,2,3,3,4,4,5,5,6,6,7,7,8,8,8-Heptadecafluoro-1-octanesulfonic acid potassium salt</t>
        </is>
      </c>
      <c r="C197"/>
      <c r="D197" t="inlineStr">
        <is>
          <t>Measured</t>
        </is>
      </c>
      <c r="E197"/>
      <c r="F197" t="n">
        <v>98.0</v>
      </c>
      <c r="G197"/>
      <c r="H197"/>
      <c r="I197"/>
      <c r="J197"/>
      <c r="K197" t="inlineStr">
        <is>
          <t>Hypostomus plecostomus</t>
        </is>
      </c>
      <c r="L197" t="inlineStr">
        <is>
          <t>Suckermouth Catfish</t>
        </is>
      </c>
      <c r="M197" t="inlineStr">
        <is>
          <t>Fish</t>
        </is>
      </c>
      <c r="N197"/>
      <c r="O197"/>
      <c r="P197"/>
      <c r="Q197"/>
      <c r="R197"/>
      <c r="S197"/>
      <c r="T197"/>
      <c r="U197"/>
      <c r="V197" t="inlineStr">
        <is>
          <t>Renewal</t>
        </is>
      </c>
      <c r="W197" t="inlineStr">
        <is>
          <t>Fresh water</t>
        </is>
      </c>
      <c r="X197" t="inlineStr">
        <is>
          <t>Lab</t>
        </is>
      </c>
      <c r="Y197" t="n">
        <v>2.0</v>
      </c>
      <c r="Z197" t="inlineStr">
        <is>
          <t>Active ingredient</t>
        </is>
      </c>
      <c r="AA197"/>
      <c r="AB197"/>
      <c r="AC197"/>
      <c r="AD197" t="n">
        <v>6.0E-4</v>
      </c>
      <c r="AE197"/>
      <c r="AF197" t="n">
        <v>7.0E-4</v>
      </c>
      <c r="AG197" t="inlineStr">
        <is>
          <t>AI mg/L</t>
        </is>
      </c>
      <c r="AH197"/>
      <c r="AI197"/>
      <c r="AJ197"/>
      <c r="AK197"/>
      <c r="AL197"/>
      <c r="AM197"/>
      <c r="AN197"/>
      <c r="AO197"/>
      <c r="AP197"/>
      <c r="AQ197"/>
      <c r="AR197"/>
      <c r="AS197"/>
      <c r="AT197"/>
      <c r="AU197"/>
      <c r="AV197"/>
      <c r="AW197"/>
      <c r="AX197" t="inlineStr">
        <is>
          <t>Accumulation</t>
        </is>
      </c>
      <c r="AY197" t="inlineStr">
        <is>
          <t>Residue</t>
        </is>
      </c>
      <c r="AZ197" t="inlineStr">
        <is>
          <t>LOEC</t>
        </is>
      </c>
      <c r="BA197" t="inlineStr">
        <is>
          <t>Scale</t>
        </is>
      </c>
      <c r="BB197"/>
      <c r="BC197" t="n">
        <v>58.0</v>
      </c>
      <c r="BD197"/>
      <c r="BE197"/>
      <c r="BF197"/>
      <c r="BG197"/>
      <c r="BH197" t="inlineStr">
        <is>
          <t>Day(s)</t>
        </is>
      </c>
      <c r="BI197"/>
      <c r="BJ197"/>
      <c r="BK197"/>
      <c r="BL197"/>
      <c r="BM197"/>
      <c r="BN197"/>
      <c r="BO197" t="inlineStr">
        <is>
          <t>--</t>
        </is>
      </c>
      <c r="BP197"/>
      <c r="BQ197"/>
      <c r="BR197"/>
      <c r="BS197"/>
      <c r="BT197"/>
      <c r="BU197"/>
      <c r="BV197"/>
      <c r="BW197"/>
      <c r="BX197"/>
      <c r="BY197"/>
      <c r="BZ197"/>
      <c r="CA197"/>
      <c r="CB197"/>
      <c r="CC197"/>
      <c r="CD197" t="inlineStr">
        <is>
          <t>Qiang,L., X. Pan, L. Zhu, S. Fang, and S. Tian</t>
        </is>
      </c>
      <c r="CE197" t="n">
        <v>177094.0</v>
      </c>
      <c r="CF197" t="inlineStr">
        <is>
          <t>Effects of Nano-TiO2 on Perfluorooctanesulfonate Bioaccumulation in Fishes Living in Different Water Layers: Implications for Enhanced Risk of Perfluorooctanesulfonate</t>
        </is>
      </c>
      <c r="CG197" t="inlineStr">
        <is>
          <t>Nanotoxicology10(4): 471-479</t>
        </is>
      </c>
      <c r="CH197" t="n">
        <v>2016.0</v>
      </c>
      <c r="CI197"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198">
      <c r="A198" t="n">
        <v>2795393.0</v>
      </c>
      <c r="B198" t="inlineStr">
        <is>
          <t>1,1,2,2,3,3,4,4,5,5,6,6,7,7,8,8,8-Heptadecafluoro-1-octanesulfonic acid potassium salt</t>
        </is>
      </c>
      <c r="C198"/>
      <c r="D198" t="inlineStr">
        <is>
          <t>Measured</t>
        </is>
      </c>
      <c r="E198"/>
      <c r="F198" t="n">
        <v>98.0</v>
      </c>
      <c r="G198"/>
      <c r="H198"/>
      <c r="I198"/>
      <c r="J198"/>
      <c r="K198" t="inlineStr">
        <is>
          <t>Hypostomus plecostomus</t>
        </is>
      </c>
      <c r="L198" t="inlineStr">
        <is>
          <t>Suckermouth Catfish</t>
        </is>
      </c>
      <c r="M198" t="inlineStr">
        <is>
          <t>Fish</t>
        </is>
      </c>
      <c r="N198"/>
      <c r="O198"/>
      <c r="P198"/>
      <c r="Q198"/>
      <c r="R198"/>
      <c r="S198"/>
      <c r="T198"/>
      <c r="U198"/>
      <c r="V198" t="inlineStr">
        <is>
          <t>Renewal</t>
        </is>
      </c>
      <c r="W198" t="inlineStr">
        <is>
          <t>Fresh water</t>
        </is>
      </c>
      <c r="X198" t="inlineStr">
        <is>
          <t>Lab</t>
        </is>
      </c>
      <c r="Y198" t="n">
        <v>2.0</v>
      </c>
      <c r="Z198" t="inlineStr">
        <is>
          <t>Active ingredient</t>
        </is>
      </c>
      <c r="AA198"/>
      <c r="AB198"/>
      <c r="AC198"/>
      <c r="AD198" t="n">
        <v>6.0E-4</v>
      </c>
      <c r="AE198"/>
      <c r="AF198" t="n">
        <v>7.0E-4</v>
      </c>
      <c r="AG198" t="inlineStr">
        <is>
          <t>AI mg/L</t>
        </is>
      </c>
      <c r="AH198"/>
      <c r="AI198"/>
      <c r="AJ198"/>
      <c r="AK198"/>
      <c r="AL198"/>
      <c r="AM198"/>
      <c r="AN198"/>
      <c r="AO198"/>
      <c r="AP198"/>
      <c r="AQ198"/>
      <c r="AR198"/>
      <c r="AS198"/>
      <c r="AT198"/>
      <c r="AU198"/>
      <c r="AV198"/>
      <c r="AW198"/>
      <c r="AX198" t="inlineStr">
        <is>
          <t>Accumulation</t>
        </is>
      </c>
      <c r="AY198" t="inlineStr">
        <is>
          <t>Residue</t>
        </is>
      </c>
      <c r="AZ198" t="inlineStr">
        <is>
          <t>LOEC</t>
        </is>
      </c>
      <c r="BA198" t="inlineStr">
        <is>
          <t>Head</t>
        </is>
      </c>
      <c r="BB198"/>
      <c r="BC198" t="n">
        <v>58.0</v>
      </c>
      <c r="BD198"/>
      <c r="BE198"/>
      <c r="BF198"/>
      <c r="BG198"/>
      <c r="BH198" t="inlineStr">
        <is>
          <t>Day(s)</t>
        </is>
      </c>
      <c r="BI198"/>
      <c r="BJ198"/>
      <c r="BK198"/>
      <c r="BL198"/>
      <c r="BM198"/>
      <c r="BN198"/>
      <c r="BO198" t="inlineStr">
        <is>
          <t>--</t>
        </is>
      </c>
      <c r="BP198"/>
      <c r="BQ198"/>
      <c r="BR198"/>
      <c r="BS198"/>
      <c r="BT198"/>
      <c r="BU198"/>
      <c r="BV198"/>
      <c r="BW198"/>
      <c r="BX198"/>
      <c r="BY198"/>
      <c r="BZ198"/>
      <c r="CA198"/>
      <c r="CB198"/>
      <c r="CC198"/>
      <c r="CD198" t="inlineStr">
        <is>
          <t>Qiang,L., X. Pan, L. Zhu, S. Fang, and S. Tian</t>
        </is>
      </c>
      <c r="CE198" t="n">
        <v>177094.0</v>
      </c>
      <c r="CF198" t="inlineStr">
        <is>
          <t>Effects of Nano-TiO2 on Perfluorooctanesulfonate Bioaccumulation in Fishes Living in Different Water Layers: Implications for Enhanced Risk of Perfluorooctanesulfonate</t>
        </is>
      </c>
      <c r="CG198" t="inlineStr">
        <is>
          <t>Nanotoxicology10(4): 471-479</t>
        </is>
      </c>
      <c r="CH198" t="n">
        <v>2016.0</v>
      </c>
      <c r="CI198"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199">
      <c r="A199" t="n">
        <v>2795393.0</v>
      </c>
      <c r="B199" t="inlineStr">
        <is>
          <t>1,1,2,2,3,3,4,4,5,5,6,6,7,7,8,8,8-Heptadecafluoro-1-octanesulfonic acid potassium salt</t>
        </is>
      </c>
      <c r="C199"/>
      <c r="D199" t="inlineStr">
        <is>
          <t>Measured</t>
        </is>
      </c>
      <c r="E199"/>
      <c r="F199" t="n">
        <v>98.0</v>
      </c>
      <c r="G199"/>
      <c r="H199"/>
      <c r="I199"/>
      <c r="J199"/>
      <c r="K199" t="inlineStr">
        <is>
          <t>Hypostomus plecostomus</t>
        </is>
      </c>
      <c r="L199" t="inlineStr">
        <is>
          <t>Suckermouth Catfish</t>
        </is>
      </c>
      <c r="M199" t="inlineStr">
        <is>
          <t>Fish</t>
        </is>
      </c>
      <c r="N199"/>
      <c r="O199"/>
      <c r="P199"/>
      <c r="Q199"/>
      <c r="R199"/>
      <c r="S199"/>
      <c r="T199"/>
      <c r="U199"/>
      <c r="V199" t="inlineStr">
        <is>
          <t>Renewal</t>
        </is>
      </c>
      <c r="W199" t="inlineStr">
        <is>
          <t>Fresh water</t>
        </is>
      </c>
      <c r="X199" t="inlineStr">
        <is>
          <t>Lab</t>
        </is>
      </c>
      <c r="Y199" t="n">
        <v>2.0</v>
      </c>
      <c r="Z199" t="inlineStr">
        <is>
          <t>Active ingredient</t>
        </is>
      </c>
      <c r="AA199"/>
      <c r="AB199"/>
      <c r="AC199"/>
      <c r="AD199" t="n">
        <v>6.0E-4</v>
      </c>
      <c r="AE199"/>
      <c r="AF199" t="n">
        <v>7.0E-4</v>
      </c>
      <c r="AG199" t="inlineStr">
        <is>
          <t>AI mg/L</t>
        </is>
      </c>
      <c r="AH199"/>
      <c r="AI199"/>
      <c r="AJ199"/>
      <c r="AK199"/>
      <c r="AL199"/>
      <c r="AM199"/>
      <c r="AN199"/>
      <c r="AO199"/>
      <c r="AP199"/>
      <c r="AQ199"/>
      <c r="AR199"/>
      <c r="AS199"/>
      <c r="AT199"/>
      <c r="AU199"/>
      <c r="AV199"/>
      <c r="AW199"/>
      <c r="AX199" t="inlineStr">
        <is>
          <t>Accumulation</t>
        </is>
      </c>
      <c r="AY199" t="inlineStr">
        <is>
          <t>Residue</t>
        </is>
      </c>
      <c r="AZ199" t="inlineStr">
        <is>
          <t>LOEC</t>
        </is>
      </c>
      <c r="BA199" t="inlineStr">
        <is>
          <t>Gill(s)</t>
        </is>
      </c>
      <c r="BB199"/>
      <c r="BC199" t="n">
        <v>58.0</v>
      </c>
      <c r="BD199"/>
      <c r="BE199"/>
      <c r="BF199"/>
      <c r="BG199"/>
      <c r="BH199" t="inlineStr">
        <is>
          <t>Day(s)</t>
        </is>
      </c>
      <c r="BI199"/>
      <c r="BJ199"/>
      <c r="BK199"/>
      <c r="BL199"/>
      <c r="BM199"/>
      <c r="BN199"/>
      <c r="BO199" t="inlineStr">
        <is>
          <t>--</t>
        </is>
      </c>
      <c r="BP199"/>
      <c r="BQ199"/>
      <c r="BR199"/>
      <c r="BS199"/>
      <c r="BT199"/>
      <c r="BU199"/>
      <c r="BV199"/>
      <c r="BW199"/>
      <c r="BX199"/>
      <c r="BY199"/>
      <c r="BZ199"/>
      <c r="CA199"/>
      <c r="CB199"/>
      <c r="CC199"/>
      <c r="CD199" t="inlineStr">
        <is>
          <t>Qiang,L., X. Pan, L. Zhu, S. Fang, and S. Tian</t>
        </is>
      </c>
      <c r="CE199" t="n">
        <v>177094.0</v>
      </c>
      <c r="CF199" t="inlineStr">
        <is>
          <t>Effects of Nano-TiO2 on Perfluorooctanesulfonate Bioaccumulation in Fishes Living in Different Water Layers: Implications for Enhanced Risk of Perfluorooctanesulfonate</t>
        </is>
      </c>
      <c r="CG199" t="inlineStr">
        <is>
          <t>Nanotoxicology10(4): 471-479</t>
        </is>
      </c>
      <c r="CH199" t="n">
        <v>2016.0</v>
      </c>
      <c r="CI199"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200">
      <c r="A200" t="n">
        <v>2795393.0</v>
      </c>
      <c r="B200" t="inlineStr">
        <is>
          <t>1,1,2,2,3,3,4,4,5,5,6,6,7,7,8,8,8-Heptadecafluoro-1-octanesulfonic acid potassium salt</t>
        </is>
      </c>
      <c r="C200"/>
      <c r="D200" t="inlineStr">
        <is>
          <t>Measured</t>
        </is>
      </c>
      <c r="E200"/>
      <c r="F200" t="n">
        <v>98.0</v>
      </c>
      <c r="G200"/>
      <c r="H200"/>
      <c r="I200"/>
      <c r="J200"/>
      <c r="K200" t="inlineStr">
        <is>
          <t>Hypostomus plecostomus</t>
        </is>
      </c>
      <c r="L200" t="inlineStr">
        <is>
          <t>Suckermouth Catfish</t>
        </is>
      </c>
      <c r="M200" t="inlineStr">
        <is>
          <t>Fish</t>
        </is>
      </c>
      <c r="N200"/>
      <c r="O200"/>
      <c r="P200"/>
      <c r="Q200"/>
      <c r="R200"/>
      <c r="S200"/>
      <c r="T200"/>
      <c r="U200"/>
      <c r="V200" t="inlineStr">
        <is>
          <t>Renewal</t>
        </is>
      </c>
      <c r="W200" t="inlineStr">
        <is>
          <t>Fresh water</t>
        </is>
      </c>
      <c r="X200" t="inlineStr">
        <is>
          <t>Lab</t>
        </is>
      </c>
      <c r="Y200" t="n">
        <v>2.0</v>
      </c>
      <c r="Z200" t="inlineStr">
        <is>
          <t>Active ingredient</t>
        </is>
      </c>
      <c r="AA200"/>
      <c r="AB200"/>
      <c r="AC200"/>
      <c r="AD200" t="n">
        <v>6.0E-4</v>
      </c>
      <c r="AE200"/>
      <c r="AF200" t="n">
        <v>7.0E-4</v>
      </c>
      <c r="AG200" t="inlineStr">
        <is>
          <t>AI mg/L</t>
        </is>
      </c>
      <c r="AH200"/>
      <c r="AI200"/>
      <c r="AJ200"/>
      <c r="AK200"/>
      <c r="AL200"/>
      <c r="AM200"/>
      <c r="AN200"/>
      <c r="AO200"/>
      <c r="AP200"/>
      <c r="AQ200"/>
      <c r="AR200"/>
      <c r="AS200"/>
      <c r="AT200"/>
      <c r="AU200"/>
      <c r="AV200"/>
      <c r="AW200"/>
      <c r="AX200" t="inlineStr">
        <is>
          <t>Accumulation</t>
        </is>
      </c>
      <c r="AY200" t="inlineStr">
        <is>
          <t>Residue</t>
        </is>
      </c>
      <c r="AZ200" t="inlineStr">
        <is>
          <t>LOEC</t>
        </is>
      </c>
      <c r="BA200" t="inlineStr">
        <is>
          <t>Organ</t>
        </is>
      </c>
      <c r="BB200"/>
      <c r="BC200" t="n">
        <v>58.0</v>
      </c>
      <c r="BD200"/>
      <c r="BE200"/>
      <c r="BF200"/>
      <c r="BG200"/>
      <c r="BH200" t="inlineStr">
        <is>
          <t>Day(s)</t>
        </is>
      </c>
      <c r="BI200"/>
      <c r="BJ200"/>
      <c r="BK200"/>
      <c r="BL200"/>
      <c r="BM200"/>
      <c r="BN200"/>
      <c r="BO200" t="inlineStr">
        <is>
          <t>--</t>
        </is>
      </c>
      <c r="BP200"/>
      <c r="BQ200"/>
      <c r="BR200"/>
      <c r="BS200"/>
      <c r="BT200"/>
      <c r="BU200"/>
      <c r="BV200"/>
      <c r="BW200"/>
      <c r="BX200"/>
      <c r="BY200"/>
      <c r="BZ200"/>
      <c r="CA200"/>
      <c r="CB200"/>
      <c r="CC200"/>
      <c r="CD200" t="inlineStr">
        <is>
          <t>Qiang,L., X. Pan, L. Zhu, S. Fang, and S. Tian</t>
        </is>
      </c>
      <c r="CE200" t="n">
        <v>177094.0</v>
      </c>
      <c r="CF200" t="inlineStr">
        <is>
          <t>Effects of Nano-TiO2 on Perfluorooctanesulfonate Bioaccumulation in Fishes Living in Different Water Layers: Implications for Enhanced Risk of Perfluorooctanesulfonate</t>
        </is>
      </c>
      <c r="CG200" t="inlineStr">
        <is>
          <t>Nanotoxicology10(4): 471-479</t>
        </is>
      </c>
      <c r="CH200" t="n">
        <v>2016.0</v>
      </c>
      <c r="CI200"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201">
      <c r="A201" t="n">
        <v>2795393.0</v>
      </c>
      <c r="B201" t="inlineStr">
        <is>
          <t>1,1,2,2,3,3,4,4,5,5,6,6,7,7,8,8,8-Heptadecafluoro-1-octanesulfonic acid potassium salt</t>
        </is>
      </c>
      <c r="C201"/>
      <c r="D201" t="inlineStr">
        <is>
          <t>Unmeasured</t>
        </is>
      </c>
      <c r="E201"/>
      <c r="F201" t="n">
        <v>99.0</v>
      </c>
      <c r="G201"/>
      <c r="H201"/>
      <c r="I201"/>
      <c r="J201"/>
      <c r="K201" t="inlineStr">
        <is>
          <t>Sebastes schlegelii</t>
        </is>
      </c>
      <c r="L201" t="inlineStr">
        <is>
          <t>Jacopever</t>
        </is>
      </c>
      <c r="M201" t="inlineStr">
        <is>
          <t>Fish</t>
        </is>
      </c>
      <c r="N201"/>
      <c r="O201"/>
      <c r="P201" t="n">
        <v>5.0</v>
      </c>
      <c r="Q201"/>
      <c r="R201"/>
      <c r="S201"/>
      <c r="T201"/>
      <c r="U201" t="inlineStr">
        <is>
          <t>Month(s)</t>
        </is>
      </c>
      <c r="V201" t="inlineStr">
        <is>
          <t>Renewal</t>
        </is>
      </c>
      <c r="W201" t="inlineStr">
        <is>
          <t>Salt water</t>
        </is>
      </c>
      <c r="X201" t="inlineStr">
        <is>
          <t>Lab</t>
        </is>
      </c>
      <c r="Y201" t="n">
        <v>3.0</v>
      </c>
      <c r="Z201" t="inlineStr">
        <is>
          <t>Active ingredient</t>
        </is>
      </c>
      <c r="AA201"/>
      <c r="AB201"/>
      <c r="AC201"/>
      <c r="AD201" t="n">
        <v>0.1</v>
      </c>
      <c r="AE201"/>
      <c r="AF201" t="n">
        <v>1.0</v>
      </c>
      <c r="AG201" t="inlineStr">
        <is>
          <t>AI mg/L</t>
        </is>
      </c>
      <c r="AH201"/>
      <c r="AI201"/>
      <c r="AJ201"/>
      <c r="AK201"/>
      <c r="AL201"/>
      <c r="AM201"/>
      <c r="AN201"/>
      <c r="AO201"/>
      <c r="AP201"/>
      <c r="AQ201"/>
      <c r="AR201"/>
      <c r="AS201"/>
      <c r="AT201"/>
      <c r="AU201"/>
      <c r="AV201"/>
      <c r="AW201"/>
      <c r="AX201" t="inlineStr">
        <is>
          <t>Accumulation</t>
        </is>
      </c>
      <c r="AY201" t="inlineStr">
        <is>
          <t>Residue</t>
        </is>
      </c>
      <c r="AZ201"/>
      <c r="BA201" t="inlineStr">
        <is>
          <t>Liver</t>
        </is>
      </c>
      <c r="BB201"/>
      <c r="BC201" t="n">
        <v>6.0</v>
      </c>
      <c r="BD201"/>
      <c r="BE201"/>
      <c r="BF201"/>
      <c r="BG201"/>
      <c r="BH201" t="inlineStr">
        <is>
          <t>Day(s)</t>
        </is>
      </c>
      <c r="BI201"/>
      <c r="BJ201"/>
      <c r="BK201"/>
      <c r="BL201"/>
      <c r="BM201"/>
      <c r="BN201"/>
      <c r="BO201" t="inlineStr">
        <is>
          <t>--</t>
        </is>
      </c>
      <c r="BP201"/>
      <c r="BQ201"/>
      <c r="BR201"/>
      <c r="BS201"/>
      <c r="BT201"/>
      <c r="BU201"/>
      <c r="BV201"/>
      <c r="BW201"/>
      <c r="BX201"/>
      <c r="BY201"/>
      <c r="BZ201"/>
      <c r="CA201"/>
      <c r="CB201"/>
      <c r="CC201"/>
      <c r="CD201" t="inlineStr">
        <is>
          <t>Jeon,J., H.K. Lim, K. Kannan, and S.D. Kim</t>
        </is>
      </c>
      <c r="CE201" t="n">
        <v>175199.0</v>
      </c>
      <c r="CF201" t="inlineStr">
        <is>
          <t>Effect of Perfluorooctanesulfonate on Osmoregulation in Marine Fish, Sebastes schlegeli, Under Different Salinities</t>
        </is>
      </c>
      <c r="CG201" t="inlineStr">
        <is>
          <t>Chemosphere81(2): 228-234</t>
        </is>
      </c>
      <c r="CH201" t="n">
        <v>2010.0</v>
      </c>
      <c r="CI201" t="inlineStr">
        <is>
          <t>Jeon,J., H.K. Lim, K. Kannan, and S.D. Kim (2010). Effect of Perfluorooctanesulfonate on Osmoregulation in Marine Fish, Sebastes schlegeli, Under Different Salinities. Chemosphere, 81, (2), 228-234. doi:10.1016/j.chemosphere.2010.06.037. ECOREF#:175199</t>
        </is>
      </c>
    </row>
    <row r="202">
      <c r="A202" t="n">
        <v>2795393.0</v>
      </c>
      <c r="B202" t="inlineStr">
        <is>
          <t>1,1,2,2,3,3,4,4,5,5,6,6,7,7,8,8,8-Heptadecafluoro-1-octanesulfonic acid potassium salt</t>
        </is>
      </c>
      <c r="C202"/>
      <c r="D202" t="inlineStr">
        <is>
          <t>Unmeasured</t>
        </is>
      </c>
      <c r="E202"/>
      <c r="F202" t="n">
        <v>99.0</v>
      </c>
      <c r="G202"/>
      <c r="H202"/>
      <c r="I202"/>
      <c r="J202"/>
      <c r="K202" t="inlineStr">
        <is>
          <t>Sebastes schlegelii</t>
        </is>
      </c>
      <c r="L202" t="inlineStr">
        <is>
          <t>Jacopever</t>
        </is>
      </c>
      <c r="M202" t="inlineStr">
        <is>
          <t>Fish</t>
        </is>
      </c>
      <c r="N202"/>
      <c r="O202"/>
      <c r="P202" t="n">
        <v>5.0</v>
      </c>
      <c r="Q202"/>
      <c r="R202"/>
      <c r="S202"/>
      <c r="T202"/>
      <c r="U202" t="inlineStr">
        <is>
          <t>Month(s)</t>
        </is>
      </c>
      <c r="V202" t="inlineStr">
        <is>
          <t>Renewal</t>
        </is>
      </c>
      <c r="W202" t="inlineStr">
        <is>
          <t>Salt water</t>
        </is>
      </c>
      <c r="X202" t="inlineStr">
        <is>
          <t>Lab</t>
        </is>
      </c>
      <c r="Y202" t="n">
        <v>3.0</v>
      </c>
      <c r="Z202" t="inlineStr">
        <is>
          <t>Active ingredient</t>
        </is>
      </c>
      <c r="AA202"/>
      <c r="AB202"/>
      <c r="AC202"/>
      <c r="AD202" t="n">
        <v>0.1</v>
      </c>
      <c r="AE202"/>
      <c r="AF202" t="n">
        <v>1.0</v>
      </c>
      <c r="AG202" t="inlineStr">
        <is>
          <t>AI mg/L</t>
        </is>
      </c>
      <c r="AH202"/>
      <c r="AI202"/>
      <c r="AJ202"/>
      <c r="AK202"/>
      <c r="AL202"/>
      <c r="AM202"/>
      <c r="AN202"/>
      <c r="AO202"/>
      <c r="AP202"/>
      <c r="AQ202"/>
      <c r="AR202"/>
      <c r="AS202"/>
      <c r="AT202"/>
      <c r="AU202"/>
      <c r="AV202"/>
      <c r="AW202"/>
      <c r="AX202" t="inlineStr">
        <is>
          <t>Accumulation</t>
        </is>
      </c>
      <c r="AY202" t="inlineStr">
        <is>
          <t>Residue</t>
        </is>
      </c>
      <c r="AZ202"/>
      <c r="BA202" t="inlineStr">
        <is>
          <t>Serum</t>
        </is>
      </c>
      <c r="BB202"/>
      <c r="BC202" t="n">
        <v>6.0</v>
      </c>
      <c r="BD202"/>
      <c r="BE202"/>
      <c r="BF202"/>
      <c r="BG202"/>
      <c r="BH202" t="inlineStr">
        <is>
          <t>Day(s)</t>
        </is>
      </c>
      <c r="BI202"/>
      <c r="BJ202"/>
      <c r="BK202"/>
      <c r="BL202"/>
      <c r="BM202"/>
      <c r="BN202"/>
      <c r="BO202" t="inlineStr">
        <is>
          <t>--</t>
        </is>
      </c>
      <c r="BP202"/>
      <c r="BQ202"/>
      <c r="BR202"/>
      <c r="BS202"/>
      <c r="BT202"/>
      <c r="BU202"/>
      <c r="BV202"/>
      <c r="BW202"/>
      <c r="BX202"/>
      <c r="BY202"/>
      <c r="BZ202"/>
      <c r="CA202"/>
      <c r="CB202"/>
      <c r="CC202"/>
      <c r="CD202" t="inlineStr">
        <is>
          <t>Jeon,J., H.K. Lim, K. Kannan, and S.D. Kim</t>
        </is>
      </c>
      <c r="CE202" t="n">
        <v>175199.0</v>
      </c>
      <c r="CF202" t="inlineStr">
        <is>
          <t>Effect of Perfluorooctanesulfonate on Osmoregulation in Marine Fish, Sebastes schlegeli, Under Different Salinities</t>
        </is>
      </c>
      <c r="CG202" t="inlineStr">
        <is>
          <t>Chemosphere81(2): 228-234</t>
        </is>
      </c>
      <c r="CH202" t="n">
        <v>2010.0</v>
      </c>
      <c r="CI202" t="inlineStr">
        <is>
          <t>Jeon,J., H.K. Lim, K. Kannan, and S.D. Kim (2010). Effect of Perfluorooctanesulfonate on Osmoregulation in Marine Fish, Sebastes schlegeli, Under Different Salinities. Chemosphere, 81, (2), 228-234. doi:10.1016/j.chemosphere.2010.06.037. ECOREF#:175199</t>
        </is>
      </c>
    </row>
    <row r="203">
      <c r="A203" t="n">
        <v>2795393.0</v>
      </c>
      <c r="B203" t="inlineStr">
        <is>
          <t>1,1,2,2,3,3,4,4,5,5,6,6,7,7,8,8,8-Heptadecafluoro-1-octanesulfonic acid potassium salt</t>
        </is>
      </c>
      <c r="C203"/>
      <c r="D203" t="inlineStr">
        <is>
          <t>Unmeasured</t>
        </is>
      </c>
      <c r="E203"/>
      <c r="F203" t="n">
        <v>99.0</v>
      </c>
      <c r="G203"/>
      <c r="H203"/>
      <c r="I203"/>
      <c r="J203"/>
      <c r="K203" t="inlineStr">
        <is>
          <t>Sebastes schlegelii</t>
        </is>
      </c>
      <c r="L203" t="inlineStr">
        <is>
          <t>Jacopever</t>
        </is>
      </c>
      <c r="M203" t="inlineStr">
        <is>
          <t>Fish</t>
        </is>
      </c>
      <c r="N203"/>
      <c r="O203"/>
      <c r="P203" t="n">
        <v>5.0</v>
      </c>
      <c r="Q203"/>
      <c r="R203"/>
      <c r="S203"/>
      <c r="T203"/>
      <c r="U203" t="inlineStr">
        <is>
          <t>Month(s)</t>
        </is>
      </c>
      <c r="V203" t="inlineStr">
        <is>
          <t>Renewal</t>
        </is>
      </c>
      <c r="W203" t="inlineStr">
        <is>
          <t>Salt water</t>
        </is>
      </c>
      <c r="X203" t="inlineStr">
        <is>
          <t>Lab</t>
        </is>
      </c>
      <c r="Y203" t="n">
        <v>3.0</v>
      </c>
      <c r="Z203" t="inlineStr">
        <is>
          <t>Active ingredient</t>
        </is>
      </c>
      <c r="AA203"/>
      <c r="AB203"/>
      <c r="AC203"/>
      <c r="AD203" t="n">
        <v>0.1</v>
      </c>
      <c r="AE203"/>
      <c r="AF203" t="n">
        <v>1.0</v>
      </c>
      <c r="AG203" t="inlineStr">
        <is>
          <t>AI mg/L</t>
        </is>
      </c>
      <c r="AH203"/>
      <c r="AI203"/>
      <c r="AJ203"/>
      <c r="AK203"/>
      <c r="AL203"/>
      <c r="AM203"/>
      <c r="AN203"/>
      <c r="AO203"/>
      <c r="AP203"/>
      <c r="AQ203"/>
      <c r="AR203"/>
      <c r="AS203"/>
      <c r="AT203"/>
      <c r="AU203"/>
      <c r="AV203"/>
      <c r="AW203"/>
      <c r="AX203" t="inlineStr">
        <is>
          <t>Accumulation</t>
        </is>
      </c>
      <c r="AY203" t="inlineStr">
        <is>
          <t>Residue</t>
        </is>
      </c>
      <c r="AZ203"/>
      <c r="BA203" t="inlineStr">
        <is>
          <t>Liver</t>
        </is>
      </c>
      <c r="BB203"/>
      <c r="BC203" t="n">
        <v>6.0</v>
      </c>
      <c r="BD203"/>
      <c r="BE203"/>
      <c r="BF203"/>
      <c r="BG203"/>
      <c r="BH203" t="inlineStr">
        <is>
          <t>Day(s)</t>
        </is>
      </c>
      <c r="BI203"/>
      <c r="BJ203"/>
      <c r="BK203"/>
      <c r="BL203"/>
      <c r="BM203"/>
      <c r="BN203"/>
      <c r="BO203" t="inlineStr">
        <is>
          <t>--</t>
        </is>
      </c>
      <c r="BP203"/>
      <c r="BQ203"/>
      <c r="BR203"/>
      <c r="BS203"/>
      <c r="BT203"/>
      <c r="BU203"/>
      <c r="BV203"/>
      <c r="BW203"/>
      <c r="BX203"/>
      <c r="BY203"/>
      <c r="BZ203"/>
      <c r="CA203"/>
      <c r="CB203"/>
      <c r="CC203"/>
      <c r="CD203" t="inlineStr">
        <is>
          <t>Jeon,J., H.K. Lim, K. Kannan, and S.D. Kim</t>
        </is>
      </c>
      <c r="CE203" t="n">
        <v>175199.0</v>
      </c>
      <c r="CF203" t="inlineStr">
        <is>
          <t>Effect of Perfluorooctanesulfonate on Osmoregulation in Marine Fish, Sebastes schlegeli, Under Different Salinities</t>
        </is>
      </c>
      <c r="CG203" t="inlineStr">
        <is>
          <t>Chemosphere81(2): 228-234</t>
        </is>
      </c>
      <c r="CH203" t="n">
        <v>2010.0</v>
      </c>
      <c r="CI203" t="inlineStr">
        <is>
          <t>Jeon,J., H.K. Lim, K. Kannan, and S.D. Kim (2010). Effect of Perfluorooctanesulfonate on Osmoregulation in Marine Fish, Sebastes schlegeli, Under Different Salinities. Chemosphere, 81, (2), 228-234. doi:10.1016/j.chemosphere.2010.06.037. ECOREF#:175199</t>
        </is>
      </c>
    </row>
    <row r="204">
      <c r="A204" t="n">
        <v>2795393.0</v>
      </c>
      <c r="B204" t="inlineStr">
        <is>
          <t>1,1,2,2,3,3,4,4,5,5,6,6,7,7,8,8,8-Heptadecafluoro-1-octanesulfonic acid potassium salt</t>
        </is>
      </c>
      <c r="C204"/>
      <c r="D204" t="inlineStr">
        <is>
          <t>Unmeasured</t>
        </is>
      </c>
      <c r="E204"/>
      <c r="F204" t="n">
        <v>99.0</v>
      </c>
      <c r="G204"/>
      <c r="H204"/>
      <c r="I204"/>
      <c r="J204"/>
      <c r="K204" t="inlineStr">
        <is>
          <t>Sebastes schlegelii</t>
        </is>
      </c>
      <c r="L204" t="inlineStr">
        <is>
          <t>Jacopever</t>
        </is>
      </c>
      <c r="M204" t="inlineStr">
        <is>
          <t>Fish</t>
        </is>
      </c>
      <c r="N204"/>
      <c r="O204"/>
      <c r="P204" t="n">
        <v>5.0</v>
      </c>
      <c r="Q204"/>
      <c r="R204"/>
      <c r="S204"/>
      <c r="T204"/>
      <c r="U204" t="inlineStr">
        <is>
          <t>Month(s)</t>
        </is>
      </c>
      <c r="V204" t="inlineStr">
        <is>
          <t>Renewal</t>
        </is>
      </c>
      <c r="W204" t="inlineStr">
        <is>
          <t>Salt water</t>
        </is>
      </c>
      <c r="X204" t="inlineStr">
        <is>
          <t>Lab</t>
        </is>
      </c>
      <c r="Y204" t="n">
        <v>3.0</v>
      </c>
      <c r="Z204" t="inlineStr">
        <is>
          <t>Active ingredient</t>
        </is>
      </c>
      <c r="AA204"/>
      <c r="AB204"/>
      <c r="AC204"/>
      <c r="AD204" t="n">
        <v>0.1</v>
      </c>
      <c r="AE204"/>
      <c r="AF204" t="n">
        <v>1.0</v>
      </c>
      <c r="AG204" t="inlineStr">
        <is>
          <t>AI mg/L</t>
        </is>
      </c>
      <c r="AH204"/>
      <c r="AI204"/>
      <c r="AJ204"/>
      <c r="AK204"/>
      <c r="AL204"/>
      <c r="AM204"/>
      <c r="AN204"/>
      <c r="AO204"/>
      <c r="AP204"/>
      <c r="AQ204"/>
      <c r="AR204"/>
      <c r="AS204"/>
      <c r="AT204"/>
      <c r="AU204"/>
      <c r="AV204"/>
      <c r="AW204"/>
      <c r="AX204" t="inlineStr">
        <is>
          <t>Accumulation</t>
        </is>
      </c>
      <c r="AY204" t="inlineStr">
        <is>
          <t>Residue</t>
        </is>
      </c>
      <c r="AZ204"/>
      <c r="BA204" t="inlineStr">
        <is>
          <t>Serum</t>
        </is>
      </c>
      <c r="BB204"/>
      <c r="BC204" t="n">
        <v>6.0</v>
      </c>
      <c r="BD204"/>
      <c r="BE204"/>
      <c r="BF204"/>
      <c r="BG204"/>
      <c r="BH204" t="inlineStr">
        <is>
          <t>Day(s)</t>
        </is>
      </c>
      <c r="BI204"/>
      <c r="BJ204"/>
      <c r="BK204"/>
      <c r="BL204"/>
      <c r="BM204"/>
      <c r="BN204"/>
      <c r="BO204" t="inlineStr">
        <is>
          <t>--</t>
        </is>
      </c>
      <c r="BP204"/>
      <c r="BQ204"/>
      <c r="BR204"/>
      <c r="BS204"/>
      <c r="BT204"/>
      <c r="BU204"/>
      <c r="BV204"/>
      <c r="BW204"/>
      <c r="BX204"/>
      <c r="BY204"/>
      <c r="BZ204"/>
      <c r="CA204"/>
      <c r="CB204"/>
      <c r="CC204"/>
      <c r="CD204" t="inlineStr">
        <is>
          <t>Jeon,J., H.K. Lim, K. Kannan, and S.D. Kim</t>
        </is>
      </c>
      <c r="CE204" t="n">
        <v>175199.0</v>
      </c>
      <c r="CF204" t="inlineStr">
        <is>
          <t>Effect of Perfluorooctanesulfonate on Osmoregulation in Marine Fish, Sebastes schlegeli, Under Different Salinities</t>
        </is>
      </c>
      <c r="CG204" t="inlineStr">
        <is>
          <t>Chemosphere81(2): 228-234</t>
        </is>
      </c>
      <c r="CH204" t="n">
        <v>2010.0</v>
      </c>
      <c r="CI204" t="inlineStr">
        <is>
          <t>Jeon,J., H.K. Lim, K. Kannan, and S.D. Kim (2010). Effect of Perfluorooctanesulfonate on Osmoregulation in Marine Fish, Sebastes schlegeli, Under Different Salinities. Chemosphere, 81, (2), 228-234. doi:10.1016/j.chemosphere.2010.06.037. ECOREF#:175199</t>
        </is>
      </c>
    </row>
    <row r="205">
      <c r="A205" t="n">
        <v>2795393.0</v>
      </c>
      <c r="B205" t="inlineStr">
        <is>
          <t>1,1,2,2,3,3,4,4,5,5,6,6,7,7,8,8,8-Heptadecafluoro-1-octanesulfonic acid potassium salt</t>
        </is>
      </c>
      <c r="C205"/>
      <c r="D205" t="inlineStr">
        <is>
          <t>Unmeasured</t>
        </is>
      </c>
      <c r="E205" t="inlineStr">
        <is>
          <t>&gt;</t>
        </is>
      </c>
      <c r="F205" t="n">
        <v>97.0</v>
      </c>
      <c r="G205"/>
      <c r="H205"/>
      <c r="I205"/>
      <c r="J205"/>
      <c r="K205" t="inlineStr">
        <is>
          <t>Takifugu rubripes</t>
        </is>
      </c>
      <c r="L205" t="inlineStr">
        <is>
          <t>Tiger Puffer</t>
        </is>
      </c>
      <c r="M205" t="inlineStr">
        <is>
          <t>Fish</t>
        </is>
      </c>
      <c r="N205"/>
      <c r="O205"/>
      <c r="P205"/>
      <c r="Q205"/>
      <c r="R205"/>
      <c r="S205"/>
      <c r="T205"/>
      <c r="U205"/>
      <c r="V205" t="inlineStr">
        <is>
          <t>Intraperitoneal</t>
        </is>
      </c>
      <c r="W205" t="inlineStr">
        <is>
          <t>Salt water</t>
        </is>
      </c>
      <c r="X205" t="inlineStr">
        <is>
          <t>Lab</t>
        </is>
      </c>
      <c r="Y205" t="n">
        <v>2.0</v>
      </c>
      <c r="Z205" t="inlineStr">
        <is>
          <t>Active ingredient</t>
        </is>
      </c>
      <c r="AA205"/>
      <c r="AB205" t="n">
        <v>1.92</v>
      </c>
      <c r="AC205"/>
      <c r="AD205"/>
      <c r="AE205"/>
      <c r="AF205"/>
      <c r="AG205" t="inlineStr">
        <is>
          <t>umol/kg bdwt</t>
        </is>
      </c>
      <c r="AH205"/>
      <c r="AI205"/>
      <c r="AJ205"/>
      <c r="AK205"/>
      <c r="AL205"/>
      <c r="AM205"/>
      <c r="AN205"/>
      <c r="AO205"/>
      <c r="AP205"/>
      <c r="AQ205"/>
      <c r="AR205"/>
      <c r="AS205"/>
      <c r="AT205"/>
      <c r="AU205"/>
      <c r="AV205"/>
      <c r="AW205"/>
      <c r="AX205" t="inlineStr">
        <is>
          <t>Accumulation</t>
        </is>
      </c>
      <c r="AY205" t="inlineStr">
        <is>
          <t>Residue</t>
        </is>
      </c>
      <c r="AZ205"/>
      <c r="BA205" t="inlineStr">
        <is>
          <t>Multiple entries</t>
        </is>
      </c>
      <c r="BB205"/>
      <c r="BC205"/>
      <c r="BD205"/>
      <c r="BE205" t="n">
        <v>0.0</v>
      </c>
      <c r="BF205"/>
      <c r="BG205" t="n">
        <v>14.0</v>
      </c>
      <c r="BH205" t="inlineStr">
        <is>
          <t>Day(s)</t>
        </is>
      </c>
      <c r="BI205"/>
      <c r="BJ205"/>
      <c r="BK205"/>
      <c r="BL205"/>
      <c r="BM205"/>
      <c r="BN205"/>
      <c r="BO205" t="inlineStr">
        <is>
          <t>--</t>
        </is>
      </c>
      <c r="BP205"/>
      <c r="BQ205"/>
      <c r="BR205"/>
      <c r="BS205"/>
      <c r="BT205"/>
      <c r="BU205"/>
      <c r="BV205"/>
      <c r="BW205"/>
      <c r="BX205"/>
      <c r="BY205"/>
      <c r="BZ205"/>
      <c r="CA205"/>
      <c r="CB205"/>
      <c r="CC205"/>
      <c r="CD205" t="inlineStr">
        <is>
          <t>Honda,M., A. Muta, A. Shimazaki, T. Akasaka, M. Yoshikuni, Y. Shimasaki, and Y. Oshima</t>
        </is>
      </c>
      <c r="CE205" t="n">
        <v>177160.0</v>
      </c>
      <c r="CF205" t="inlineStr">
        <is>
          <t>High Concentrations of Perfluorooctane Sulfonate in Mucus of Tiger Puffer Fish Takifugu rubripes: A Laboratory Exposure Study</t>
        </is>
      </c>
      <c r="CG205" t="inlineStr">
        <is>
          <t>Environ. Sci. Pollut. Res. Int.25(2): 1551-1558</t>
        </is>
      </c>
      <c r="CH205" t="n">
        <v>2018.0</v>
      </c>
      <c r="CI205" t="inlineStr">
        <is>
          <t>Honda,M., A. Muta, A. Shimazaki, T. Akasaka, M. Yoshikuni, Y. Shimasaki, and Y. Oshima (2018). High Concentrations of Perfluorooctane Sulfonate in Mucus of Tiger Puffer Fish Takifugu rubripes: A Laboratory Exposure Study. Environ. Sci. Pollut. Res. Int., 25, (2), 1551-1558. doi:10.1007/s11356-017-0537-6. ECOREF#:177160</t>
        </is>
      </c>
    </row>
    <row r="206">
      <c r="A206" t="n">
        <v>2795393.0</v>
      </c>
      <c r="B206" t="inlineStr">
        <is>
          <t>1,1,2,2,3,3,4,4,5,5,6,6,7,7,8,8,8-Heptadecafluoro-1-octanesulfonic acid potassium salt</t>
        </is>
      </c>
      <c r="C206"/>
      <c r="D206" t="inlineStr">
        <is>
          <t>Measured</t>
        </is>
      </c>
      <c r="E206" t="inlineStr">
        <is>
          <t>&gt;</t>
        </is>
      </c>
      <c r="F206" t="n">
        <v>98.0</v>
      </c>
      <c r="G206"/>
      <c r="H206"/>
      <c r="I206"/>
      <c r="J206"/>
      <c r="K206" t="inlineStr">
        <is>
          <t>Anguilla anguilla</t>
        </is>
      </c>
      <c r="L206" t="inlineStr">
        <is>
          <t>Common Eel</t>
        </is>
      </c>
      <c r="M206" t="inlineStr">
        <is>
          <t>Fish</t>
        </is>
      </c>
      <c r="N206"/>
      <c r="O206"/>
      <c r="P206"/>
      <c r="Q206"/>
      <c r="R206"/>
      <c r="S206"/>
      <c r="T206"/>
      <c r="U206"/>
      <c r="V206" t="inlineStr">
        <is>
          <t>Renewal</t>
        </is>
      </c>
      <c r="W206" t="inlineStr">
        <is>
          <t>Fresh water</t>
        </is>
      </c>
      <c r="X206" t="inlineStr">
        <is>
          <t>Lab</t>
        </is>
      </c>
      <c r="Y206" t="n">
        <v>3.0</v>
      </c>
      <c r="Z206" t="inlineStr">
        <is>
          <t>Active ingredient</t>
        </is>
      </c>
      <c r="AA206"/>
      <c r="AB206"/>
      <c r="AC206"/>
      <c r="AD206" t="n">
        <v>8.1E-4</v>
      </c>
      <c r="AE206"/>
      <c r="AF206" t="n">
        <v>0.011</v>
      </c>
      <c r="AG206" t="inlineStr">
        <is>
          <t>AI mg/L</t>
        </is>
      </c>
      <c r="AH206"/>
      <c r="AI206"/>
      <c r="AJ206"/>
      <c r="AK206"/>
      <c r="AL206"/>
      <c r="AM206"/>
      <c r="AN206"/>
      <c r="AO206"/>
      <c r="AP206"/>
      <c r="AQ206"/>
      <c r="AR206"/>
      <c r="AS206"/>
      <c r="AT206"/>
      <c r="AU206"/>
      <c r="AV206"/>
      <c r="AW206"/>
      <c r="AX206" t="inlineStr">
        <is>
          <t>Accumulation</t>
        </is>
      </c>
      <c r="AY206" t="inlineStr">
        <is>
          <t>Residue</t>
        </is>
      </c>
      <c r="AZ206"/>
      <c r="BA206" t="inlineStr">
        <is>
          <t>Liver</t>
        </is>
      </c>
      <c r="BB206"/>
      <c r="BC206" t="n">
        <v>28.0</v>
      </c>
      <c r="BD206"/>
      <c r="BE206"/>
      <c r="BF206"/>
      <c r="BG206"/>
      <c r="BH206" t="inlineStr">
        <is>
          <t>Day(s)</t>
        </is>
      </c>
      <c r="BI206"/>
      <c r="BJ206"/>
      <c r="BK206"/>
      <c r="BL206"/>
      <c r="BM206"/>
      <c r="BN206"/>
      <c r="BO206" t="inlineStr">
        <is>
          <t>--</t>
        </is>
      </c>
      <c r="BP206"/>
      <c r="BQ206"/>
      <c r="BR206"/>
      <c r="BS206"/>
      <c r="BT206"/>
      <c r="BU206"/>
      <c r="BV206"/>
      <c r="BW206"/>
      <c r="BX206"/>
      <c r="BY206"/>
      <c r="BZ206"/>
      <c r="CA206"/>
      <c r="CB206"/>
      <c r="CC206"/>
      <c r="CD206" t="inlineStr">
        <is>
          <t>Roland,K., P. Kestemont, R. Loos, S. Tavazzi, B. Paracchini, C. Belpaire, M. Dieu, M. Raes, and F. Silvestre</t>
        </is>
      </c>
      <c r="CE206" t="n">
        <v>175716.0</v>
      </c>
      <c r="CF206" t="inlineStr">
        <is>
          <t>Looking for Protein Expression Signatures in European Eel Peripheral Blood Mononuclear Cells After In Vivo Exposure to Perfluorooctane Sulfonate and a Real World Field Study</t>
        </is>
      </c>
      <c r="CG206" t="inlineStr">
        <is>
          <t>Sci. Total Environ.468/469:958-967</t>
        </is>
      </c>
      <c r="CH206" t="n">
        <v>2014.0</v>
      </c>
      <c r="CI206" t="inlineStr">
        <is>
          <t>Roland,K., P. Kestemont, R. Loos, S. Tavazzi, B. Paracchini, C. Belpaire, M. Dieu, M. Raes, and F. Silvestre (2014). Looking for Protein Expression Signatures in European Eel Peripheral Blood Mononuclear Cells After In Vivo Exposure to Perfluorooctane Sulfonate and a Real World Field Study. Sci. Total Environ., 468/469, 958-967. doi:10.1016/j.scitotenv.2013.07.110. ECOREF#:175716</t>
        </is>
      </c>
    </row>
    <row r="207">
      <c r="A207" t="n">
        <v>2795393.0</v>
      </c>
      <c r="B207" t="inlineStr">
        <is>
          <t>1,1,2,2,3,3,4,4,5,5,6,6,7,7,8,8,8-Heptadecafluoro-1-octanesulfonic acid potassium salt</t>
        </is>
      </c>
      <c r="C207"/>
      <c r="D207" t="inlineStr">
        <is>
          <t>Unmeasured</t>
        </is>
      </c>
      <c r="E207"/>
      <c r="F207" t="n">
        <v>99.0</v>
      </c>
      <c r="G207"/>
      <c r="H207"/>
      <c r="I207"/>
      <c r="J207"/>
      <c r="K207" t="inlineStr">
        <is>
          <t>Sebastes schlegelii</t>
        </is>
      </c>
      <c r="L207" t="inlineStr">
        <is>
          <t>Jacopever</t>
        </is>
      </c>
      <c r="M207" t="inlineStr">
        <is>
          <t>Fish</t>
        </is>
      </c>
      <c r="N207"/>
      <c r="O207"/>
      <c r="P207" t="n">
        <v>5.0</v>
      </c>
      <c r="Q207"/>
      <c r="R207"/>
      <c r="S207"/>
      <c r="T207"/>
      <c r="U207" t="inlineStr">
        <is>
          <t>Month(s)</t>
        </is>
      </c>
      <c r="V207" t="inlineStr">
        <is>
          <t>Renewal</t>
        </is>
      </c>
      <c r="W207" t="inlineStr">
        <is>
          <t>Salt water</t>
        </is>
      </c>
      <c r="X207" t="inlineStr">
        <is>
          <t>Lab</t>
        </is>
      </c>
      <c r="Y207" t="n">
        <v>3.0</v>
      </c>
      <c r="Z207" t="inlineStr">
        <is>
          <t>Active ingredient</t>
        </is>
      </c>
      <c r="AA207"/>
      <c r="AB207"/>
      <c r="AC207"/>
      <c r="AD207" t="n">
        <v>0.1</v>
      </c>
      <c r="AE207"/>
      <c r="AF207" t="n">
        <v>1.0</v>
      </c>
      <c r="AG207" t="inlineStr">
        <is>
          <t>AI mg/L</t>
        </is>
      </c>
      <c r="AH207"/>
      <c r="AI207"/>
      <c r="AJ207"/>
      <c r="AK207"/>
      <c r="AL207"/>
      <c r="AM207"/>
      <c r="AN207"/>
      <c r="AO207"/>
      <c r="AP207"/>
      <c r="AQ207"/>
      <c r="AR207"/>
      <c r="AS207"/>
      <c r="AT207"/>
      <c r="AU207"/>
      <c r="AV207"/>
      <c r="AW207"/>
      <c r="AX207" t="inlineStr">
        <is>
          <t>Accumulation</t>
        </is>
      </c>
      <c r="AY207" t="inlineStr">
        <is>
          <t>Residue</t>
        </is>
      </c>
      <c r="AZ207"/>
      <c r="BA207" t="inlineStr">
        <is>
          <t>Serum</t>
        </is>
      </c>
      <c r="BB207"/>
      <c r="BC207" t="n">
        <v>6.0</v>
      </c>
      <c r="BD207"/>
      <c r="BE207"/>
      <c r="BF207"/>
      <c r="BG207"/>
      <c r="BH207" t="inlineStr">
        <is>
          <t>Day(s)</t>
        </is>
      </c>
      <c r="BI207"/>
      <c r="BJ207"/>
      <c r="BK207"/>
      <c r="BL207"/>
      <c r="BM207"/>
      <c r="BN207"/>
      <c r="BO207" t="inlineStr">
        <is>
          <t>--</t>
        </is>
      </c>
      <c r="BP207"/>
      <c r="BQ207"/>
      <c r="BR207"/>
      <c r="BS207"/>
      <c r="BT207"/>
      <c r="BU207"/>
      <c r="BV207"/>
      <c r="BW207"/>
      <c r="BX207"/>
      <c r="BY207"/>
      <c r="BZ207"/>
      <c r="CA207"/>
      <c r="CB207"/>
      <c r="CC207"/>
      <c r="CD207" t="inlineStr">
        <is>
          <t>Jeon,J., H.K. Lim, K. Kannan, and S.D. Kim</t>
        </is>
      </c>
      <c r="CE207" t="n">
        <v>175199.0</v>
      </c>
      <c r="CF207" t="inlineStr">
        <is>
          <t>Effect of Perfluorooctanesulfonate on Osmoregulation in Marine Fish, Sebastes schlegeli, Under Different Salinities</t>
        </is>
      </c>
      <c r="CG207" t="inlineStr">
        <is>
          <t>Chemosphere81(2): 228-234</t>
        </is>
      </c>
      <c r="CH207" t="n">
        <v>2010.0</v>
      </c>
      <c r="CI207" t="inlineStr">
        <is>
          <t>Jeon,J., H.K. Lim, K. Kannan, and S.D. Kim (2010). Effect of Perfluorooctanesulfonate on Osmoregulation in Marine Fish, Sebastes schlegeli, Under Different Salinities. Chemosphere, 81, (2), 228-234. doi:10.1016/j.chemosphere.2010.06.037. ECOREF#:175199</t>
        </is>
      </c>
    </row>
    <row r="208">
      <c r="A208" t="n">
        <v>2795393.0</v>
      </c>
      <c r="B208" t="inlineStr">
        <is>
          <t>1,1,2,2,3,3,4,4,5,5,6,6,7,7,8,8,8-Heptadecafluoro-1-octanesulfonic acid potassium salt</t>
        </is>
      </c>
      <c r="C208"/>
      <c r="D208" t="inlineStr">
        <is>
          <t>Unmeasured</t>
        </is>
      </c>
      <c r="E208"/>
      <c r="F208" t="n">
        <v>99.0</v>
      </c>
      <c r="G208"/>
      <c r="H208"/>
      <c r="I208"/>
      <c r="J208"/>
      <c r="K208" t="inlineStr">
        <is>
          <t>Sebastes schlegelii</t>
        </is>
      </c>
      <c r="L208" t="inlineStr">
        <is>
          <t>Jacopever</t>
        </is>
      </c>
      <c r="M208" t="inlineStr">
        <is>
          <t>Fish</t>
        </is>
      </c>
      <c r="N208"/>
      <c r="O208"/>
      <c r="P208" t="n">
        <v>5.0</v>
      </c>
      <c r="Q208"/>
      <c r="R208"/>
      <c r="S208"/>
      <c r="T208"/>
      <c r="U208" t="inlineStr">
        <is>
          <t>Month(s)</t>
        </is>
      </c>
      <c r="V208" t="inlineStr">
        <is>
          <t>Renewal</t>
        </is>
      </c>
      <c r="W208" t="inlineStr">
        <is>
          <t>Salt water</t>
        </is>
      </c>
      <c r="X208" t="inlineStr">
        <is>
          <t>Lab</t>
        </is>
      </c>
      <c r="Y208" t="n">
        <v>3.0</v>
      </c>
      <c r="Z208" t="inlineStr">
        <is>
          <t>Active ingredient</t>
        </is>
      </c>
      <c r="AA208"/>
      <c r="AB208"/>
      <c r="AC208"/>
      <c r="AD208" t="n">
        <v>0.1</v>
      </c>
      <c r="AE208"/>
      <c r="AF208" t="n">
        <v>1.0</v>
      </c>
      <c r="AG208" t="inlineStr">
        <is>
          <t>AI mg/L</t>
        </is>
      </c>
      <c r="AH208"/>
      <c r="AI208"/>
      <c r="AJ208"/>
      <c r="AK208"/>
      <c r="AL208"/>
      <c r="AM208"/>
      <c r="AN208"/>
      <c r="AO208"/>
      <c r="AP208"/>
      <c r="AQ208"/>
      <c r="AR208"/>
      <c r="AS208"/>
      <c r="AT208"/>
      <c r="AU208"/>
      <c r="AV208"/>
      <c r="AW208"/>
      <c r="AX208" t="inlineStr">
        <is>
          <t>Accumulation</t>
        </is>
      </c>
      <c r="AY208" t="inlineStr">
        <is>
          <t>Residue</t>
        </is>
      </c>
      <c r="AZ208"/>
      <c r="BA208" t="inlineStr">
        <is>
          <t>Liver</t>
        </is>
      </c>
      <c r="BB208"/>
      <c r="BC208" t="n">
        <v>6.0</v>
      </c>
      <c r="BD208"/>
      <c r="BE208"/>
      <c r="BF208"/>
      <c r="BG208"/>
      <c r="BH208" t="inlineStr">
        <is>
          <t>Day(s)</t>
        </is>
      </c>
      <c r="BI208"/>
      <c r="BJ208"/>
      <c r="BK208"/>
      <c r="BL208"/>
      <c r="BM208"/>
      <c r="BN208"/>
      <c r="BO208" t="inlineStr">
        <is>
          <t>--</t>
        </is>
      </c>
      <c r="BP208"/>
      <c r="BQ208"/>
      <c r="BR208"/>
      <c r="BS208"/>
      <c r="BT208"/>
      <c r="BU208"/>
      <c r="BV208"/>
      <c r="BW208"/>
      <c r="BX208"/>
      <c r="BY208"/>
      <c r="BZ208"/>
      <c r="CA208"/>
      <c r="CB208"/>
      <c r="CC208"/>
      <c r="CD208" t="inlineStr">
        <is>
          <t>Jeon,J., H.K. Lim, K. Kannan, and S.D. Kim</t>
        </is>
      </c>
      <c r="CE208" t="n">
        <v>175199.0</v>
      </c>
      <c r="CF208" t="inlineStr">
        <is>
          <t>Effect of Perfluorooctanesulfonate on Osmoregulation in Marine Fish, Sebastes schlegeli, Under Different Salinities</t>
        </is>
      </c>
      <c r="CG208" t="inlineStr">
        <is>
          <t>Chemosphere81(2): 228-234</t>
        </is>
      </c>
      <c r="CH208" t="n">
        <v>2010.0</v>
      </c>
      <c r="CI208" t="inlineStr">
        <is>
          <t>Jeon,J., H.K. Lim, K. Kannan, and S.D. Kim (2010). Effect of Perfluorooctanesulfonate on Osmoregulation in Marine Fish, Sebastes schlegeli, Under Different Salinities. Chemosphere, 81, (2), 228-234. doi:10.1016/j.chemosphere.2010.06.037. ECOREF#:175199</t>
        </is>
      </c>
    </row>
    <row r="209">
      <c r="A209" t="n">
        <v>2795393.0</v>
      </c>
      <c r="B209" t="inlineStr">
        <is>
          <t>1,1,2,2,3,3,4,4,5,5,6,6,7,7,8,8,8-Heptadecafluoro-1-octanesulfonic acid potassium salt</t>
        </is>
      </c>
      <c r="C209"/>
      <c r="D209" t="inlineStr">
        <is>
          <t>Unmeasured</t>
        </is>
      </c>
      <c r="E209"/>
      <c r="F209" t="n">
        <v>99.0</v>
      </c>
      <c r="G209"/>
      <c r="H209"/>
      <c r="I209"/>
      <c r="J209"/>
      <c r="K209" t="inlineStr">
        <is>
          <t>Sebastes schlegelii</t>
        </is>
      </c>
      <c r="L209" t="inlineStr">
        <is>
          <t>Jacopever</t>
        </is>
      </c>
      <c r="M209" t="inlineStr">
        <is>
          <t>Fish</t>
        </is>
      </c>
      <c r="N209"/>
      <c r="O209"/>
      <c r="P209" t="n">
        <v>5.0</v>
      </c>
      <c r="Q209"/>
      <c r="R209"/>
      <c r="S209"/>
      <c r="T209"/>
      <c r="U209" t="inlineStr">
        <is>
          <t>Month(s)</t>
        </is>
      </c>
      <c r="V209" t="inlineStr">
        <is>
          <t>Renewal</t>
        </is>
      </c>
      <c r="W209" t="inlineStr">
        <is>
          <t>Salt water</t>
        </is>
      </c>
      <c r="X209" t="inlineStr">
        <is>
          <t>Lab</t>
        </is>
      </c>
      <c r="Y209" t="n">
        <v>3.0</v>
      </c>
      <c r="Z209" t="inlineStr">
        <is>
          <t>Active ingredient</t>
        </is>
      </c>
      <c r="AA209"/>
      <c r="AB209"/>
      <c r="AC209"/>
      <c r="AD209" t="n">
        <v>0.1</v>
      </c>
      <c r="AE209"/>
      <c r="AF209" t="n">
        <v>1.0</v>
      </c>
      <c r="AG209" t="inlineStr">
        <is>
          <t>AI mg/L</t>
        </is>
      </c>
      <c r="AH209"/>
      <c r="AI209"/>
      <c r="AJ209"/>
      <c r="AK209"/>
      <c r="AL209"/>
      <c r="AM209"/>
      <c r="AN209"/>
      <c r="AO209"/>
      <c r="AP209"/>
      <c r="AQ209"/>
      <c r="AR209"/>
      <c r="AS209"/>
      <c r="AT209"/>
      <c r="AU209"/>
      <c r="AV209"/>
      <c r="AW209"/>
      <c r="AX209" t="inlineStr">
        <is>
          <t>Accumulation</t>
        </is>
      </c>
      <c r="AY209" t="inlineStr">
        <is>
          <t>Residue</t>
        </is>
      </c>
      <c r="AZ209"/>
      <c r="BA209" t="inlineStr">
        <is>
          <t>Serum</t>
        </is>
      </c>
      <c r="BB209"/>
      <c r="BC209" t="n">
        <v>6.0</v>
      </c>
      <c r="BD209"/>
      <c r="BE209"/>
      <c r="BF209"/>
      <c r="BG209"/>
      <c r="BH209" t="inlineStr">
        <is>
          <t>Day(s)</t>
        </is>
      </c>
      <c r="BI209"/>
      <c r="BJ209"/>
      <c r="BK209"/>
      <c r="BL209"/>
      <c r="BM209"/>
      <c r="BN209"/>
      <c r="BO209" t="inlineStr">
        <is>
          <t>--</t>
        </is>
      </c>
      <c r="BP209"/>
      <c r="BQ209"/>
      <c r="BR209"/>
      <c r="BS209"/>
      <c r="BT209"/>
      <c r="BU209"/>
      <c r="BV209"/>
      <c r="BW209"/>
      <c r="BX209"/>
      <c r="BY209"/>
      <c r="BZ209"/>
      <c r="CA209"/>
      <c r="CB209"/>
      <c r="CC209"/>
      <c r="CD209" t="inlineStr">
        <is>
          <t>Jeon,J., H.K. Lim, K. Kannan, and S.D. Kim</t>
        </is>
      </c>
      <c r="CE209" t="n">
        <v>175199.0</v>
      </c>
      <c r="CF209" t="inlineStr">
        <is>
          <t>Effect of Perfluorooctanesulfonate on Osmoregulation in Marine Fish, Sebastes schlegeli, Under Different Salinities</t>
        </is>
      </c>
      <c r="CG209" t="inlineStr">
        <is>
          <t>Chemosphere81(2): 228-234</t>
        </is>
      </c>
      <c r="CH209" t="n">
        <v>2010.0</v>
      </c>
      <c r="CI209" t="inlineStr">
        <is>
          <t>Jeon,J., H.K. Lim, K. Kannan, and S.D. Kim (2010). Effect of Perfluorooctanesulfonate on Osmoregulation in Marine Fish, Sebastes schlegeli, Under Different Salinities. Chemosphere, 81, (2), 228-234. doi:10.1016/j.chemosphere.2010.06.037. ECOREF#:175199</t>
        </is>
      </c>
    </row>
    <row r="210">
      <c r="A210" t="n">
        <v>2795393.0</v>
      </c>
      <c r="B210" t="inlineStr">
        <is>
          <t>1,1,2,2,3,3,4,4,5,5,6,6,7,7,8,8,8-Heptadecafluoro-1-octanesulfonic acid potassium salt</t>
        </is>
      </c>
      <c r="C210"/>
      <c r="D210" t="inlineStr">
        <is>
          <t>Unmeasured</t>
        </is>
      </c>
      <c r="E210"/>
      <c r="F210" t="n">
        <v>99.0</v>
      </c>
      <c r="G210"/>
      <c r="H210"/>
      <c r="I210"/>
      <c r="J210"/>
      <c r="K210" t="inlineStr">
        <is>
          <t>Sebastes schlegelii</t>
        </is>
      </c>
      <c r="L210" t="inlineStr">
        <is>
          <t>Jacopever</t>
        </is>
      </c>
      <c r="M210" t="inlineStr">
        <is>
          <t>Fish</t>
        </is>
      </c>
      <c r="N210"/>
      <c r="O210"/>
      <c r="P210" t="n">
        <v>5.0</v>
      </c>
      <c r="Q210"/>
      <c r="R210"/>
      <c r="S210"/>
      <c r="T210"/>
      <c r="U210" t="inlineStr">
        <is>
          <t>Month(s)</t>
        </is>
      </c>
      <c r="V210" t="inlineStr">
        <is>
          <t>Renewal</t>
        </is>
      </c>
      <c r="W210" t="inlineStr">
        <is>
          <t>Salt water</t>
        </is>
      </c>
      <c r="X210" t="inlineStr">
        <is>
          <t>Lab</t>
        </is>
      </c>
      <c r="Y210" t="n">
        <v>3.0</v>
      </c>
      <c r="Z210" t="inlineStr">
        <is>
          <t>Active ingredient</t>
        </is>
      </c>
      <c r="AA210"/>
      <c r="AB210"/>
      <c r="AC210"/>
      <c r="AD210" t="n">
        <v>0.1</v>
      </c>
      <c r="AE210"/>
      <c r="AF210" t="n">
        <v>1.0</v>
      </c>
      <c r="AG210" t="inlineStr">
        <is>
          <t>AI mg/L</t>
        </is>
      </c>
      <c r="AH210"/>
      <c r="AI210"/>
      <c r="AJ210"/>
      <c r="AK210"/>
      <c r="AL210"/>
      <c r="AM210"/>
      <c r="AN210"/>
      <c r="AO210"/>
      <c r="AP210"/>
      <c r="AQ210"/>
      <c r="AR210"/>
      <c r="AS210"/>
      <c r="AT210"/>
      <c r="AU210"/>
      <c r="AV210"/>
      <c r="AW210"/>
      <c r="AX210" t="inlineStr">
        <is>
          <t>Accumulation</t>
        </is>
      </c>
      <c r="AY210" t="inlineStr">
        <is>
          <t>Residue</t>
        </is>
      </c>
      <c r="AZ210"/>
      <c r="BA210" t="inlineStr">
        <is>
          <t>Liver</t>
        </is>
      </c>
      <c r="BB210"/>
      <c r="BC210" t="n">
        <v>6.0</v>
      </c>
      <c r="BD210"/>
      <c r="BE210"/>
      <c r="BF210"/>
      <c r="BG210"/>
      <c r="BH210" t="inlineStr">
        <is>
          <t>Day(s)</t>
        </is>
      </c>
      <c r="BI210"/>
      <c r="BJ210"/>
      <c r="BK210"/>
      <c r="BL210"/>
      <c r="BM210"/>
      <c r="BN210"/>
      <c r="BO210" t="inlineStr">
        <is>
          <t>--</t>
        </is>
      </c>
      <c r="BP210"/>
      <c r="BQ210"/>
      <c r="BR210"/>
      <c r="BS210"/>
      <c r="BT210"/>
      <c r="BU210"/>
      <c r="BV210"/>
      <c r="BW210"/>
      <c r="BX210"/>
      <c r="BY210"/>
      <c r="BZ210"/>
      <c r="CA210"/>
      <c r="CB210"/>
      <c r="CC210"/>
      <c r="CD210" t="inlineStr">
        <is>
          <t>Jeon,J., H.K. Lim, K. Kannan, and S.D. Kim</t>
        </is>
      </c>
      <c r="CE210" t="n">
        <v>175199.0</v>
      </c>
      <c r="CF210" t="inlineStr">
        <is>
          <t>Effect of Perfluorooctanesulfonate on Osmoregulation in Marine Fish, Sebastes schlegeli, Under Different Salinities</t>
        </is>
      </c>
      <c r="CG210" t="inlineStr">
        <is>
          <t>Chemosphere81(2): 228-234</t>
        </is>
      </c>
      <c r="CH210" t="n">
        <v>2010.0</v>
      </c>
      <c r="CI210" t="inlineStr">
        <is>
          <t>Jeon,J., H.K. Lim, K. Kannan, and S.D. Kim (2010). Effect of Perfluorooctanesulfonate on Osmoregulation in Marine Fish, Sebastes schlegeli, Under Different Salinities. Chemosphere, 81, (2), 228-234. doi:10.1016/j.chemosphere.2010.06.037. ECOREF#:175199</t>
        </is>
      </c>
    </row>
    <row r="211">
      <c r="A211" t="n">
        <v>2795393.0</v>
      </c>
      <c r="B211" t="inlineStr">
        <is>
          <t>1,1,2,2,3,3,4,4,5,5,6,6,7,7,8,8,8-Heptadecafluoro-1-octanesulfonic acid potassium salt</t>
        </is>
      </c>
      <c r="C211"/>
      <c r="D211" t="inlineStr">
        <is>
          <t>Measured</t>
        </is>
      </c>
      <c r="E211"/>
      <c r="F211" t="n">
        <v>98.0</v>
      </c>
      <c r="G211"/>
      <c r="H211"/>
      <c r="I211"/>
      <c r="J211"/>
      <c r="K211" t="inlineStr">
        <is>
          <t>Cyprinus carpio</t>
        </is>
      </c>
      <c r="L211" t="inlineStr">
        <is>
          <t>Common Carp</t>
        </is>
      </c>
      <c r="M211" t="inlineStr">
        <is>
          <t>Fish; Standard Test Species</t>
        </is>
      </c>
      <c r="N211" t="inlineStr">
        <is>
          <t>Juvenile</t>
        </is>
      </c>
      <c r="O211"/>
      <c r="P211" t="n">
        <v>4.0</v>
      </c>
      <c r="Q211"/>
      <c r="R211"/>
      <c r="S211"/>
      <c r="T211"/>
      <c r="U211" t="inlineStr">
        <is>
          <t>Month(s)</t>
        </is>
      </c>
      <c r="V211" t="inlineStr">
        <is>
          <t>Renewal</t>
        </is>
      </c>
      <c r="W211" t="inlineStr">
        <is>
          <t>Fresh water</t>
        </is>
      </c>
      <c r="X211" t="inlineStr">
        <is>
          <t>Lab</t>
        </is>
      </c>
      <c r="Y211" t="n">
        <v>2.0</v>
      </c>
      <c r="Z211" t="inlineStr">
        <is>
          <t>Active ingredient</t>
        </is>
      </c>
      <c r="AA211"/>
      <c r="AB211"/>
      <c r="AC211"/>
      <c r="AD211" t="n">
        <v>4.0E-4</v>
      </c>
      <c r="AE211"/>
      <c r="AF211" t="n">
        <v>5.5E-4</v>
      </c>
      <c r="AG211" t="inlineStr">
        <is>
          <t>AI mg/L</t>
        </is>
      </c>
      <c r="AH211"/>
      <c r="AI211"/>
      <c r="AJ211"/>
      <c r="AK211"/>
      <c r="AL211"/>
      <c r="AM211"/>
      <c r="AN211"/>
      <c r="AO211"/>
      <c r="AP211"/>
      <c r="AQ211"/>
      <c r="AR211"/>
      <c r="AS211"/>
      <c r="AT211"/>
      <c r="AU211"/>
      <c r="AV211"/>
      <c r="AW211"/>
      <c r="AX211" t="inlineStr">
        <is>
          <t>Accumulation</t>
        </is>
      </c>
      <c r="AY211" t="inlineStr">
        <is>
          <t>Residue</t>
        </is>
      </c>
      <c r="AZ211" t="inlineStr">
        <is>
          <t>BAF</t>
        </is>
      </c>
      <c r="BA211" t="inlineStr">
        <is>
          <t>Muscle</t>
        </is>
      </c>
      <c r="BB211"/>
      <c r="BC211" t="n">
        <v>28.0</v>
      </c>
      <c r="BD211"/>
      <c r="BE211"/>
      <c r="BF211"/>
      <c r="BG211"/>
      <c r="BH211" t="inlineStr">
        <is>
          <t>Day(s)</t>
        </is>
      </c>
      <c r="BI211"/>
      <c r="BJ211" t="n">
        <v>900.0</v>
      </c>
      <c r="BK211"/>
      <c r="BL211"/>
      <c r="BM211"/>
      <c r="BN211"/>
      <c r="BO211" t="inlineStr">
        <is>
          <t>L/kg</t>
        </is>
      </c>
      <c r="BP211"/>
      <c r="BQ211"/>
      <c r="BR211"/>
      <c r="BS211"/>
      <c r="BT211"/>
      <c r="BU211"/>
      <c r="BV211"/>
      <c r="BW211"/>
      <c r="BX211"/>
      <c r="BY211"/>
      <c r="BZ211"/>
      <c r="CA211"/>
      <c r="CB211"/>
      <c r="CC211"/>
      <c r="CD211" t="inlineStr">
        <is>
          <t>Qiang,L., M. Chen, L. Zhu, W. Wu, and Q. Wang</t>
        </is>
      </c>
      <c r="CE211" t="n">
        <v>177202.0</v>
      </c>
      <c r="CF211" t="inlineStr">
        <is>
          <t>Facilitated Bioaccumulation of Perfluorooctanesulfonate in Common Carp (Cyprinus carpio) by Graphene Oxide and Remission Mechanism of Fulvic Acid</t>
        </is>
      </c>
      <c r="CG211" t="inlineStr">
        <is>
          <t>Environ. Sci. Technol.50(21): 11627-11636</t>
        </is>
      </c>
      <c r="CH211" t="n">
        <v>2016.0</v>
      </c>
      <c r="CI211" t="inlineStr">
        <is>
          <t>Qiang,L., M. Chen, L. Zhu, W. Wu, and Q. Wang (2016). Facilitated Bioaccumulation of Perfluorooctanesulfonate in Common Carp (Cyprinus carpio) by Graphene Oxide and Remission Mechanism of Fulvic Acid. Environ. Sci. Technol., 50, (21), 11627-11636. doi:10.1021/acs.est.6b02100. ECOREF#:177202</t>
        </is>
      </c>
    </row>
    <row r="212">
      <c r="A212" t="n">
        <v>2795393.0</v>
      </c>
      <c r="B212" t="inlineStr">
        <is>
          <t>1,1,2,2,3,3,4,4,5,5,6,6,7,7,8,8,8-Heptadecafluoro-1-octanesulfonic acid potassium salt</t>
        </is>
      </c>
      <c r="C212"/>
      <c r="D212" t="inlineStr">
        <is>
          <t>Measured</t>
        </is>
      </c>
      <c r="E212"/>
      <c r="F212" t="n">
        <v>98.0</v>
      </c>
      <c r="G212"/>
      <c r="H212"/>
      <c r="I212"/>
      <c r="J212"/>
      <c r="K212" t="inlineStr">
        <is>
          <t>Cyprinus carpio</t>
        </is>
      </c>
      <c r="L212" t="inlineStr">
        <is>
          <t>Common Carp</t>
        </is>
      </c>
      <c r="M212" t="inlineStr">
        <is>
          <t>Fish; Standard Test Species</t>
        </is>
      </c>
      <c r="N212" t="inlineStr">
        <is>
          <t>Juvenile</t>
        </is>
      </c>
      <c r="O212"/>
      <c r="P212" t="n">
        <v>4.0</v>
      </c>
      <c r="Q212"/>
      <c r="R212"/>
      <c r="S212"/>
      <c r="T212"/>
      <c r="U212" t="inlineStr">
        <is>
          <t>Month(s)</t>
        </is>
      </c>
      <c r="V212" t="inlineStr">
        <is>
          <t>Renewal</t>
        </is>
      </c>
      <c r="W212" t="inlineStr">
        <is>
          <t>Fresh water</t>
        </is>
      </c>
      <c r="X212" t="inlineStr">
        <is>
          <t>Lab</t>
        </is>
      </c>
      <c r="Y212" t="n">
        <v>2.0</v>
      </c>
      <c r="Z212" t="inlineStr">
        <is>
          <t>Active ingredient</t>
        </is>
      </c>
      <c r="AA212"/>
      <c r="AB212"/>
      <c r="AC212"/>
      <c r="AD212" t="n">
        <v>4.0E-4</v>
      </c>
      <c r="AE212"/>
      <c r="AF212" t="n">
        <v>5.5E-4</v>
      </c>
      <c r="AG212" t="inlineStr">
        <is>
          <t>AI mg/L</t>
        </is>
      </c>
      <c r="AH212"/>
      <c r="AI212"/>
      <c r="AJ212"/>
      <c r="AK212"/>
      <c r="AL212"/>
      <c r="AM212"/>
      <c r="AN212"/>
      <c r="AO212"/>
      <c r="AP212"/>
      <c r="AQ212"/>
      <c r="AR212"/>
      <c r="AS212"/>
      <c r="AT212"/>
      <c r="AU212"/>
      <c r="AV212"/>
      <c r="AW212"/>
      <c r="AX212" t="inlineStr">
        <is>
          <t>Accumulation</t>
        </is>
      </c>
      <c r="AY212" t="inlineStr">
        <is>
          <t>Residue</t>
        </is>
      </c>
      <c r="AZ212" t="inlineStr">
        <is>
          <t>BAF</t>
        </is>
      </c>
      <c r="BA212" t="inlineStr">
        <is>
          <t>Intestinal tract</t>
        </is>
      </c>
      <c r="BB212"/>
      <c r="BC212" t="n">
        <v>28.0</v>
      </c>
      <c r="BD212"/>
      <c r="BE212"/>
      <c r="BF212"/>
      <c r="BG212"/>
      <c r="BH212" t="inlineStr">
        <is>
          <t>Day(s)</t>
        </is>
      </c>
      <c r="BI212"/>
      <c r="BJ212" t="n">
        <v>4671.0</v>
      </c>
      <c r="BK212"/>
      <c r="BL212"/>
      <c r="BM212"/>
      <c r="BN212"/>
      <c r="BO212" t="inlineStr">
        <is>
          <t>L/kg</t>
        </is>
      </c>
      <c r="BP212"/>
      <c r="BQ212"/>
      <c r="BR212"/>
      <c r="BS212"/>
      <c r="BT212"/>
      <c r="BU212"/>
      <c r="BV212"/>
      <c r="BW212"/>
      <c r="BX212"/>
      <c r="BY212"/>
      <c r="BZ212"/>
      <c r="CA212"/>
      <c r="CB212"/>
      <c r="CC212"/>
      <c r="CD212" t="inlineStr">
        <is>
          <t>Qiang,L., M. Chen, L. Zhu, W. Wu, and Q. Wang</t>
        </is>
      </c>
      <c r="CE212" t="n">
        <v>177202.0</v>
      </c>
      <c r="CF212" t="inlineStr">
        <is>
          <t>Facilitated Bioaccumulation of Perfluorooctanesulfonate in Common Carp (Cyprinus carpio) by Graphene Oxide and Remission Mechanism of Fulvic Acid</t>
        </is>
      </c>
      <c r="CG212" t="inlineStr">
        <is>
          <t>Environ. Sci. Technol.50(21): 11627-11636</t>
        </is>
      </c>
      <c r="CH212" t="n">
        <v>2016.0</v>
      </c>
      <c r="CI212" t="inlineStr">
        <is>
          <t>Qiang,L., M. Chen, L. Zhu, W. Wu, and Q. Wang (2016). Facilitated Bioaccumulation of Perfluorooctanesulfonate in Common Carp (Cyprinus carpio) by Graphene Oxide and Remission Mechanism of Fulvic Acid. Environ. Sci. Technol., 50, (21), 11627-11636. doi:10.1021/acs.est.6b02100. ECOREF#:177202</t>
        </is>
      </c>
    </row>
    <row r="213">
      <c r="A213" t="n">
        <v>2795393.0</v>
      </c>
      <c r="B213" t="inlineStr">
        <is>
          <t>1,1,2,2,3,3,4,4,5,5,6,6,7,7,8,8,8-Heptadecafluoro-1-octanesulfonic acid potassium salt</t>
        </is>
      </c>
      <c r="C213"/>
      <c r="D213" t="inlineStr">
        <is>
          <t>Measured</t>
        </is>
      </c>
      <c r="E213"/>
      <c r="F213" t="n">
        <v>98.0</v>
      </c>
      <c r="G213"/>
      <c r="H213"/>
      <c r="I213"/>
      <c r="J213"/>
      <c r="K213" t="inlineStr">
        <is>
          <t>Cyprinus carpio</t>
        </is>
      </c>
      <c r="L213" t="inlineStr">
        <is>
          <t>Common Carp</t>
        </is>
      </c>
      <c r="M213" t="inlineStr">
        <is>
          <t>Fish; Standard Test Species</t>
        </is>
      </c>
      <c r="N213" t="inlineStr">
        <is>
          <t>Juvenile</t>
        </is>
      </c>
      <c r="O213"/>
      <c r="P213" t="n">
        <v>4.0</v>
      </c>
      <c r="Q213"/>
      <c r="R213"/>
      <c r="S213"/>
      <c r="T213"/>
      <c r="U213" t="inlineStr">
        <is>
          <t>Month(s)</t>
        </is>
      </c>
      <c r="V213" t="inlineStr">
        <is>
          <t>Renewal</t>
        </is>
      </c>
      <c r="W213" t="inlineStr">
        <is>
          <t>Fresh water</t>
        </is>
      </c>
      <c r="X213" t="inlineStr">
        <is>
          <t>Lab</t>
        </is>
      </c>
      <c r="Y213" t="n">
        <v>2.0</v>
      </c>
      <c r="Z213" t="inlineStr">
        <is>
          <t>Active ingredient</t>
        </is>
      </c>
      <c r="AA213"/>
      <c r="AB213"/>
      <c r="AC213"/>
      <c r="AD213" t="n">
        <v>4.0E-4</v>
      </c>
      <c r="AE213"/>
      <c r="AF213" t="n">
        <v>5.5E-4</v>
      </c>
      <c r="AG213" t="inlineStr">
        <is>
          <t>AI mg/L</t>
        </is>
      </c>
      <c r="AH213"/>
      <c r="AI213"/>
      <c r="AJ213"/>
      <c r="AK213"/>
      <c r="AL213"/>
      <c r="AM213"/>
      <c r="AN213"/>
      <c r="AO213"/>
      <c r="AP213"/>
      <c r="AQ213"/>
      <c r="AR213"/>
      <c r="AS213"/>
      <c r="AT213"/>
      <c r="AU213"/>
      <c r="AV213"/>
      <c r="AW213"/>
      <c r="AX213" t="inlineStr">
        <is>
          <t>Accumulation</t>
        </is>
      </c>
      <c r="AY213" t="inlineStr">
        <is>
          <t>Residue</t>
        </is>
      </c>
      <c r="AZ213" t="inlineStr">
        <is>
          <t>BAF</t>
        </is>
      </c>
      <c r="BA213" t="inlineStr">
        <is>
          <t>Gill(s)</t>
        </is>
      </c>
      <c r="BB213"/>
      <c r="BC213" t="n">
        <v>28.0</v>
      </c>
      <c r="BD213"/>
      <c r="BE213"/>
      <c r="BF213"/>
      <c r="BG213"/>
      <c r="BH213" t="inlineStr">
        <is>
          <t>Day(s)</t>
        </is>
      </c>
      <c r="BI213"/>
      <c r="BJ213" t="n">
        <v>5349.0</v>
      </c>
      <c r="BK213"/>
      <c r="BL213"/>
      <c r="BM213"/>
      <c r="BN213"/>
      <c r="BO213" t="inlineStr">
        <is>
          <t>L/kg</t>
        </is>
      </c>
      <c r="BP213"/>
      <c r="BQ213"/>
      <c r="BR213"/>
      <c r="BS213"/>
      <c r="BT213"/>
      <c r="BU213"/>
      <c r="BV213"/>
      <c r="BW213"/>
      <c r="BX213"/>
      <c r="BY213"/>
      <c r="BZ213"/>
      <c r="CA213"/>
      <c r="CB213"/>
      <c r="CC213"/>
      <c r="CD213" t="inlineStr">
        <is>
          <t>Qiang,L., M. Chen, L. Zhu, W. Wu, and Q. Wang</t>
        </is>
      </c>
      <c r="CE213" t="n">
        <v>177202.0</v>
      </c>
      <c r="CF213" t="inlineStr">
        <is>
          <t>Facilitated Bioaccumulation of Perfluorooctanesulfonate in Common Carp (Cyprinus carpio) by Graphene Oxide and Remission Mechanism of Fulvic Acid</t>
        </is>
      </c>
      <c r="CG213" t="inlineStr">
        <is>
          <t>Environ. Sci. Technol.50(21): 11627-11636</t>
        </is>
      </c>
      <c r="CH213" t="n">
        <v>2016.0</v>
      </c>
      <c r="CI213" t="inlineStr">
        <is>
          <t>Qiang,L., M. Chen, L. Zhu, W. Wu, and Q. Wang (2016). Facilitated Bioaccumulation of Perfluorooctanesulfonate in Common Carp (Cyprinus carpio) by Graphene Oxide and Remission Mechanism of Fulvic Acid. Environ. Sci. Technol., 50, (21), 11627-11636. doi:10.1021/acs.est.6b02100. ECOREF#:177202</t>
        </is>
      </c>
    </row>
    <row r="214">
      <c r="A214" t="n">
        <v>2795393.0</v>
      </c>
      <c r="B214" t="inlineStr">
        <is>
          <t>1,1,2,2,3,3,4,4,5,5,6,6,7,7,8,8,8-Heptadecafluoro-1-octanesulfonic acid potassium salt</t>
        </is>
      </c>
      <c r="C214"/>
      <c r="D214" t="inlineStr">
        <is>
          <t>Measured</t>
        </is>
      </c>
      <c r="E214"/>
      <c r="F214" t="n">
        <v>98.0</v>
      </c>
      <c r="G214"/>
      <c r="H214"/>
      <c r="I214"/>
      <c r="J214"/>
      <c r="K214" t="inlineStr">
        <is>
          <t>Cyprinus carpio</t>
        </is>
      </c>
      <c r="L214" t="inlineStr">
        <is>
          <t>Common Carp</t>
        </is>
      </c>
      <c r="M214" t="inlineStr">
        <is>
          <t>Fish; Standard Test Species</t>
        </is>
      </c>
      <c r="N214" t="inlineStr">
        <is>
          <t>Juvenile</t>
        </is>
      </c>
      <c r="O214"/>
      <c r="P214" t="n">
        <v>4.0</v>
      </c>
      <c r="Q214"/>
      <c r="R214"/>
      <c r="S214"/>
      <c r="T214"/>
      <c r="U214" t="inlineStr">
        <is>
          <t>Month(s)</t>
        </is>
      </c>
      <c r="V214" t="inlineStr">
        <is>
          <t>Renewal</t>
        </is>
      </c>
      <c r="W214" t="inlineStr">
        <is>
          <t>Fresh water</t>
        </is>
      </c>
      <c r="X214" t="inlineStr">
        <is>
          <t>Lab</t>
        </is>
      </c>
      <c r="Y214" t="n">
        <v>2.0</v>
      </c>
      <c r="Z214" t="inlineStr">
        <is>
          <t>Active ingredient</t>
        </is>
      </c>
      <c r="AA214"/>
      <c r="AB214"/>
      <c r="AC214"/>
      <c r="AD214" t="n">
        <v>4.0E-4</v>
      </c>
      <c r="AE214"/>
      <c r="AF214" t="n">
        <v>5.5E-4</v>
      </c>
      <c r="AG214" t="inlineStr">
        <is>
          <t>AI mg/L</t>
        </is>
      </c>
      <c r="AH214"/>
      <c r="AI214"/>
      <c r="AJ214"/>
      <c r="AK214"/>
      <c r="AL214"/>
      <c r="AM214"/>
      <c r="AN214"/>
      <c r="AO214"/>
      <c r="AP214"/>
      <c r="AQ214"/>
      <c r="AR214"/>
      <c r="AS214"/>
      <c r="AT214"/>
      <c r="AU214"/>
      <c r="AV214"/>
      <c r="AW214"/>
      <c r="AX214" t="inlineStr">
        <is>
          <t>Accumulation</t>
        </is>
      </c>
      <c r="AY214" t="inlineStr">
        <is>
          <t>Residue</t>
        </is>
      </c>
      <c r="AZ214" t="inlineStr">
        <is>
          <t>BAF</t>
        </is>
      </c>
      <c r="BA214" t="inlineStr">
        <is>
          <t>Liver</t>
        </is>
      </c>
      <c r="BB214"/>
      <c r="BC214" t="n">
        <v>28.0</v>
      </c>
      <c r="BD214"/>
      <c r="BE214"/>
      <c r="BF214"/>
      <c r="BG214"/>
      <c r="BH214" t="inlineStr">
        <is>
          <t>Day(s)</t>
        </is>
      </c>
      <c r="BI214"/>
      <c r="BJ214" t="n">
        <v>8715.0</v>
      </c>
      <c r="BK214"/>
      <c r="BL214"/>
      <c r="BM214"/>
      <c r="BN214"/>
      <c r="BO214" t="inlineStr">
        <is>
          <t>L/kg</t>
        </is>
      </c>
      <c r="BP214"/>
      <c r="BQ214"/>
      <c r="BR214"/>
      <c r="BS214"/>
      <c r="BT214"/>
      <c r="BU214"/>
      <c r="BV214"/>
      <c r="BW214"/>
      <c r="BX214"/>
      <c r="BY214"/>
      <c r="BZ214"/>
      <c r="CA214"/>
      <c r="CB214"/>
      <c r="CC214"/>
      <c r="CD214" t="inlineStr">
        <is>
          <t>Qiang,L., M. Chen, L. Zhu, W. Wu, and Q. Wang</t>
        </is>
      </c>
      <c r="CE214" t="n">
        <v>177202.0</v>
      </c>
      <c r="CF214" t="inlineStr">
        <is>
          <t>Facilitated Bioaccumulation of Perfluorooctanesulfonate in Common Carp (Cyprinus carpio) by Graphene Oxide and Remission Mechanism of Fulvic Acid</t>
        </is>
      </c>
      <c r="CG214" t="inlineStr">
        <is>
          <t>Environ. Sci. Technol.50(21): 11627-11636</t>
        </is>
      </c>
      <c r="CH214" t="n">
        <v>2016.0</v>
      </c>
      <c r="CI214" t="inlineStr">
        <is>
          <t>Qiang,L., M. Chen, L. Zhu, W. Wu, and Q. Wang (2016). Facilitated Bioaccumulation of Perfluorooctanesulfonate in Common Carp (Cyprinus carpio) by Graphene Oxide and Remission Mechanism of Fulvic Acid. Environ. Sci. Technol., 50, (21), 11627-11636. doi:10.1021/acs.est.6b02100. ECOREF#:177202</t>
        </is>
      </c>
    </row>
    <row r="215">
      <c r="A215" t="n">
        <v>2795393.0</v>
      </c>
      <c r="B215" t="inlineStr">
        <is>
          <t>1,1,2,2,3,3,4,4,5,5,6,6,7,7,8,8,8-Heptadecafluoro-1-octanesulfonic acid potassium salt</t>
        </is>
      </c>
      <c r="C215"/>
      <c r="D215" t="inlineStr">
        <is>
          <t>Measured</t>
        </is>
      </c>
      <c r="E215"/>
      <c r="F215" t="n">
        <v>98.0</v>
      </c>
      <c r="G215"/>
      <c r="H215"/>
      <c r="I215"/>
      <c r="J215"/>
      <c r="K215" t="inlineStr">
        <is>
          <t>Danio rerio</t>
        </is>
      </c>
      <c r="L215" t="inlineStr">
        <is>
          <t>Zebra Danio</t>
        </is>
      </c>
      <c r="M215" t="inlineStr">
        <is>
          <t>Fish; Standard Test Species</t>
        </is>
      </c>
      <c r="N215"/>
      <c r="O215"/>
      <c r="P215"/>
      <c r="Q215"/>
      <c r="R215"/>
      <c r="S215"/>
      <c r="T215"/>
      <c r="U215"/>
      <c r="V215" t="inlineStr">
        <is>
          <t>Renewal</t>
        </is>
      </c>
      <c r="W215" t="inlineStr">
        <is>
          <t>Fresh water</t>
        </is>
      </c>
      <c r="X215" t="inlineStr">
        <is>
          <t>Lab</t>
        </is>
      </c>
      <c r="Y215" t="n">
        <v>2.0</v>
      </c>
      <c r="Z215" t="inlineStr">
        <is>
          <t>Active ingredient</t>
        </is>
      </c>
      <c r="AA215"/>
      <c r="AB215"/>
      <c r="AC215"/>
      <c r="AD215" t="n">
        <v>3.0E-4</v>
      </c>
      <c r="AE215"/>
      <c r="AF215" t="n">
        <v>4.0E-4</v>
      </c>
      <c r="AG215" t="inlineStr">
        <is>
          <t>AI mg/L</t>
        </is>
      </c>
      <c r="AH215"/>
      <c r="AI215"/>
      <c r="AJ215"/>
      <c r="AK215"/>
      <c r="AL215"/>
      <c r="AM215"/>
      <c r="AN215"/>
      <c r="AO215"/>
      <c r="AP215"/>
      <c r="AQ215"/>
      <c r="AR215"/>
      <c r="AS215"/>
      <c r="AT215"/>
      <c r="AU215"/>
      <c r="AV215"/>
      <c r="AW215"/>
      <c r="AX215" t="inlineStr">
        <is>
          <t>Accumulation</t>
        </is>
      </c>
      <c r="AY215" t="inlineStr">
        <is>
          <t>Residue</t>
        </is>
      </c>
      <c r="AZ215" t="inlineStr">
        <is>
          <t>BAF</t>
        </is>
      </c>
      <c r="BA215" t="inlineStr">
        <is>
          <t>Whole organism</t>
        </is>
      </c>
      <c r="BB215"/>
      <c r="BC215" t="n">
        <v>58.0</v>
      </c>
      <c r="BD215"/>
      <c r="BE215"/>
      <c r="BF215"/>
      <c r="BG215"/>
      <c r="BH215" t="inlineStr">
        <is>
          <t>Day(s)</t>
        </is>
      </c>
      <c r="BI215"/>
      <c r="BJ215" t="n">
        <v>10000.0</v>
      </c>
      <c r="BK215"/>
      <c r="BL215"/>
      <c r="BM215"/>
      <c r="BN215"/>
      <c r="BO215" t="inlineStr">
        <is>
          <t>RA</t>
        </is>
      </c>
      <c r="BP215"/>
      <c r="BQ215"/>
      <c r="BR215"/>
      <c r="BS215"/>
      <c r="BT215"/>
      <c r="BU215"/>
      <c r="BV215"/>
      <c r="BW215"/>
      <c r="BX215"/>
      <c r="BY215"/>
      <c r="BZ215"/>
      <c r="CA215"/>
      <c r="CB215"/>
      <c r="CC215"/>
      <c r="CD215" t="inlineStr">
        <is>
          <t>Qiang,L., X. Pan, L. Zhu, S. Fang, and S. Tian</t>
        </is>
      </c>
      <c r="CE215" t="n">
        <v>177094.0</v>
      </c>
      <c r="CF215" t="inlineStr">
        <is>
          <t>Effects of Nano-TiO2 on Perfluorooctanesulfonate Bioaccumulation in Fishes Living in Different Water Layers: Implications for Enhanced Risk of Perfluorooctanesulfonate</t>
        </is>
      </c>
      <c r="CG215" t="inlineStr">
        <is>
          <t>Nanotoxicology10(4): 471-479</t>
        </is>
      </c>
      <c r="CH215" t="n">
        <v>2016.0</v>
      </c>
      <c r="CI215"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216">
      <c r="A216" t="n">
        <v>2795393.0</v>
      </c>
      <c r="B216" t="inlineStr">
        <is>
          <t>1,1,2,2,3,3,4,4,5,5,6,6,7,7,8,8,8-Heptadecafluoro-1-octanesulfonic acid potassium salt</t>
        </is>
      </c>
      <c r="C216"/>
      <c r="D216" t="inlineStr">
        <is>
          <t>Measured</t>
        </is>
      </c>
      <c r="E216"/>
      <c r="F216" t="n">
        <v>98.0</v>
      </c>
      <c r="G216"/>
      <c r="H216"/>
      <c r="I216"/>
      <c r="J216"/>
      <c r="K216" t="inlineStr">
        <is>
          <t>Cyprinus carpio</t>
        </is>
      </c>
      <c r="L216" t="inlineStr">
        <is>
          <t>Common Carp</t>
        </is>
      </c>
      <c r="M216" t="inlineStr">
        <is>
          <t>Fish; Standard Test Species</t>
        </is>
      </c>
      <c r="N216" t="inlineStr">
        <is>
          <t>Juvenile</t>
        </is>
      </c>
      <c r="O216"/>
      <c r="P216" t="n">
        <v>4.0</v>
      </c>
      <c r="Q216"/>
      <c r="R216"/>
      <c r="S216"/>
      <c r="T216"/>
      <c r="U216" t="inlineStr">
        <is>
          <t>Month(s)</t>
        </is>
      </c>
      <c r="V216" t="inlineStr">
        <is>
          <t>Renewal</t>
        </is>
      </c>
      <c r="W216" t="inlineStr">
        <is>
          <t>Fresh water</t>
        </is>
      </c>
      <c r="X216" t="inlineStr">
        <is>
          <t>Lab</t>
        </is>
      </c>
      <c r="Y216" t="n">
        <v>2.0</v>
      </c>
      <c r="Z216" t="inlineStr">
        <is>
          <t>Active ingredient</t>
        </is>
      </c>
      <c r="AA216"/>
      <c r="AB216"/>
      <c r="AC216"/>
      <c r="AD216" t="n">
        <v>4.0E-4</v>
      </c>
      <c r="AE216"/>
      <c r="AF216" t="n">
        <v>5.5E-4</v>
      </c>
      <c r="AG216" t="inlineStr">
        <is>
          <t>AI mg/L</t>
        </is>
      </c>
      <c r="AH216"/>
      <c r="AI216"/>
      <c r="AJ216"/>
      <c r="AK216"/>
      <c r="AL216"/>
      <c r="AM216"/>
      <c r="AN216"/>
      <c r="AO216"/>
      <c r="AP216"/>
      <c r="AQ216"/>
      <c r="AR216"/>
      <c r="AS216"/>
      <c r="AT216"/>
      <c r="AU216"/>
      <c r="AV216"/>
      <c r="AW216"/>
      <c r="AX216" t="inlineStr">
        <is>
          <t>Accumulation</t>
        </is>
      </c>
      <c r="AY216" t="inlineStr">
        <is>
          <t>Residue</t>
        </is>
      </c>
      <c r="AZ216" t="inlineStr">
        <is>
          <t>BAF</t>
        </is>
      </c>
      <c r="BA216" t="inlineStr">
        <is>
          <t>Kidney</t>
        </is>
      </c>
      <c r="BB216"/>
      <c r="BC216" t="n">
        <v>28.0</v>
      </c>
      <c r="BD216"/>
      <c r="BE216"/>
      <c r="BF216"/>
      <c r="BG216"/>
      <c r="BH216" t="inlineStr">
        <is>
          <t>Day(s)</t>
        </is>
      </c>
      <c r="BI216"/>
      <c r="BJ216" t="n">
        <v>11292.0</v>
      </c>
      <c r="BK216"/>
      <c r="BL216"/>
      <c r="BM216"/>
      <c r="BN216"/>
      <c r="BO216" t="inlineStr">
        <is>
          <t>L/kg</t>
        </is>
      </c>
      <c r="BP216"/>
      <c r="BQ216"/>
      <c r="BR216"/>
      <c r="BS216"/>
      <c r="BT216"/>
      <c r="BU216"/>
      <c r="BV216"/>
      <c r="BW216"/>
      <c r="BX216"/>
      <c r="BY216"/>
      <c r="BZ216"/>
      <c r="CA216"/>
      <c r="CB216"/>
      <c r="CC216"/>
      <c r="CD216" t="inlineStr">
        <is>
          <t>Qiang,L., M. Chen, L. Zhu, W. Wu, and Q. Wang</t>
        </is>
      </c>
      <c r="CE216" t="n">
        <v>177202.0</v>
      </c>
      <c r="CF216" t="inlineStr">
        <is>
          <t>Facilitated Bioaccumulation of Perfluorooctanesulfonate in Common Carp (Cyprinus carpio) by Graphene Oxide and Remission Mechanism of Fulvic Acid</t>
        </is>
      </c>
      <c r="CG216" t="inlineStr">
        <is>
          <t>Environ. Sci. Technol.50(21): 11627-11636</t>
        </is>
      </c>
      <c r="CH216" t="n">
        <v>2016.0</v>
      </c>
      <c r="CI216" t="inlineStr">
        <is>
          <t>Qiang,L., M. Chen, L. Zhu, W. Wu, and Q. Wang (2016). Facilitated Bioaccumulation of Perfluorooctanesulfonate in Common Carp (Cyprinus carpio) by Graphene Oxide and Remission Mechanism of Fulvic Acid. Environ. Sci. Technol., 50, (21), 11627-11636. doi:10.1021/acs.est.6b02100. ECOREF#:177202</t>
        </is>
      </c>
    </row>
    <row r="217">
      <c r="A217" t="n">
        <v>2795393.0</v>
      </c>
      <c r="B217" t="inlineStr">
        <is>
          <t>1,1,2,2,3,3,4,4,5,5,6,6,7,7,8,8,8-Heptadecafluoro-1-octanesulfonic acid potassium salt</t>
        </is>
      </c>
      <c r="C217"/>
      <c r="D217" t="inlineStr">
        <is>
          <t>Measured</t>
        </is>
      </c>
      <c r="E217"/>
      <c r="F217" t="n">
        <v>98.0</v>
      </c>
      <c r="G217"/>
      <c r="H217"/>
      <c r="I217"/>
      <c r="J217"/>
      <c r="K217" t="inlineStr">
        <is>
          <t>Cyprinus carpio</t>
        </is>
      </c>
      <c r="L217" t="inlineStr">
        <is>
          <t>Common Carp</t>
        </is>
      </c>
      <c r="M217" t="inlineStr">
        <is>
          <t>Fish; Standard Test Species</t>
        </is>
      </c>
      <c r="N217" t="inlineStr">
        <is>
          <t>Juvenile</t>
        </is>
      </c>
      <c r="O217"/>
      <c r="P217" t="n">
        <v>4.0</v>
      </c>
      <c r="Q217"/>
      <c r="R217"/>
      <c r="S217"/>
      <c r="T217"/>
      <c r="U217" t="inlineStr">
        <is>
          <t>Month(s)</t>
        </is>
      </c>
      <c r="V217" t="inlineStr">
        <is>
          <t>Renewal</t>
        </is>
      </c>
      <c r="W217" t="inlineStr">
        <is>
          <t>Fresh water</t>
        </is>
      </c>
      <c r="X217" t="inlineStr">
        <is>
          <t>Lab</t>
        </is>
      </c>
      <c r="Y217" t="n">
        <v>2.0</v>
      </c>
      <c r="Z217" t="inlineStr">
        <is>
          <t>Active ingredient</t>
        </is>
      </c>
      <c r="AA217"/>
      <c r="AB217"/>
      <c r="AC217"/>
      <c r="AD217" t="n">
        <v>4.0E-4</v>
      </c>
      <c r="AE217"/>
      <c r="AF217" t="n">
        <v>5.5E-4</v>
      </c>
      <c r="AG217" t="inlineStr">
        <is>
          <t>AI mg/L</t>
        </is>
      </c>
      <c r="AH217"/>
      <c r="AI217"/>
      <c r="AJ217"/>
      <c r="AK217"/>
      <c r="AL217"/>
      <c r="AM217"/>
      <c r="AN217"/>
      <c r="AO217"/>
      <c r="AP217"/>
      <c r="AQ217"/>
      <c r="AR217"/>
      <c r="AS217"/>
      <c r="AT217"/>
      <c r="AU217"/>
      <c r="AV217"/>
      <c r="AW217"/>
      <c r="AX217" t="inlineStr">
        <is>
          <t>Accumulation</t>
        </is>
      </c>
      <c r="AY217" t="inlineStr">
        <is>
          <t>Residue</t>
        </is>
      </c>
      <c r="AZ217" t="inlineStr">
        <is>
          <t>BAF</t>
        </is>
      </c>
      <c r="BA217" t="inlineStr">
        <is>
          <t>Blood</t>
        </is>
      </c>
      <c r="BB217"/>
      <c r="BC217" t="n">
        <v>28.0</v>
      </c>
      <c r="BD217"/>
      <c r="BE217"/>
      <c r="BF217"/>
      <c r="BG217"/>
      <c r="BH217" t="inlineStr">
        <is>
          <t>Day(s)</t>
        </is>
      </c>
      <c r="BI217"/>
      <c r="BJ217" t="n">
        <v>16623.0</v>
      </c>
      <c r="BK217"/>
      <c r="BL217"/>
      <c r="BM217"/>
      <c r="BN217"/>
      <c r="BO217" t="inlineStr">
        <is>
          <t>L/kg</t>
        </is>
      </c>
      <c r="BP217"/>
      <c r="BQ217"/>
      <c r="BR217"/>
      <c r="BS217"/>
      <c r="BT217"/>
      <c r="BU217"/>
      <c r="BV217"/>
      <c r="BW217"/>
      <c r="BX217"/>
      <c r="BY217"/>
      <c r="BZ217"/>
      <c r="CA217"/>
      <c r="CB217"/>
      <c r="CC217"/>
      <c r="CD217" t="inlineStr">
        <is>
          <t>Qiang,L., M. Chen, L. Zhu, W. Wu, and Q. Wang</t>
        </is>
      </c>
      <c r="CE217" t="n">
        <v>177202.0</v>
      </c>
      <c r="CF217" t="inlineStr">
        <is>
          <t>Facilitated Bioaccumulation of Perfluorooctanesulfonate in Common Carp (Cyprinus carpio) by Graphene Oxide and Remission Mechanism of Fulvic Acid</t>
        </is>
      </c>
      <c r="CG217" t="inlineStr">
        <is>
          <t>Environ. Sci. Technol.50(21): 11627-11636</t>
        </is>
      </c>
      <c r="CH217" t="n">
        <v>2016.0</v>
      </c>
      <c r="CI217" t="inlineStr">
        <is>
          <t>Qiang,L., M. Chen, L. Zhu, W. Wu, and Q. Wang (2016). Facilitated Bioaccumulation of Perfluorooctanesulfonate in Common Carp (Cyprinus carpio) by Graphene Oxide and Remission Mechanism of Fulvic Acid. Environ. Sci. Technol., 50, (21), 11627-11636. doi:10.1021/acs.est.6b02100. ECOREF#:177202</t>
        </is>
      </c>
    </row>
    <row r="218">
      <c r="A218" t="n">
        <v>2795393.0</v>
      </c>
      <c r="B218" t="inlineStr">
        <is>
          <t>1,1,2,2,3,3,4,4,5,5,6,6,7,7,8,8,8-Heptadecafluoro-1-octanesulfonic acid potassium salt</t>
        </is>
      </c>
      <c r="C218"/>
      <c r="D218" t="inlineStr">
        <is>
          <t>Measured</t>
        </is>
      </c>
      <c r="E218" t="inlineStr">
        <is>
          <t>&gt;=</t>
        </is>
      </c>
      <c r="F218" t="n">
        <v>98.0</v>
      </c>
      <c r="G218"/>
      <c r="H218"/>
      <c r="I218"/>
      <c r="J218"/>
      <c r="K218" t="inlineStr">
        <is>
          <t>Danio rerio</t>
        </is>
      </c>
      <c r="L218" t="inlineStr">
        <is>
          <t>Zebra Danio</t>
        </is>
      </c>
      <c r="M218" t="inlineStr">
        <is>
          <t>Fish; Standard Test Species</t>
        </is>
      </c>
      <c r="N218" t="inlineStr">
        <is>
          <t>Embryo</t>
        </is>
      </c>
      <c r="O218"/>
      <c r="P218" t="n">
        <v>6.0</v>
      </c>
      <c r="Q218"/>
      <c r="R218"/>
      <c r="S218"/>
      <c r="T218"/>
      <c r="U218" t="inlineStr">
        <is>
          <t>Hours post fertilization</t>
        </is>
      </c>
      <c r="V218" t="inlineStr">
        <is>
          <t>Renewal</t>
        </is>
      </c>
      <c r="W218" t="inlineStr">
        <is>
          <t>Culture</t>
        </is>
      </c>
      <c r="X218" t="inlineStr">
        <is>
          <t>Lab</t>
        </is>
      </c>
      <c r="Y218" t="n">
        <v>2.0</v>
      </c>
      <c r="Z218" t="inlineStr">
        <is>
          <t>Active ingredient</t>
        </is>
      </c>
      <c r="AA218"/>
      <c r="AB218"/>
      <c r="AC218"/>
      <c r="AD218" t="n">
        <v>21.8806</v>
      </c>
      <c r="AE218"/>
      <c r="AF218" t="n">
        <v>22.3311</v>
      </c>
      <c r="AG218" t="inlineStr">
        <is>
          <t>AI mg/L</t>
        </is>
      </c>
      <c r="AH218"/>
      <c r="AI218"/>
      <c r="AJ218"/>
      <c r="AK218"/>
      <c r="AL218"/>
      <c r="AM218"/>
      <c r="AN218"/>
      <c r="AO218"/>
      <c r="AP218"/>
      <c r="AQ218"/>
      <c r="AR218"/>
      <c r="AS218"/>
      <c r="AT218"/>
      <c r="AU218"/>
      <c r="AV218"/>
      <c r="AW218"/>
      <c r="AX218" t="inlineStr">
        <is>
          <t>Accumulation</t>
        </is>
      </c>
      <c r="AY218" t="inlineStr">
        <is>
          <t>Residue</t>
        </is>
      </c>
      <c r="AZ218" t="inlineStr">
        <is>
          <t>BCF</t>
        </is>
      </c>
      <c r="BA218" t="inlineStr">
        <is>
          <t>Whole organism</t>
        </is>
      </c>
      <c r="BB218"/>
      <c r="BC218" t="n">
        <v>4.0</v>
      </c>
      <c r="BD218"/>
      <c r="BE218"/>
      <c r="BF218"/>
      <c r="BG218"/>
      <c r="BH218" t="inlineStr">
        <is>
          <t>Day(s)</t>
        </is>
      </c>
      <c r="BI218"/>
      <c r="BJ218" t="n">
        <v>21.0</v>
      </c>
      <c r="BK218"/>
      <c r="BL218"/>
      <c r="BM218"/>
      <c r="BN218"/>
      <c r="BO218" t="inlineStr">
        <is>
          <t>RA</t>
        </is>
      </c>
      <c r="BP218"/>
      <c r="BQ218"/>
      <c r="BR218"/>
      <c r="BS218"/>
      <c r="BT218"/>
      <c r="BU218"/>
      <c r="BV218"/>
      <c r="BW218"/>
      <c r="BX218"/>
      <c r="BY218"/>
      <c r="BZ218"/>
      <c r="CA218"/>
      <c r="CB218"/>
      <c r="CC218"/>
      <c r="CD218" t="inlineStr">
        <is>
          <t xml:space="preserve">Huang, Sun, Mennigen, Liu, S. Liu, Zhang, Wang, and Tu </t>
        </is>
      </c>
      <c r="CE218" t="n">
        <v>185977.0</v>
      </c>
      <c r="CF218" t="inlineStr">
        <is>
          <t>Developmental Toxicity of the Novel PFOS Alternative OBS in Developing Zebrafish: An Emphasis on Cilia Disruption</t>
        </is>
      </c>
      <c r="CG218" t="inlineStr">
        <is>
          <t>J. Hazard. Mater.409:11 p.</t>
        </is>
      </c>
      <c r="CH218" t="n">
        <v>2021.0</v>
      </c>
      <c r="CI218" t="inlineStr">
        <is>
          <t>Huang, Sun, Mennigen, Liu, S. Liu, Zhang, Wang, and Tu  (2021). Developmental Toxicity of the Novel PFOS Alternative OBS in Developing Zebrafish: An Emphasis on Cilia Disruption. J. Hazard. Mater., 409, 11 p. doi:10.1016/j.jhazmat.2020.124491. ECOREF#:185977</t>
        </is>
      </c>
    </row>
    <row r="219">
      <c r="A219" t="n">
        <v>2795393.0</v>
      </c>
      <c r="B219" t="inlineStr">
        <is>
          <t>1,1,2,2,3,3,4,4,5,5,6,6,7,7,8,8,8-Heptadecafluoro-1-octanesulfonic acid potassium salt</t>
        </is>
      </c>
      <c r="C219"/>
      <c r="D219" t="inlineStr">
        <is>
          <t>Measured</t>
        </is>
      </c>
      <c r="E219" t="inlineStr">
        <is>
          <t>&gt;</t>
        </is>
      </c>
      <c r="F219" t="n">
        <v>95.0</v>
      </c>
      <c r="G219"/>
      <c r="H219"/>
      <c r="I219"/>
      <c r="J219"/>
      <c r="K219" t="inlineStr">
        <is>
          <t>Danio rerio</t>
        </is>
      </c>
      <c r="L219" t="inlineStr">
        <is>
          <t>Zebra Danio</t>
        </is>
      </c>
      <c r="M219" t="inlineStr">
        <is>
          <t>Fish; Standard Test Species</t>
        </is>
      </c>
      <c r="N219" t="inlineStr">
        <is>
          <t>Embryo</t>
        </is>
      </c>
      <c r="O219"/>
      <c r="P219" t="n">
        <v>64.0</v>
      </c>
      <c r="Q219"/>
      <c r="R219"/>
      <c r="S219"/>
      <c r="T219"/>
      <c r="U219" t="inlineStr">
        <is>
          <t>Cell stage</t>
        </is>
      </c>
      <c r="V219" t="inlineStr">
        <is>
          <t>Renewal</t>
        </is>
      </c>
      <c r="W219" t="inlineStr">
        <is>
          <t>Culture</t>
        </is>
      </c>
      <c r="X219" t="inlineStr">
        <is>
          <t>Lab</t>
        </is>
      </c>
      <c r="Y219" t="n">
        <v>3.0</v>
      </c>
      <c r="Z219" t="inlineStr">
        <is>
          <t>Active ingredient</t>
        </is>
      </c>
      <c r="AA219"/>
      <c r="AB219" t="n">
        <v>1.806404755</v>
      </c>
      <c r="AC219"/>
      <c r="AD219"/>
      <c r="AE219"/>
      <c r="AF219"/>
      <c r="AG219" t="inlineStr">
        <is>
          <t>AI mg/L</t>
        </is>
      </c>
      <c r="AH219"/>
      <c r="AI219"/>
      <c r="AJ219"/>
      <c r="AK219"/>
      <c r="AL219"/>
      <c r="AM219"/>
      <c r="AN219"/>
      <c r="AO219"/>
      <c r="AP219"/>
      <c r="AQ219"/>
      <c r="AR219"/>
      <c r="AS219"/>
      <c r="AT219"/>
      <c r="AU219"/>
      <c r="AV219"/>
      <c r="AW219"/>
      <c r="AX219" t="inlineStr">
        <is>
          <t>Accumulation</t>
        </is>
      </c>
      <c r="AY219" t="inlineStr">
        <is>
          <t>Residue</t>
        </is>
      </c>
      <c r="AZ219" t="inlineStr">
        <is>
          <t>BCF</t>
        </is>
      </c>
      <c r="BA219" t="inlineStr">
        <is>
          <t>Whole organism</t>
        </is>
      </c>
      <c r="BB219"/>
      <c r="BC219" t="n">
        <v>5.0</v>
      </c>
      <c r="BD219"/>
      <c r="BE219"/>
      <c r="BF219"/>
      <c r="BG219"/>
      <c r="BH219" t="inlineStr">
        <is>
          <t>Day(s) post-fertilization</t>
        </is>
      </c>
      <c r="BI219"/>
      <c r="BJ219" t="n">
        <v>82.0</v>
      </c>
      <c r="BK219"/>
      <c r="BL219"/>
      <c r="BM219"/>
      <c r="BN219"/>
      <c r="BO219" t="inlineStr">
        <is>
          <t>L/kg</t>
        </is>
      </c>
      <c r="BP219"/>
      <c r="BQ219"/>
      <c r="BR219"/>
      <c r="BS219"/>
      <c r="BT219"/>
      <c r="BU219"/>
      <c r="BV219"/>
      <c r="BW219"/>
      <c r="BX219"/>
      <c r="BY219"/>
      <c r="BZ219"/>
      <c r="CA219"/>
      <c r="CB219"/>
      <c r="CC219"/>
      <c r="CD219" t="inlineStr">
        <is>
          <t>Han,J., W. Gu, H. Barrett, D. Yang, S. Tang, J. Sun, J. Liu, H.M. Krause, K.A. Houck, and H. Peng</t>
        </is>
      </c>
      <c r="CE219" t="n">
        <v>190831.0</v>
      </c>
      <c r="CF219" t="inlineStr">
        <is>
          <t>A Roadmap to the Structure-Related Metabolism Pathways of Per- and Polyfluoroalkyl Substances in the Early Life Stages of Zebrafish (Danio rerio)</t>
        </is>
      </c>
      <c r="CG219" t="inlineStr">
        <is>
          <t>Environ. Health Perspect.129(7): 15 p.</t>
        </is>
      </c>
      <c r="CH219" t="n">
        <v>2021.0</v>
      </c>
      <c r="CI219"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220">
      <c r="A220" t="n">
        <v>2795393.0</v>
      </c>
      <c r="B220" t="inlineStr">
        <is>
          <t>1,1,2,2,3,3,4,4,5,5,6,6,7,7,8,8,8-Heptadecafluoro-1-octanesulfonic acid potassium salt</t>
        </is>
      </c>
      <c r="C220"/>
      <c r="D220" t="inlineStr">
        <is>
          <t>Measured</t>
        </is>
      </c>
      <c r="E220"/>
      <c r="F220" t="n">
        <v>98.0</v>
      </c>
      <c r="G220"/>
      <c r="H220"/>
      <c r="I220"/>
      <c r="J220"/>
      <c r="K220" t="inlineStr">
        <is>
          <t>Danio rerio</t>
        </is>
      </c>
      <c r="L220" t="inlineStr">
        <is>
          <t>Zebra Danio</t>
        </is>
      </c>
      <c r="M220" t="inlineStr">
        <is>
          <t>Fish; Standard Test Species</t>
        </is>
      </c>
      <c r="N220" t="inlineStr">
        <is>
          <t>Larva</t>
        </is>
      </c>
      <c r="O220"/>
      <c r="P220" t="n">
        <v>72.0</v>
      </c>
      <c r="Q220"/>
      <c r="R220"/>
      <c r="S220"/>
      <c r="T220"/>
      <c r="U220" t="inlineStr">
        <is>
          <t>Hours post fertilization</t>
        </is>
      </c>
      <c r="V220" t="inlineStr">
        <is>
          <t>Renewal</t>
        </is>
      </c>
      <c r="W220" t="inlineStr">
        <is>
          <t>Fresh water</t>
        </is>
      </c>
      <c r="X220" t="inlineStr">
        <is>
          <t>Lab</t>
        </is>
      </c>
      <c r="Y220" t="n">
        <v>1.0</v>
      </c>
      <c r="Z220" t="inlineStr">
        <is>
          <t>Active ingredient</t>
        </is>
      </c>
      <c r="AA220"/>
      <c r="AB220" t="n">
        <v>0.00955</v>
      </c>
      <c r="AC220"/>
      <c r="AD220"/>
      <c r="AE220"/>
      <c r="AF220"/>
      <c r="AG220" t="inlineStr">
        <is>
          <t>AI mg/L</t>
        </is>
      </c>
      <c r="AH220"/>
      <c r="AI220"/>
      <c r="AJ220"/>
      <c r="AK220"/>
      <c r="AL220"/>
      <c r="AM220"/>
      <c r="AN220"/>
      <c r="AO220"/>
      <c r="AP220"/>
      <c r="AQ220"/>
      <c r="AR220"/>
      <c r="AS220"/>
      <c r="AT220"/>
      <c r="AU220"/>
      <c r="AV220"/>
      <c r="AW220"/>
      <c r="AX220" t="inlineStr">
        <is>
          <t>Accumulation</t>
        </is>
      </c>
      <c r="AY220" t="inlineStr">
        <is>
          <t>Residue</t>
        </is>
      </c>
      <c r="AZ220" t="inlineStr">
        <is>
          <t>BCF</t>
        </is>
      </c>
      <c r="BA220" t="inlineStr">
        <is>
          <t>Whole organism</t>
        </is>
      </c>
      <c r="BB220"/>
      <c r="BC220" t="n">
        <v>2.0</v>
      </c>
      <c r="BD220"/>
      <c r="BE220"/>
      <c r="BF220"/>
      <c r="BG220"/>
      <c r="BH220" t="inlineStr">
        <is>
          <t>Day(s)</t>
        </is>
      </c>
      <c r="BI220"/>
      <c r="BJ220" t="n">
        <v>92.0</v>
      </c>
      <c r="BK220"/>
      <c r="BL220"/>
      <c r="BM220"/>
      <c r="BN220"/>
      <c r="BO220" t="inlineStr">
        <is>
          <t>L/kg</t>
        </is>
      </c>
      <c r="BP220"/>
      <c r="BQ220"/>
      <c r="BR220"/>
      <c r="BS220"/>
      <c r="BT220"/>
      <c r="BU220"/>
      <c r="BV220"/>
      <c r="BW220"/>
      <c r="BX220"/>
      <c r="BY220"/>
      <c r="BZ220"/>
      <c r="CA220"/>
      <c r="CB220"/>
      <c r="CC220"/>
      <c r="CD220" t="inlineStr">
        <is>
          <t>Zou,Y., Y. Wu, Q. Wang, J. Wan, M. Deng, and W. Tu</t>
        </is>
      </c>
      <c r="CE220" t="n">
        <v>185627.0</v>
      </c>
      <c r="CF220" t="inlineStr">
        <is>
          <t>Comparison of Toxicokinetics and Toxic Effects of PFOS and Its Novel Alternative OBS in Zebrafish Larvae</t>
        </is>
      </c>
      <c r="CG220" t="inlineStr">
        <is>
          <t>Chemosphere265:7 p.</t>
        </is>
      </c>
      <c r="CH220" t="n">
        <v>2021.0</v>
      </c>
      <c r="CI220" t="inlineStr">
        <is>
          <t>Zou,Y., Y. Wu, Q. Wang, J. Wan, M. Deng, and W. Tu (2021). Comparison of Toxicokinetics and Toxic Effects of PFOS and Its Novel Alternative OBS in Zebrafish Larvae. Chemosphere, 265, 7 p. doi:10.1016/j.chemosphere.2020.129116. ECOREF#:185627</t>
        </is>
      </c>
    </row>
    <row r="221">
      <c r="A221" t="n">
        <v>2795393.0</v>
      </c>
      <c r="B221" t="inlineStr">
        <is>
          <t>1,1,2,2,3,3,4,4,5,5,6,6,7,7,8,8,8-Heptadecafluoro-1-octanesulfonic acid potassium salt</t>
        </is>
      </c>
      <c r="C221"/>
      <c r="D221" t="inlineStr">
        <is>
          <t>Measured</t>
        </is>
      </c>
      <c r="E221"/>
      <c r="F221" t="n">
        <v>86.9</v>
      </c>
      <c r="G221"/>
      <c r="H221"/>
      <c r="I221"/>
      <c r="J221"/>
      <c r="K221" t="inlineStr">
        <is>
          <t>Lepomis macrochirus</t>
        </is>
      </c>
      <c r="L221" t="inlineStr">
        <is>
          <t>Bluegill</t>
        </is>
      </c>
      <c r="M221" t="inlineStr">
        <is>
          <t>Fish; Standard Test Species</t>
        </is>
      </c>
      <c r="N221" t="inlineStr">
        <is>
          <t>Juvenile</t>
        </is>
      </c>
      <c r="O221" t="inlineStr">
        <is>
          <t>~</t>
        </is>
      </c>
      <c r="P221" t="n">
        <v>7.0</v>
      </c>
      <c r="Q221"/>
      <c r="R221"/>
      <c r="S221"/>
      <c r="T221"/>
      <c r="U221" t="inlineStr">
        <is>
          <t>Month(s)</t>
        </is>
      </c>
      <c r="V221" t="inlineStr">
        <is>
          <t>Flow-through</t>
        </is>
      </c>
      <c r="W221" t="inlineStr">
        <is>
          <t>Fresh water</t>
        </is>
      </c>
      <c r="X221" t="inlineStr">
        <is>
          <t>Lab</t>
        </is>
      </c>
      <c r="Y221" t="n">
        <v>3.0</v>
      </c>
      <c r="Z221" t="inlineStr">
        <is>
          <t>Active ingredient</t>
        </is>
      </c>
      <c r="AA221"/>
      <c r="AB221" t="n">
        <v>0.87</v>
      </c>
      <c r="AC221"/>
      <c r="AD221"/>
      <c r="AE221"/>
      <c r="AF221"/>
      <c r="AG221" t="inlineStr">
        <is>
          <t>AI mg/L</t>
        </is>
      </c>
      <c r="AH221"/>
      <c r="AI221"/>
      <c r="AJ221"/>
      <c r="AK221"/>
      <c r="AL221"/>
      <c r="AM221"/>
      <c r="AN221"/>
      <c r="AO221"/>
      <c r="AP221"/>
      <c r="AQ221"/>
      <c r="AR221"/>
      <c r="AS221"/>
      <c r="AT221"/>
      <c r="AU221"/>
      <c r="AV221"/>
      <c r="AW221"/>
      <c r="AX221" t="inlineStr">
        <is>
          <t>Accumulation</t>
        </is>
      </c>
      <c r="AY221" t="inlineStr">
        <is>
          <t>Residue</t>
        </is>
      </c>
      <c r="AZ221" t="inlineStr">
        <is>
          <t>BCF</t>
        </is>
      </c>
      <c r="BA221" t="inlineStr">
        <is>
          <t>Edible tissue</t>
        </is>
      </c>
      <c r="BB221"/>
      <c r="BC221" t="n">
        <v>28.0</v>
      </c>
      <c r="BD221"/>
      <c r="BE221"/>
      <c r="BF221"/>
      <c r="BG221"/>
      <c r="BH221" t="inlineStr">
        <is>
          <t>Day(s)</t>
        </is>
      </c>
      <c r="BI221"/>
      <c r="BJ221" t="n">
        <v>136.0</v>
      </c>
      <c r="BK221"/>
      <c r="BL221"/>
      <c r="BM221"/>
      <c r="BN221"/>
      <c r="BO221" t="inlineStr">
        <is>
          <t>L/kg</t>
        </is>
      </c>
      <c r="BP221"/>
      <c r="BQ221"/>
      <c r="BR221"/>
      <c r="BS221"/>
      <c r="BT221"/>
      <c r="BU221"/>
      <c r="BV221"/>
      <c r="BW221"/>
      <c r="BX221"/>
      <c r="BY221"/>
      <c r="BZ221"/>
      <c r="CA221"/>
      <c r="CB221"/>
      <c r="CC221"/>
      <c r="CD221" t="inlineStr">
        <is>
          <t>Drottar,K.R., R.L. VanHoven, and H.O. Krueger</t>
        </is>
      </c>
      <c r="CE221" t="n">
        <v>175359.0</v>
      </c>
      <c r="CF221" t="inlineStr">
        <is>
          <t>Perfluorooctanesulfonate, Potassium Salt (PFOS): A Flow-Through Bioconcentration Test with the Bluegill (Lepomis macrochirus)</t>
        </is>
      </c>
      <c r="CG221" t="inlineStr">
        <is>
          <t>Project 454A-134, Wildlife International Ltd., Easton, MD:129 p.</t>
        </is>
      </c>
      <c r="CH221" t="n">
        <v>2001.0</v>
      </c>
      <c r="CI221" t="inlineStr">
        <is>
          <t>Drottar,K.R., R.L. VanHoven, and H.O. Krueger (2001). Perfluorooctanesulfonate, Potassium Salt (PFOS): A Flow-Through Bioconcentration Test with the Bluegill (Lepomis macrochirus). Project 454A-134, Wildlife International Ltd., Easton, MD, 129 p. ECOREF#:175359</t>
        </is>
      </c>
    </row>
    <row r="222">
      <c r="A222" t="n">
        <v>2795393.0</v>
      </c>
      <c r="B222" t="inlineStr">
        <is>
          <t>1,1,2,2,3,3,4,4,5,5,6,6,7,7,8,8,8-Heptadecafluoro-1-octanesulfonic acid potassium salt</t>
        </is>
      </c>
      <c r="C222"/>
      <c r="D222" t="inlineStr">
        <is>
          <t>Measured</t>
        </is>
      </c>
      <c r="E222" t="inlineStr">
        <is>
          <t>&gt;=</t>
        </is>
      </c>
      <c r="F222" t="n">
        <v>98.0</v>
      </c>
      <c r="G222"/>
      <c r="H222"/>
      <c r="I222"/>
      <c r="J222"/>
      <c r="K222" t="inlineStr">
        <is>
          <t>Danio rerio</t>
        </is>
      </c>
      <c r="L222" t="inlineStr">
        <is>
          <t>Zebra Danio</t>
        </is>
      </c>
      <c r="M222" t="inlineStr">
        <is>
          <t>Fish; Standard Test Species</t>
        </is>
      </c>
      <c r="N222" t="inlineStr">
        <is>
          <t>Adult</t>
        </is>
      </c>
      <c r="O222"/>
      <c r="P222"/>
      <c r="Q222"/>
      <c r="R222"/>
      <c r="S222"/>
      <c r="T222"/>
      <c r="U222"/>
      <c r="V222" t="inlineStr">
        <is>
          <t>Renewal</t>
        </is>
      </c>
      <c r="W222" t="inlineStr">
        <is>
          <t>Fresh water</t>
        </is>
      </c>
      <c r="X222" t="inlineStr">
        <is>
          <t>Lab</t>
        </is>
      </c>
      <c r="Y222" t="n">
        <v>2.0</v>
      </c>
      <c r="Z222" t="inlineStr">
        <is>
          <t>Active ingredient</t>
        </is>
      </c>
      <c r="AA222"/>
      <c r="AB222"/>
      <c r="AC222"/>
      <c r="AD222" t="n">
        <v>0.4292233388</v>
      </c>
      <c r="AE222"/>
      <c r="AF222" t="n">
        <v>0.4324586906</v>
      </c>
      <c r="AG222" t="inlineStr">
        <is>
          <t>AI mg/L</t>
        </is>
      </c>
      <c r="AH222"/>
      <c r="AI222"/>
      <c r="AJ222"/>
      <c r="AK222"/>
      <c r="AL222"/>
      <c r="AM222"/>
      <c r="AN222"/>
      <c r="AO222"/>
      <c r="AP222"/>
      <c r="AQ222"/>
      <c r="AR222"/>
      <c r="AS222"/>
      <c r="AT222"/>
      <c r="AU222"/>
      <c r="AV222"/>
      <c r="AW222"/>
      <c r="AX222" t="inlineStr">
        <is>
          <t>Accumulation</t>
        </is>
      </c>
      <c r="AY222" t="inlineStr">
        <is>
          <t>Residue</t>
        </is>
      </c>
      <c r="AZ222" t="inlineStr">
        <is>
          <t>BCF</t>
        </is>
      </c>
      <c r="BA222" t="inlineStr">
        <is>
          <t>Brain</t>
        </is>
      </c>
      <c r="BB222"/>
      <c r="BC222" t="n">
        <v>21.0</v>
      </c>
      <c r="BD222"/>
      <c r="BE222"/>
      <c r="BF222"/>
      <c r="BG222"/>
      <c r="BH222" t="inlineStr">
        <is>
          <t>Day(s)</t>
        </is>
      </c>
      <c r="BI222"/>
      <c r="BJ222" t="n">
        <v>154.4</v>
      </c>
      <c r="BK222"/>
      <c r="BL222"/>
      <c r="BM222"/>
      <c r="BN222"/>
      <c r="BO222" t="inlineStr">
        <is>
          <t>RA</t>
        </is>
      </c>
      <c r="BP222"/>
      <c r="BQ222"/>
      <c r="BR222"/>
      <c r="BS222"/>
      <c r="BT222"/>
      <c r="BU222"/>
      <c r="BV222"/>
      <c r="BW222"/>
      <c r="BX222"/>
      <c r="BY222"/>
      <c r="BZ222"/>
      <c r="CA222"/>
      <c r="CB222"/>
      <c r="CC222"/>
      <c r="CD222" t="inlineStr">
        <is>
          <t>Wang,Q., X. Gu, Y. Liu, S. Liu, W. Lu, Y. Wu, H. Lu, J. Huang, and W. Tu</t>
        </is>
      </c>
      <c r="CE222" t="n">
        <v>191254.0</v>
      </c>
      <c r="CF222" t="inlineStr">
        <is>
          <t>Insights into the Circadian Rhythm Alterations of the Novel PFOS Substitutes F-53B and OBS on Adult Zebrafish</t>
        </is>
      </c>
      <c r="CG222" t="inlineStr">
        <is>
          <t>J. Hazard. Mater.448:11 p.</t>
        </is>
      </c>
      <c r="CH222" t="n">
        <v>2023.0</v>
      </c>
      <c r="CI222" t="inlineStr">
        <is>
          <t>Wang,Q., X. Gu, Y. Liu, S. Liu, W. Lu, Y. Wu, H. Lu, J. Huang, and W. Tu (2023). Insights into the Circadian Rhythm Alterations of the Novel PFOS Substitutes F-53B and OBS on Adult Zebrafish. J. Hazard. Mater., 448, 11 p. doi:10.1016/j.jhazmat.2023.130959. ECOREF#:191254</t>
        </is>
      </c>
    </row>
    <row r="223">
      <c r="A223" t="n">
        <v>2795393.0</v>
      </c>
      <c r="B223" t="inlineStr">
        <is>
          <t>1,1,2,2,3,3,4,4,5,5,6,6,7,7,8,8,8-Heptadecafluoro-1-octanesulfonic acid potassium salt</t>
        </is>
      </c>
      <c r="C223"/>
      <c r="D223" t="inlineStr">
        <is>
          <t>Measured</t>
        </is>
      </c>
      <c r="E223" t="inlineStr">
        <is>
          <t>&gt;</t>
        </is>
      </c>
      <c r="F223" t="n">
        <v>98.0</v>
      </c>
      <c r="G223"/>
      <c r="H223"/>
      <c r="I223"/>
      <c r="J223"/>
      <c r="K223" t="inlineStr">
        <is>
          <t>Danio rerio</t>
        </is>
      </c>
      <c r="L223" t="inlineStr">
        <is>
          <t>Zebra Danio</t>
        </is>
      </c>
      <c r="M223" t="inlineStr">
        <is>
          <t>Fish; Standard Test Species</t>
        </is>
      </c>
      <c r="N223" t="inlineStr">
        <is>
          <t>Embryo</t>
        </is>
      </c>
      <c r="O223"/>
      <c r="P223" t="n">
        <v>7.0</v>
      </c>
      <c r="Q223"/>
      <c r="R223"/>
      <c r="S223"/>
      <c r="T223"/>
      <c r="U223" t="inlineStr">
        <is>
          <t>Hours post fertilization</t>
        </is>
      </c>
      <c r="V223" t="inlineStr">
        <is>
          <t>Multiple routes between application groups</t>
        </is>
      </c>
      <c r="W223" t="inlineStr">
        <is>
          <t>Culture</t>
        </is>
      </c>
      <c r="X223" t="inlineStr">
        <is>
          <t>Lab</t>
        </is>
      </c>
      <c r="Y223" t="n">
        <v>6.0</v>
      </c>
      <c r="Z223" t="inlineStr">
        <is>
          <t>Active ingredient</t>
        </is>
      </c>
      <c r="AA223"/>
      <c r="AB223"/>
      <c r="AC223"/>
      <c r="AD223" t="n">
        <v>85.0</v>
      </c>
      <c r="AE223"/>
      <c r="AF223" t="n">
        <v>179.0</v>
      </c>
      <c r="AG223" t="inlineStr">
        <is>
          <t>ug/L</t>
        </is>
      </c>
      <c r="AH223"/>
      <c r="AI223"/>
      <c r="AJ223"/>
      <c r="AK223"/>
      <c r="AL223"/>
      <c r="AM223"/>
      <c r="AN223"/>
      <c r="AO223"/>
      <c r="AP223"/>
      <c r="AQ223"/>
      <c r="AR223"/>
      <c r="AS223"/>
      <c r="AT223"/>
      <c r="AU223"/>
      <c r="AV223"/>
      <c r="AW223"/>
      <c r="AX223" t="inlineStr">
        <is>
          <t>Accumulation</t>
        </is>
      </c>
      <c r="AY223" t="inlineStr">
        <is>
          <t>Residue</t>
        </is>
      </c>
      <c r="AZ223" t="inlineStr">
        <is>
          <t>BCF</t>
        </is>
      </c>
      <c r="BA223" t="inlineStr">
        <is>
          <t>Whole organism</t>
        </is>
      </c>
      <c r="BB223"/>
      <c r="BC223" t="n">
        <v>180.0</v>
      </c>
      <c r="BD223"/>
      <c r="BE223"/>
      <c r="BF223"/>
      <c r="BG223"/>
      <c r="BH223" t="inlineStr">
        <is>
          <t>Day(s)</t>
        </is>
      </c>
      <c r="BI223"/>
      <c r="BJ223"/>
      <c r="BK223" t="inlineStr">
        <is>
          <t>&gt;</t>
        </is>
      </c>
      <c r="BL223" t="n">
        <v>200.0</v>
      </c>
      <c r="BM223" t="inlineStr">
        <is>
          <t>&lt;</t>
        </is>
      </c>
      <c r="BN223" t="n">
        <v>300.0</v>
      </c>
      <c r="BO223" t="inlineStr">
        <is>
          <t>L/kg</t>
        </is>
      </c>
      <c r="BP223"/>
      <c r="BQ223"/>
      <c r="BR223"/>
      <c r="BS223"/>
      <c r="BT223"/>
      <c r="BU223"/>
      <c r="BV223"/>
      <c r="BW223"/>
      <c r="BX223"/>
      <c r="BY223"/>
      <c r="BZ223"/>
      <c r="CA223"/>
      <c r="CB223"/>
      <c r="CC223"/>
      <c r="CD223" t="inlineStr">
        <is>
          <t>Gust,K.A., A.N. Kimble, J.E. Mylroie, M.L. Mayo, M.S. Wilbanks, C.S.C. Steward, K.A. Chapman, G.R. Lotufo, N. Garcia-Re</t>
        </is>
      </c>
      <c r="CE223" t="n">
        <v>193995.0</v>
      </c>
      <c r="CF223" t="inlineStr">
        <is>
          <t>Bioconcentration, Maternal Transfer, and Toxicokinetics of PFOS in a Multi-Generational Zebrafish Exposure</t>
        </is>
      </c>
      <c r="CG223" t="inlineStr">
        <is>
          <t>Environ. Toxicol. Chem.44(1): 207-219</t>
        </is>
      </c>
      <c r="CH223" t="n">
        <v>2025.0</v>
      </c>
      <c r="CI223"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24">
      <c r="A224" t="n">
        <v>2795393.0</v>
      </c>
      <c r="B224" t="inlineStr">
        <is>
          <t>1,1,2,2,3,3,4,4,5,5,6,6,7,7,8,8,8-Heptadecafluoro-1-octanesulfonic acid potassium salt</t>
        </is>
      </c>
      <c r="C224"/>
      <c r="D224" t="inlineStr">
        <is>
          <t>Measured</t>
        </is>
      </c>
      <c r="E224" t="inlineStr">
        <is>
          <t>&gt;=</t>
        </is>
      </c>
      <c r="F224" t="n">
        <v>98.0</v>
      </c>
      <c r="G224"/>
      <c r="H224"/>
      <c r="I224"/>
      <c r="J224"/>
      <c r="K224" t="inlineStr">
        <is>
          <t>Danio rerio</t>
        </is>
      </c>
      <c r="L224" t="inlineStr">
        <is>
          <t>Zebra Danio</t>
        </is>
      </c>
      <c r="M224" t="inlineStr">
        <is>
          <t>Fish; Standard Test Species</t>
        </is>
      </c>
      <c r="N224" t="inlineStr">
        <is>
          <t>Embryo</t>
        </is>
      </c>
      <c r="O224"/>
      <c r="P224" t="n">
        <v>2.0</v>
      </c>
      <c r="Q224"/>
      <c r="R224"/>
      <c r="S224"/>
      <c r="T224"/>
      <c r="U224" t="inlineStr">
        <is>
          <t>Hours post fertilization</t>
        </is>
      </c>
      <c r="V224" t="inlineStr">
        <is>
          <t>Renewal</t>
        </is>
      </c>
      <c r="W224" t="inlineStr">
        <is>
          <t>Fresh water</t>
        </is>
      </c>
      <c r="X224" t="inlineStr">
        <is>
          <t>Lab</t>
        </is>
      </c>
      <c r="Y224" t="n">
        <v>4.0</v>
      </c>
      <c r="Z224" t="inlineStr">
        <is>
          <t>Active ingredient</t>
        </is>
      </c>
      <c r="AA224"/>
      <c r="AB224" t="n">
        <v>0.409811228</v>
      </c>
      <c r="AC224"/>
      <c r="AD224"/>
      <c r="AE224"/>
      <c r="AF224"/>
      <c r="AG224" t="inlineStr">
        <is>
          <t>AI mg/L</t>
        </is>
      </c>
      <c r="AH224"/>
      <c r="AI224"/>
      <c r="AJ224"/>
      <c r="AK224"/>
      <c r="AL224"/>
      <c r="AM224"/>
      <c r="AN224"/>
      <c r="AO224"/>
      <c r="AP224"/>
      <c r="AQ224"/>
      <c r="AR224"/>
      <c r="AS224"/>
      <c r="AT224"/>
      <c r="AU224"/>
      <c r="AV224"/>
      <c r="AW224"/>
      <c r="AX224" t="inlineStr">
        <is>
          <t>Accumulation</t>
        </is>
      </c>
      <c r="AY224" t="inlineStr">
        <is>
          <t>Residue</t>
        </is>
      </c>
      <c r="AZ224" t="inlineStr">
        <is>
          <t>BCF</t>
        </is>
      </c>
      <c r="BA224" t="inlineStr">
        <is>
          <t>Whole organism</t>
        </is>
      </c>
      <c r="BB224"/>
      <c r="BC224" t="n">
        <v>4.9167</v>
      </c>
      <c r="BD224"/>
      <c r="BE224"/>
      <c r="BF224"/>
      <c r="BG224"/>
      <c r="BH224" t="inlineStr">
        <is>
          <t>Day(s)</t>
        </is>
      </c>
      <c r="BI224"/>
      <c r="BJ224" t="n">
        <v>240.0</v>
      </c>
      <c r="BK224"/>
      <c r="BL224"/>
      <c r="BM224"/>
      <c r="BN224"/>
      <c r="BO224" t="inlineStr">
        <is>
          <t>RA</t>
        </is>
      </c>
      <c r="BP224"/>
      <c r="BQ224"/>
      <c r="BR224"/>
      <c r="BS224"/>
      <c r="BT224"/>
      <c r="BU224"/>
      <c r="BV224"/>
      <c r="BW224"/>
      <c r="BX224"/>
      <c r="BY224"/>
      <c r="BZ224"/>
      <c r="CA224"/>
      <c r="CB224"/>
      <c r="CC224"/>
      <c r="CD224" t="inlineStr">
        <is>
          <t>Vogs,C., G. Johanson, M. Naslund, S. Wulff, M. Sjodin, M. Hellstrandh, J. Lindberg, and E. Wincent</t>
        </is>
      </c>
      <c r="CE224" t="n">
        <v>181482.0</v>
      </c>
      <c r="CF224" t="inlineStr">
        <is>
          <t>Toxicokinetics of Perfluorinated Alkyl Acids Influences Their Toxic Potency in the Zebrafish Embryo (Danio rerio)</t>
        </is>
      </c>
      <c r="CG224" t="inlineStr">
        <is>
          <t>Environ. Sci. Technol.53(7): 3898-3907</t>
        </is>
      </c>
      <c r="CH224" t="n">
        <v>2019.0</v>
      </c>
      <c r="CI224"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225">
      <c r="A225" t="n">
        <v>2795393.0</v>
      </c>
      <c r="B225" t="inlineStr">
        <is>
          <t>1,1,2,2,3,3,4,4,5,5,6,6,7,7,8,8,8-Heptadecafluoro-1-octanesulfonic acid potassium salt</t>
        </is>
      </c>
      <c r="C225"/>
      <c r="D225" t="inlineStr">
        <is>
          <t>Measured</t>
        </is>
      </c>
      <c r="E225"/>
      <c r="F225" t="n">
        <v>86.9</v>
      </c>
      <c r="G225"/>
      <c r="H225"/>
      <c r="I225"/>
      <c r="J225"/>
      <c r="K225" t="inlineStr">
        <is>
          <t>Lepomis macrochirus</t>
        </is>
      </c>
      <c r="L225" t="inlineStr">
        <is>
          <t>Bluegill</t>
        </is>
      </c>
      <c r="M225" t="inlineStr">
        <is>
          <t>Fish; Standard Test Species</t>
        </is>
      </c>
      <c r="N225" t="inlineStr">
        <is>
          <t>Juvenile</t>
        </is>
      </c>
      <c r="O225" t="inlineStr">
        <is>
          <t>~</t>
        </is>
      </c>
      <c r="P225" t="n">
        <v>7.0</v>
      </c>
      <c r="Q225"/>
      <c r="R225"/>
      <c r="S225"/>
      <c r="T225"/>
      <c r="U225" t="inlineStr">
        <is>
          <t>Month(s)</t>
        </is>
      </c>
      <c r="V225" t="inlineStr">
        <is>
          <t>Flow-through</t>
        </is>
      </c>
      <c r="W225" t="inlineStr">
        <is>
          <t>Fresh water</t>
        </is>
      </c>
      <c r="X225" t="inlineStr">
        <is>
          <t>Lab</t>
        </is>
      </c>
      <c r="Y225" t="n">
        <v>3.0</v>
      </c>
      <c r="Z225" t="inlineStr">
        <is>
          <t>Active ingredient</t>
        </is>
      </c>
      <c r="AA225"/>
      <c r="AB225" t="n">
        <v>0.87</v>
      </c>
      <c r="AC225"/>
      <c r="AD225"/>
      <c r="AE225"/>
      <c r="AF225"/>
      <c r="AG225" t="inlineStr">
        <is>
          <t>AI mg/L</t>
        </is>
      </c>
      <c r="AH225"/>
      <c r="AI225"/>
      <c r="AJ225"/>
      <c r="AK225"/>
      <c r="AL225"/>
      <c r="AM225"/>
      <c r="AN225"/>
      <c r="AO225"/>
      <c r="AP225"/>
      <c r="AQ225"/>
      <c r="AR225"/>
      <c r="AS225"/>
      <c r="AT225"/>
      <c r="AU225"/>
      <c r="AV225"/>
      <c r="AW225"/>
      <c r="AX225" t="inlineStr">
        <is>
          <t>Accumulation</t>
        </is>
      </c>
      <c r="AY225" t="inlineStr">
        <is>
          <t>Residue</t>
        </is>
      </c>
      <c r="AZ225" t="inlineStr">
        <is>
          <t>BCF</t>
        </is>
      </c>
      <c r="BA225" t="inlineStr">
        <is>
          <t>Whole organism</t>
        </is>
      </c>
      <c r="BB225"/>
      <c r="BC225" t="n">
        <v>28.0</v>
      </c>
      <c r="BD225"/>
      <c r="BE225"/>
      <c r="BF225"/>
      <c r="BG225"/>
      <c r="BH225" t="inlineStr">
        <is>
          <t>Day(s)</t>
        </is>
      </c>
      <c r="BI225"/>
      <c r="BJ225" t="n">
        <v>278.0</v>
      </c>
      <c r="BK225"/>
      <c r="BL225"/>
      <c r="BM225"/>
      <c r="BN225"/>
      <c r="BO225" t="inlineStr">
        <is>
          <t>L/kg</t>
        </is>
      </c>
      <c r="BP225"/>
      <c r="BQ225"/>
      <c r="BR225"/>
      <c r="BS225"/>
      <c r="BT225"/>
      <c r="BU225"/>
      <c r="BV225"/>
      <c r="BW225"/>
      <c r="BX225"/>
      <c r="BY225"/>
      <c r="BZ225"/>
      <c r="CA225"/>
      <c r="CB225"/>
      <c r="CC225"/>
      <c r="CD225" t="inlineStr">
        <is>
          <t>Drottar,K.R., R.L. VanHoven, and H.O. Krueger</t>
        </is>
      </c>
      <c r="CE225" t="n">
        <v>175359.0</v>
      </c>
      <c r="CF225" t="inlineStr">
        <is>
          <t>Perfluorooctanesulfonate, Potassium Salt (PFOS): A Flow-Through Bioconcentration Test with the Bluegill (Lepomis macrochirus)</t>
        </is>
      </c>
      <c r="CG225" t="inlineStr">
        <is>
          <t>Project 454A-134, Wildlife International Ltd., Easton, MD:129 p.</t>
        </is>
      </c>
      <c r="CH225" t="n">
        <v>2001.0</v>
      </c>
      <c r="CI225" t="inlineStr">
        <is>
          <t>Drottar,K.R., R.L. VanHoven, and H.O. Krueger (2001). Perfluorooctanesulfonate, Potassium Salt (PFOS): A Flow-Through Bioconcentration Test with the Bluegill (Lepomis macrochirus). Project 454A-134, Wildlife International Ltd., Easton, MD, 129 p. ECOREF#:175359</t>
        </is>
      </c>
    </row>
    <row r="226">
      <c r="A226" t="n">
        <v>2795393.0</v>
      </c>
      <c r="B226" t="inlineStr">
        <is>
          <t>1,1,2,2,3,3,4,4,5,5,6,6,7,7,8,8,8-Heptadecafluoro-1-octanesulfonic acid potassium salt</t>
        </is>
      </c>
      <c r="C226"/>
      <c r="D226" t="inlineStr">
        <is>
          <t>Measured</t>
        </is>
      </c>
      <c r="E226" t="inlineStr">
        <is>
          <t>&gt;</t>
        </is>
      </c>
      <c r="F226" t="n">
        <v>95.0</v>
      </c>
      <c r="G226"/>
      <c r="H226"/>
      <c r="I226"/>
      <c r="J226"/>
      <c r="K226" t="inlineStr">
        <is>
          <t>Danio rerio</t>
        </is>
      </c>
      <c r="L226" t="inlineStr">
        <is>
          <t>Zebra Danio</t>
        </is>
      </c>
      <c r="M226" t="inlineStr">
        <is>
          <t>Fish; Standard Test Species</t>
        </is>
      </c>
      <c r="N226" t="inlineStr">
        <is>
          <t>Embryo</t>
        </is>
      </c>
      <c r="O226"/>
      <c r="P226" t="n">
        <v>64.0</v>
      </c>
      <c r="Q226"/>
      <c r="R226"/>
      <c r="S226"/>
      <c r="T226"/>
      <c r="U226" t="inlineStr">
        <is>
          <t>Cell stage</t>
        </is>
      </c>
      <c r="V226" t="inlineStr">
        <is>
          <t>Renewal</t>
        </is>
      </c>
      <c r="W226" t="inlineStr">
        <is>
          <t>Culture</t>
        </is>
      </c>
      <c r="X226" t="inlineStr">
        <is>
          <t>Lab</t>
        </is>
      </c>
      <c r="Y226" t="n">
        <v>3.0</v>
      </c>
      <c r="Z226" t="inlineStr">
        <is>
          <t>Active ingredient</t>
        </is>
      </c>
      <c r="AA226"/>
      <c r="AB226" t="n">
        <v>0.172552096</v>
      </c>
      <c r="AC226"/>
      <c r="AD226"/>
      <c r="AE226"/>
      <c r="AF226"/>
      <c r="AG226" t="inlineStr">
        <is>
          <t>AI mg/L</t>
        </is>
      </c>
      <c r="AH226"/>
      <c r="AI226"/>
      <c r="AJ226"/>
      <c r="AK226"/>
      <c r="AL226"/>
      <c r="AM226"/>
      <c r="AN226"/>
      <c r="AO226"/>
      <c r="AP226"/>
      <c r="AQ226"/>
      <c r="AR226"/>
      <c r="AS226"/>
      <c r="AT226"/>
      <c r="AU226"/>
      <c r="AV226"/>
      <c r="AW226"/>
      <c r="AX226" t="inlineStr">
        <is>
          <t>Accumulation</t>
        </is>
      </c>
      <c r="AY226" t="inlineStr">
        <is>
          <t>Residue</t>
        </is>
      </c>
      <c r="AZ226" t="inlineStr">
        <is>
          <t>BCF</t>
        </is>
      </c>
      <c r="BA226" t="inlineStr">
        <is>
          <t>Whole organism</t>
        </is>
      </c>
      <c r="BB226"/>
      <c r="BC226" t="n">
        <v>5.0</v>
      </c>
      <c r="BD226"/>
      <c r="BE226"/>
      <c r="BF226"/>
      <c r="BG226"/>
      <c r="BH226" t="inlineStr">
        <is>
          <t>Day(s) post-fertilization</t>
        </is>
      </c>
      <c r="BI226"/>
      <c r="BJ226" t="n">
        <v>288.0</v>
      </c>
      <c r="BK226"/>
      <c r="BL226"/>
      <c r="BM226"/>
      <c r="BN226"/>
      <c r="BO226" t="inlineStr">
        <is>
          <t>L/kg</t>
        </is>
      </c>
      <c r="BP226"/>
      <c r="BQ226"/>
      <c r="BR226"/>
      <c r="BS226"/>
      <c r="BT226"/>
      <c r="BU226"/>
      <c r="BV226"/>
      <c r="BW226"/>
      <c r="BX226"/>
      <c r="BY226"/>
      <c r="BZ226"/>
      <c r="CA226"/>
      <c r="CB226"/>
      <c r="CC226"/>
      <c r="CD226" t="inlineStr">
        <is>
          <t>Han,J., W. Gu, H. Barrett, D. Yang, S. Tang, J. Sun, J. Liu, H.M. Krause, K.A. Houck, and H. Peng</t>
        </is>
      </c>
      <c r="CE226" t="n">
        <v>190831.0</v>
      </c>
      <c r="CF226" t="inlineStr">
        <is>
          <t>A Roadmap to the Structure-Related Metabolism Pathways of Per- and Polyfluoroalkyl Substances in the Early Life Stages of Zebrafish (Danio rerio)</t>
        </is>
      </c>
      <c r="CG226" t="inlineStr">
        <is>
          <t>Environ. Health Perspect.129(7): 15 p.</t>
        </is>
      </c>
      <c r="CH226" t="n">
        <v>2021.0</v>
      </c>
      <c r="CI226"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227">
      <c r="A227" t="n">
        <v>2795393.0</v>
      </c>
      <c r="B227" t="inlineStr">
        <is>
          <t>1,1,2,2,3,3,4,4,5,5,6,6,7,7,8,8,8-Heptadecafluoro-1-octanesulfonic acid potassium salt</t>
        </is>
      </c>
      <c r="C227"/>
      <c r="D227" t="inlineStr">
        <is>
          <t>Measured</t>
        </is>
      </c>
      <c r="E227" t="inlineStr">
        <is>
          <t>&gt;</t>
        </is>
      </c>
      <c r="F227" t="n">
        <v>98.0</v>
      </c>
      <c r="G227"/>
      <c r="H227"/>
      <c r="I227"/>
      <c r="J227"/>
      <c r="K227" t="inlineStr">
        <is>
          <t>Danio rerio</t>
        </is>
      </c>
      <c r="L227" t="inlineStr">
        <is>
          <t>Zebra Danio</t>
        </is>
      </c>
      <c r="M227" t="inlineStr">
        <is>
          <t>Fish; Standard Test Species</t>
        </is>
      </c>
      <c r="N227" t="inlineStr">
        <is>
          <t>Embryo</t>
        </is>
      </c>
      <c r="O227"/>
      <c r="P227" t="n">
        <v>7.0</v>
      </c>
      <c r="Q227"/>
      <c r="R227"/>
      <c r="S227"/>
      <c r="T227"/>
      <c r="U227" t="inlineStr">
        <is>
          <t>Hours post fertilization</t>
        </is>
      </c>
      <c r="V227" t="inlineStr">
        <is>
          <t>Multiple routes between application groups</t>
        </is>
      </c>
      <c r="W227" t="inlineStr">
        <is>
          <t>Culture</t>
        </is>
      </c>
      <c r="X227" t="inlineStr">
        <is>
          <t>Lab</t>
        </is>
      </c>
      <c r="Y227" t="n">
        <v>6.0</v>
      </c>
      <c r="Z227" t="inlineStr">
        <is>
          <t>Active ingredient</t>
        </is>
      </c>
      <c r="AA227"/>
      <c r="AB227"/>
      <c r="AC227"/>
      <c r="AD227" t="n">
        <v>29.0</v>
      </c>
      <c r="AE227"/>
      <c r="AF227" t="n">
        <v>36.0</v>
      </c>
      <c r="AG227" t="inlineStr">
        <is>
          <t>ug/L</t>
        </is>
      </c>
      <c r="AH227"/>
      <c r="AI227"/>
      <c r="AJ227"/>
      <c r="AK227"/>
      <c r="AL227"/>
      <c r="AM227"/>
      <c r="AN227"/>
      <c r="AO227"/>
      <c r="AP227"/>
      <c r="AQ227"/>
      <c r="AR227"/>
      <c r="AS227"/>
      <c r="AT227"/>
      <c r="AU227"/>
      <c r="AV227"/>
      <c r="AW227"/>
      <c r="AX227" t="inlineStr">
        <is>
          <t>Accumulation</t>
        </is>
      </c>
      <c r="AY227" t="inlineStr">
        <is>
          <t>Residue</t>
        </is>
      </c>
      <c r="AZ227" t="inlineStr">
        <is>
          <t>BCF</t>
        </is>
      </c>
      <c r="BA227" t="inlineStr">
        <is>
          <t>Whole organism</t>
        </is>
      </c>
      <c r="BB227"/>
      <c r="BC227" t="n">
        <v>29.0</v>
      </c>
      <c r="BD227"/>
      <c r="BE227"/>
      <c r="BF227"/>
      <c r="BG227"/>
      <c r="BH227" t="inlineStr">
        <is>
          <t>Day(s)</t>
        </is>
      </c>
      <c r="BI227"/>
      <c r="BJ227"/>
      <c r="BK227" t="inlineStr">
        <is>
          <t>&gt;</t>
        </is>
      </c>
      <c r="BL227" t="n">
        <v>300.0</v>
      </c>
      <c r="BM227" t="inlineStr">
        <is>
          <t>&lt;</t>
        </is>
      </c>
      <c r="BN227" t="n">
        <v>400.0</v>
      </c>
      <c r="BO227" t="inlineStr">
        <is>
          <t>L/kg</t>
        </is>
      </c>
      <c r="BP227"/>
      <c r="BQ227"/>
      <c r="BR227"/>
      <c r="BS227"/>
      <c r="BT227"/>
      <c r="BU227"/>
      <c r="BV227"/>
      <c r="BW227"/>
      <c r="BX227"/>
      <c r="BY227"/>
      <c r="BZ227"/>
      <c r="CA227"/>
      <c r="CB227"/>
      <c r="CC227"/>
      <c r="CD227" t="inlineStr">
        <is>
          <t>Gust,K.A., A.N. Kimble, J.E. Mylroie, M.L. Mayo, M.S. Wilbanks, C.S.C. Steward, K.A. Chapman, G.R. Lotufo, N. Garcia-Re</t>
        </is>
      </c>
      <c r="CE227" t="n">
        <v>193995.0</v>
      </c>
      <c r="CF227" t="inlineStr">
        <is>
          <t>Bioconcentration, Maternal Transfer, and Toxicokinetics of PFOS in a Multi-Generational Zebrafish Exposure</t>
        </is>
      </c>
      <c r="CG227" t="inlineStr">
        <is>
          <t>Environ. Toxicol. Chem.44(1): 207-219</t>
        </is>
      </c>
      <c r="CH227" t="n">
        <v>2025.0</v>
      </c>
      <c r="CI227"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28">
      <c r="A228" t="n">
        <v>2795393.0</v>
      </c>
      <c r="B228" t="inlineStr">
        <is>
          <t>1,1,2,2,3,3,4,4,5,5,6,6,7,7,8,8,8-Heptadecafluoro-1-octanesulfonic acid potassium salt</t>
        </is>
      </c>
      <c r="C228"/>
      <c r="D228" t="inlineStr">
        <is>
          <t>Measured</t>
        </is>
      </c>
      <c r="E228" t="inlineStr">
        <is>
          <t>&gt;</t>
        </is>
      </c>
      <c r="F228" t="n">
        <v>98.0</v>
      </c>
      <c r="G228"/>
      <c r="H228"/>
      <c r="I228"/>
      <c r="J228"/>
      <c r="K228" t="inlineStr">
        <is>
          <t>Danio rerio</t>
        </is>
      </c>
      <c r="L228" t="inlineStr">
        <is>
          <t>Zebra Danio</t>
        </is>
      </c>
      <c r="M228" t="inlineStr">
        <is>
          <t>Fish; Standard Test Species</t>
        </is>
      </c>
      <c r="N228" t="inlineStr">
        <is>
          <t>Embryo</t>
        </is>
      </c>
      <c r="O228"/>
      <c r="P228" t="n">
        <v>7.0</v>
      </c>
      <c r="Q228"/>
      <c r="R228"/>
      <c r="S228"/>
      <c r="T228"/>
      <c r="U228" t="inlineStr">
        <is>
          <t>Hours post fertilization</t>
        </is>
      </c>
      <c r="V228" t="inlineStr">
        <is>
          <t>Multiple routes between application groups</t>
        </is>
      </c>
      <c r="W228" t="inlineStr">
        <is>
          <t>Culture</t>
        </is>
      </c>
      <c r="X228" t="inlineStr">
        <is>
          <t>Lab</t>
        </is>
      </c>
      <c r="Y228" t="n">
        <v>6.0</v>
      </c>
      <c r="Z228" t="inlineStr">
        <is>
          <t>Active ingredient</t>
        </is>
      </c>
      <c r="AA228"/>
      <c r="AB228"/>
      <c r="AC228"/>
      <c r="AD228" t="n">
        <v>4.5</v>
      </c>
      <c r="AE228"/>
      <c r="AF228" t="n">
        <v>6.0</v>
      </c>
      <c r="AG228" t="inlineStr">
        <is>
          <t>ug/L</t>
        </is>
      </c>
      <c r="AH228"/>
      <c r="AI228"/>
      <c r="AJ228"/>
      <c r="AK228"/>
      <c r="AL228"/>
      <c r="AM228"/>
      <c r="AN228"/>
      <c r="AO228"/>
      <c r="AP228"/>
      <c r="AQ228"/>
      <c r="AR228"/>
      <c r="AS228"/>
      <c r="AT228"/>
      <c r="AU228"/>
      <c r="AV228"/>
      <c r="AW228"/>
      <c r="AX228" t="inlineStr">
        <is>
          <t>Accumulation</t>
        </is>
      </c>
      <c r="AY228" t="inlineStr">
        <is>
          <t>Residue</t>
        </is>
      </c>
      <c r="AZ228" t="inlineStr">
        <is>
          <t>BCF</t>
        </is>
      </c>
      <c r="BA228" t="inlineStr">
        <is>
          <t>Whole organism</t>
        </is>
      </c>
      <c r="BB228"/>
      <c r="BC228" t="n">
        <v>29.0</v>
      </c>
      <c r="BD228"/>
      <c r="BE228"/>
      <c r="BF228"/>
      <c r="BG228"/>
      <c r="BH228" t="inlineStr">
        <is>
          <t>Day(s)</t>
        </is>
      </c>
      <c r="BI228"/>
      <c r="BJ228"/>
      <c r="BK228" t="inlineStr">
        <is>
          <t>&gt;</t>
        </is>
      </c>
      <c r="BL228" t="n">
        <v>300.0</v>
      </c>
      <c r="BM228" t="inlineStr">
        <is>
          <t>&lt;</t>
        </is>
      </c>
      <c r="BN228" t="n">
        <v>400.0</v>
      </c>
      <c r="BO228" t="inlineStr">
        <is>
          <t>L/kg</t>
        </is>
      </c>
      <c r="BP228"/>
      <c r="BQ228"/>
      <c r="BR228"/>
      <c r="BS228"/>
      <c r="BT228"/>
      <c r="BU228"/>
      <c r="BV228"/>
      <c r="BW228"/>
      <c r="BX228"/>
      <c r="BY228"/>
      <c r="BZ228"/>
      <c r="CA228"/>
      <c r="CB228"/>
      <c r="CC228"/>
      <c r="CD228" t="inlineStr">
        <is>
          <t>Gust,K.A., A.N. Kimble, J.E. Mylroie, M.L. Mayo, M.S. Wilbanks, C.S.C. Steward, K.A. Chapman, G.R. Lotufo, N. Garcia-Re</t>
        </is>
      </c>
      <c r="CE228" t="n">
        <v>193995.0</v>
      </c>
      <c r="CF228" t="inlineStr">
        <is>
          <t>Bioconcentration, Maternal Transfer, and Toxicokinetics of PFOS in a Multi-Generational Zebrafish Exposure</t>
        </is>
      </c>
      <c r="CG228" t="inlineStr">
        <is>
          <t>Environ. Toxicol. Chem.44(1): 207-219</t>
        </is>
      </c>
      <c r="CH228" t="n">
        <v>2025.0</v>
      </c>
      <c r="CI228"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29">
      <c r="A229" t="n">
        <v>2795393.0</v>
      </c>
      <c r="B229" t="inlineStr">
        <is>
          <t>1,1,2,2,3,3,4,4,5,5,6,6,7,7,8,8,8-Heptadecafluoro-1-octanesulfonic acid potassium salt</t>
        </is>
      </c>
      <c r="C229"/>
      <c r="D229" t="inlineStr">
        <is>
          <t>Measured</t>
        </is>
      </c>
      <c r="E229" t="inlineStr">
        <is>
          <t>&gt;</t>
        </is>
      </c>
      <c r="F229" t="n">
        <v>98.0</v>
      </c>
      <c r="G229"/>
      <c r="H229"/>
      <c r="I229"/>
      <c r="J229"/>
      <c r="K229" t="inlineStr">
        <is>
          <t>Danio rerio</t>
        </is>
      </c>
      <c r="L229" t="inlineStr">
        <is>
          <t>Zebra Danio</t>
        </is>
      </c>
      <c r="M229" t="inlineStr">
        <is>
          <t>Fish; Standard Test Species</t>
        </is>
      </c>
      <c r="N229" t="inlineStr">
        <is>
          <t>Embryo</t>
        </is>
      </c>
      <c r="O229"/>
      <c r="P229" t="n">
        <v>7.0</v>
      </c>
      <c r="Q229"/>
      <c r="R229"/>
      <c r="S229"/>
      <c r="T229"/>
      <c r="U229" t="inlineStr">
        <is>
          <t>Hours post fertilization</t>
        </is>
      </c>
      <c r="V229" t="inlineStr">
        <is>
          <t>Multiple routes between application groups</t>
        </is>
      </c>
      <c r="W229" t="inlineStr">
        <is>
          <t>Culture</t>
        </is>
      </c>
      <c r="X229" t="inlineStr">
        <is>
          <t>Lab</t>
        </is>
      </c>
      <c r="Y229" t="n">
        <v>6.0</v>
      </c>
      <c r="Z229" t="inlineStr">
        <is>
          <t>Active ingredient</t>
        </is>
      </c>
      <c r="AA229"/>
      <c r="AB229" t="n">
        <v>29.0</v>
      </c>
      <c r="AC229"/>
      <c r="AD229"/>
      <c r="AE229"/>
      <c r="AF229"/>
      <c r="AG229" t="inlineStr">
        <is>
          <t>ug/L</t>
        </is>
      </c>
      <c r="AH229"/>
      <c r="AI229"/>
      <c r="AJ229"/>
      <c r="AK229"/>
      <c r="AL229"/>
      <c r="AM229"/>
      <c r="AN229"/>
      <c r="AO229"/>
      <c r="AP229"/>
      <c r="AQ229"/>
      <c r="AR229"/>
      <c r="AS229"/>
      <c r="AT229"/>
      <c r="AU229"/>
      <c r="AV229"/>
      <c r="AW229"/>
      <c r="AX229" t="inlineStr">
        <is>
          <t>Accumulation</t>
        </is>
      </c>
      <c r="AY229" t="inlineStr">
        <is>
          <t>Residue</t>
        </is>
      </c>
      <c r="AZ229" t="inlineStr">
        <is>
          <t>BCF</t>
        </is>
      </c>
      <c r="BA229" t="inlineStr">
        <is>
          <t>Whole organism</t>
        </is>
      </c>
      <c r="BB229"/>
      <c r="BC229" t="n">
        <v>14.0</v>
      </c>
      <c r="BD229"/>
      <c r="BE229"/>
      <c r="BF229"/>
      <c r="BG229"/>
      <c r="BH229" t="inlineStr">
        <is>
          <t>Day(s)</t>
        </is>
      </c>
      <c r="BI229"/>
      <c r="BJ229"/>
      <c r="BK229" t="inlineStr">
        <is>
          <t>&gt;</t>
        </is>
      </c>
      <c r="BL229" t="n">
        <v>300.0</v>
      </c>
      <c r="BM229" t="inlineStr">
        <is>
          <t>&lt;</t>
        </is>
      </c>
      <c r="BN229" t="n">
        <v>400.0</v>
      </c>
      <c r="BO229" t="inlineStr">
        <is>
          <t>L/kg</t>
        </is>
      </c>
      <c r="BP229"/>
      <c r="BQ229"/>
      <c r="BR229"/>
      <c r="BS229"/>
      <c r="BT229"/>
      <c r="BU229"/>
      <c r="BV229"/>
      <c r="BW229"/>
      <c r="BX229"/>
      <c r="BY229"/>
      <c r="BZ229"/>
      <c r="CA229"/>
      <c r="CB229"/>
      <c r="CC229"/>
      <c r="CD229" t="inlineStr">
        <is>
          <t>Gust,K.A., A.N. Kimble, J.E. Mylroie, M.L. Mayo, M.S. Wilbanks, C.S.C. Steward, K.A. Chapman, G.R. Lotufo, N. Garcia-Re</t>
        </is>
      </c>
      <c r="CE229" t="n">
        <v>193995.0</v>
      </c>
      <c r="CF229" t="inlineStr">
        <is>
          <t>Bioconcentration, Maternal Transfer, and Toxicokinetics of PFOS in a Multi-Generational Zebrafish Exposure</t>
        </is>
      </c>
      <c r="CG229" t="inlineStr">
        <is>
          <t>Environ. Toxicol. Chem.44(1): 207-219</t>
        </is>
      </c>
      <c r="CH229" t="n">
        <v>2025.0</v>
      </c>
      <c r="CI229"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30">
      <c r="A230" t="n">
        <v>2795393.0</v>
      </c>
      <c r="B230" t="inlineStr">
        <is>
          <t>1,1,2,2,3,3,4,4,5,5,6,6,7,7,8,8,8-Heptadecafluoro-1-octanesulfonic acid potassium salt</t>
        </is>
      </c>
      <c r="C230"/>
      <c r="D230" t="inlineStr">
        <is>
          <t>Measured</t>
        </is>
      </c>
      <c r="E230" t="inlineStr">
        <is>
          <t>&gt;=</t>
        </is>
      </c>
      <c r="F230" t="n">
        <v>98.0</v>
      </c>
      <c r="G230"/>
      <c r="H230"/>
      <c r="I230"/>
      <c r="J230"/>
      <c r="K230" t="inlineStr">
        <is>
          <t>Danio rerio</t>
        </is>
      </c>
      <c r="L230" t="inlineStr">
        <is>
          <t>Zebra Danio</t>
        </is>
      </c>
      <c r="M230" t="inlineStr">
        <is>
          <t>Fish; Standard Test Species</t>
        </is>
      </c>
      <c r="N230" t="inlineStr">
        <is>
          <t>Embryo</t>
        </is>
      </c>
      <c r="O230"/>
      <c r="P230" t="n">
        <v>2.0</v>
      </c>
      <c r="Q230"/>
      <c r="R230"/>
      <c r="S230"/>
      <c r="T230"/>
      <c r="U230" t="inlineStr">
        <is>
          <t>Hours post fertilization</t>
        </is>
      </c>
      <c r="V230" t="inlineStr">
        <is>
          <t>Renewal</t>
        </is>
      </c>
      <c r="W230" t="inlineStr">
        <is>
          <t>Fresh water</t>
        </is>
      </c>
      <c r="X230" t="inlineStr">
        <is>
          <t>Lab</t>
        </is>
      </c>
      <c r="Y230" t="n">
        <v>4.0</v>
      </c>
      <c r="Z230" t="inlineStr">
        <is>
          <t>Active ingredient</t>
        </is>
      </c>
      <c r="AA230"/>
      <c r="AB230" t="n">
        <v>0.043138024</v>
      </c>
      <c r="AC230"/>
      <c r="AD230"/>
      <c r="AE230"/>
      <c r="AF230"/>
      <c r="AG230" t="inlineStr">
        <is>
          <t>AI mg/L</t>
        </is>
      </c>
      <c r="AH230"/>
      <c r="AI230"/>
      <c r="AJ230"/>
      <c r="AK230"/>
      <c r="AL230"/>
      <c r="AM230"/>
      <c r="AN230"/>
      <c r="AO230"/>
      <c r="AP230"/>
      <c r="AQ230"/>
      <c r="AR230"/>
      <c r="AS230"/>
      <c r="AT230"/>
      <c r="AU230"/>
      <c r="AV230"/>
      <c r="AW230"/>
      <c r="AX230" t="inlineStr">
        <is>
          <t>Accumulation</t>
        </is>
      </c>
      <c r="AY230" t="inlineStr">
        <is>
          <t>Residue</t>
        </is>
      </c>
      <c r="AZ230" t="inlineStr">
        <is>
          <t>BCF</t>
        </is>
      </c>
      <c r="BA230" t="inlineStr">
        <is>
          <t>Whole organism</t>
        </is>
      </c>
      <c r="BB230"/>
      <c r="BC230" t="n">
        <v>4.9167</v>
      </c>
      <c r="BD230"/>
      <c r="BE230"/>
      <c r="BF230"/>
      <c r="BG230"/>
      <c r="BH230" t="inlineStr">
        <is>
          <t>Day(s)</t>
        </is>
      </c>
      <c r="BI230"/>
      <c r="BJ230" t="n">
        <v>370.0</v>
      </c>
      <c r="BK230"/>
      <c r="BL230"/>
      <c r="BM230"/>
      <c r="BN230"/>
      <c r="BO230" t="inlineStr">
        <is>
          <t>RA</t>
        </is>
      </c>
      <c r="BP230"/>
      <c r="BQ230"/>
      <c r="BR230"/>
      <c r="BS230"/>
      <c r="BT230"/>
      <c r="BU230"/>
      <c r="BV230"/>
      <c r="BW230"/>
      <c r="BX230"/>
      <c r="BY230"/>
      <c r="BZ230"/>
      <c r="CA230"/>
      <c r="CB230"/>
      <c r="CC230"/>
      <c r="CD230" t="inlineStr">
        <is>
          <t>Vogs,C., G. Johanson, M. Naslund, S. Wulff, M. Sjodin, M. Hellstrandh, J. Lindberg, and E. Wincent</t>
        </is>
      </c>
      <c r="CE230" t="n">
        <v>181482.0</v>
      </c>
      <c r="CF230" t="inlineStr">
        <is>
          <t>Toxicokinetics of Perfluorinated Alkyl Acids Influences Their Toxic Potency in the Zebrafish Embryo (Danio rerio)</t>
        </is>
      </c>
      <c r="CG230" t="inlineStr">
        <is>
          <t>Environ. Sci. Technol.53(7): 3898-3907</t>
        </is>
      </c>
      <c r="CH230" t="n">
        <v>2019.0</v>
      </c>
      <c r="CI230"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231">
      <c r="A231" t="n">
        <v>2795393.0</v>
      </c>
      <c r="B231" t="inlineStr">
        <is>
          <t>1,1,2,2,3,3,4,4,5,5,6,6,7,7,8,8,8-Heptadecafluoro-1-octanesulfonic acid potassium salt</t>
        </is>
      </c>
      <c r="C231"/>
      <c r="D231" t="inlineStr">
        <is>
          <t>Measured</t>
        </is>
      </c>
      <c r="E231"/>
      <c r="F231" t="n">
        <v>86.9</v>
      </c>
      <c r="G231"/>
      <c r="H231"/>
      <c r="I231"/>
      <c r="J231"/>
      <c r="K231" t="inlineStr">
        <is>
          <t>Lepomis macrochirus</t>
        </is>
      </c>
      <c r="L231" t="inlineStr">
        <is>
          <t>Bluegill</t>
        </is>
      </c>
      <c r="M231" t="inlineStr">
        <is>
          <t>Fish; Standard Test Species</t>
        </is>
      </c>
      <c r="N231" t="inlineStr">
        <is>
          <t>Juvenile</t>
        </is>
      </c>
      <c r="O231" t="inlineStr">
        <is>
          <t>~</t>
        </is>
      </c>
      <c r="P231" t="n">
        <v>7.0</v>
      </c>
      <c r="Q231"/>
      <c r="R231"/>
      <c r="S231"/>
      <c r="T231"/>
      <c r="U231" t="inlineStr">
        <is>
          <t>Month(s)</t>
        </is>
      </c>
      <c r="V231" t="inlineStr">
        <is>
          <t>Flow-through</t>
        </is>
      </c>
      <c r="W231" t="inlineStr">
        <is>
          <t>Fresh water</t>
        </is>
      </c>
      <c r="X231" t="inlineStr">
        <is>
          <t>Lab</t>
        </is>
      </c>
      <c r="Y231" t="n">
        <v>3.0</v>
      </c>
      <c r="Z231" t="inlineStr">
        <is>
          <t>Active ingredient</t>
        </is>
      </c>
      <c r="AA231"/>
      <c r="AB231" t="n">
        <v>0.87</v>
      </c>
      <c r="AC231"/>
      <c r="AD231"/>
      <c r="AE231"/>
      <c r="AF231"/>
      <c r="AG231" t="inlineStr">
        <is>
          <t>AI mg/L</t>
        </is>
      </c>
      <c r="AH231"/>
      <c r="AI231"/>
      <c r="AJ231"/>
      <c r="AK231"/>
      <c r="AL231"/>
      <c r="AM231"/>
      <c r="AN231"/>
      <c r="AO231"/>
      <c r="AP231"/>
      <c r="AQ231"/>
      <c r="AR231"/>
      <c r="AS231"/>
      <c r="AT231"/>
      <c r="AU231"/>
      <c r="AV231"/>
      <c r="AW231"/>
      <c r="AX231" t="inlineStr">
        <is>
          <t>Accumulation</t>
        </is>
      </c>
      <c r="AY231" t="inlineStr">
        <is>
          <t>Residue</t>
        </is>
      </c>
      <c r="AZ231" t="inlineStr">
        <is>
          <t>BCF</t>
        </is>
      </c>
      <c r="BA231" t="inlineStr">
        <is>
          <t>Multiple tissueorgan</t>
        </is>
      </c>
      <c r="BB231"/>
      <c r="BC231" t="n">
        <v>28.0</v>
      </c>
      <c r="BD231"/>
      <c r="BE231"/>
      <c r="BF231"/>
      <c r="BG231"/>
      <c r="BH231" t="inlineStr">
        <is>
          <t>Day(s)</t>
        </is>
      </c>
      <c r="BI231"/>
      <c r="BJ231" t="n">
        <v>386.0</v>
      </c>
      <c r="BK231"/>
      <c r="BL231"/>
      <c r="BM231"/>
      <c r="BN231"/>
      <c r="BO231" t="inlineStr">
        <is>
          <t>L/kg</t>
        </is>
      </c>
      <c r="BP231"/>
      <c r="BQ231"/>
      <c r="BR231"/>
      <c r="BS231"/>
      <c r="BT231"/>
      <c r="BU231"/>
      <c r="BV231"/>
      <c r="BW231"/>
      <c r="BX231"/>
      <c r="BY231"/>
      <c r="BZ231"/>
      <c r="CA231"/>
      <c r="CB231"/>
      <c r="CC231"/>
      <c r="CD231" t="inlineStr">
        <is>
          <t>Drottar,K.R., R.L. VanHoven, and H.O. Krueger</t>
        </is>
      </c>
      <c r="CE231" t="n">
        <v>175359.0</v>
      </c>
      <c r="CF231" t="inlineStr">
        <is>
          <t>Perfluorooctanesulfonate, Potassium Salt (PFOS): A Flow-Through Bioconcentration Test with the Bluegill (Lepomis macrochirus)</t>
        </is>
      </c>
      <c r="CG231" t="inlineStr">
        <is>
          <t>Project 454A-134, Wildlife International Ltd., Easton, MD:129 p.</t>
        </is>
      </c>
      <c r="CH231" t="n">
        <v>2001.0</v>
      </c>
      <c r="CI231" t="inlineStr">
        <is>
          <t>Drottar,K.R., R.L. VanHoven, and H.O. Krueger (2001). Perfluorooctanesulfonate, Potassium Salt (PFOS): A Flow-Through Bioconcentration Test with the Bluegill (Lepomis macrochirus). Project 454A-134, Wildlife International Ltd., Easton, MD, 129 p. ECOREF#:175359</t>
        </is>
      </c>
    </row>
    <row r="232">
      <c r="A232" t="n">
        <v>2795393.0</v>
      </c>
      <c r="B232" t="inlineStr">
        <is>
          <t>1,1,2,2,3,3,4,4,5,5,6,6,7,7,8,8,8-Heptadecafluoro-1-octanesulfonic acid potassium salt</t>
        </is>
      </c>
      <c r="C232"/>
      <c r="D232" t="inlineStr">
        <is>
          <t>Measured</t>
        </is>
      </c>
      <c r="E232" t="inlineStr">
        <is>
          <t>&gt;</t>
        </is>
      </c>
      <c r="F232" t="n">
        <v>98.0</v>
      </c>
      <c r="G232"/>
      <c r="H232"/>
      <c r="I232"/>
      <c r="J232"/>
      <c r="K232" t="inlineStr">
        <is>
          <t>Danio rerio</t>
        </is>
      </c>
      <c r="L232" t="inlineStr">
        <is>
          <t>Zebra Danio</t>
        </is>
      </c>
      <c r="M232" t="inlineStr">
        <is>
          <t>Fish; Standard Test Species</t>
        </is>
      </c>
      <c r="N232" t="inlineStr">
        <is>
          <t>Embryo</t>
        </is>
      </c>
      <c r="O232"/>
      <c r="P232" t="n">
        <v>7.0</v>
      </c>
      <c r="Q232"/>
      <c r="R232"/>
      <c r="S232"/>
      <c r="T232"/>
      <c r="U232" t="inlineStr">
        <is>
          <t>Hours post fertilization</t>
        </is>
      </c>
      <c r="V232" t="inlineStr">
        <is>
          <t>Multiple routes between application groups</t>
        </is>
      </c>
      <c r="W232" t="inlineStr">
        <is>
          <t>Culture</t>
        </is>
      </c>
      <c r="X232" t="inlineStr">
        <is>
          <t>Lab</t>
        </is>
      </c>
      <c r="Y232" t="n">
        <v>6.0</v>
      </c>
      <c r="Z232" t="inlineStr">
        <is>
          <t>Active ingredient</t>
        </is>
      </c>
      <c r="AA232"/>
      <c r="AB232"/>
      <c r="AC232"/>
      <c r="AD232" t="n">
        <v>143.0</v>
      </c>
      <c r="AE232"/>
      <c r="AF232" t="n">
        <v>179.0</v>
      </c>
      <c r="AG232" t="inlineStr">
        <is>
          <t>ug/L</t>
        </is>
      </c>
      <c r="AH232"/>
      <c r="AI232"/>
      <c r="AJ232"/>
      <c r="AK232"/>
      <c r="AL232"/>
      <c r="AM232"/>
      <c r="AN232"/>
      <c r="AO232"/>
      <c r="AP232"/>
      <c r="AQ232"/>
      <c r="AR232"/>
      <c r="AS232"/>
      <c r="AT232"/>
      <c r="AU232"/>
      <c r="AV232"/>
      <c r="AW232"/>
      <c r="AX232" t="inlineStr">
        <is>
          <t>Accumulation</t>
        </is>
      </c>
      <c r="AY232" t="inlineStr">
        <is>
          <t>Residue</t>
        </is>
      </c>
      <c r="AZ232" t="inlineStr">
        <is>
          <t>BCF</t>
        </is>
      </c>
      <c r="BA232" t="inlineStr">
        <is>
          <t>Whole organism</t>
        </is>
      </c>
      <c r="BB232"/>
      <c r="BC232" t="n">
        <v>29.0</v>
      </c>
      <c r="BD232"/>
      <c r="BE232"/>
      <c r="BF232"/>
      <c r="BG232"/>
      <c r="BH232" t="inlineStr">
        <is>
          <t>Day(s)</t>
        </is>
      </c>
      <c r="BI232"/>
      <c r="BJ232"/>
      <c r="BK232" t="inlineStr">
        <is>
          <t>&gt;</t>
        </is>
      </c>
      <c r="BL232" t="n">
        <v>400.0</v>
      </c>
      <c r="BM232" t="inlineStr">
        <is>
          <t>&lt;</t>
        </is>
      </c>
      <c r="BN232" t="n">
        <v>500.0</v>
      </c>
      <c r="BO232" t="inlineStr">
        <is>
          <t>L/kg</t>
        </is>
      </c>
      <c r="BP232"/>
      <c r="BQ232"/>
      <c r="BR232"/>
      <c r="BS232"/>
      <c r="BT232"/>
      <c r="BU232"/>
      <c r="BV232"/>
      <c r="BW232"/>
      <c r="BX232"/>
      <c r="BY232"/>
      <c r="BZ232"/>
      <c r="CA232"/>
      <c r="CB232"/>
      <c r="CC232"/>
      <c r="CD232" t="inlineStr">
        <is>
          <t>Gust,K.A., A.N. Kimble, J.E. Mylroie, M.L. Mayo, M.S. Wilbanks, C.S.C. Steward, K.A. Chapman, G.R. Lotufo, N. Garcia-Re</t>
        </is>
      </c>
      <c r="CE232" t="n">
        <v>193995.0</v>
      </c>
      <c r="CF232" t="inlineStr">
        <is>
          <t>Bioconcentration, Maternal Transfer, and Toxicokinetics of PFOS in a Multi-Generational Zebrafish Exposure</t>
        </is>
      </c>
      <c r="CG232" t="inlineStr">
        <is>
          <t>Environ. Toxicol. Chem.44(1): 207-219</t>
        </is>
      </c>
      <c r="CH232" t="n">
        <v>2025.0</v>
      </c>
      <c r="CI232"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33">
      <c r="A233" t="n">
        <v>2795393.0</v>
      </c>
      <c r="B233" t="inlineStr">
        <is>
          <t>1,1,2,2,3,3,4,4,5,5,6,6,7,7,8,8,8-Heptadecafluoro-1-octanesulfonic acid potassium salt</t>
        </is>
      </c>
      <c r="C233"/>
      <c r="D233" t="inlineStr">
        <is>
          <t>Measured</t>
        </is>
      </c>
      <c r="E233" t="inlineStr">
        <is>
          <t>&gt;</t>
        </is>
      </c>
      <c r="F233" t="n">
        <v>98.0</v>
      </c>
      <c r="G233"/>
      <c r="H233"/>
      <c r="I233"/>
      <c r="J233"/>
      <c r="K233" t="inlineStr">
        <is>
          <t>Danio rerio</t>
        </is>
      </c>
      <c r="L233" t="inlineStr">
        <is>
          <t>Zebra Danio</t>
        </is>
      </c>
      <c r="M233" t="inlineStr">
        <is>
          <t>Fish; Standard Test Species</t>
        </is>
      </c>
      <c r="N233" t="inlineStr">
        <is>
          <t>Embryo</t>
        </is>
      </c>
      <c r="O233"/>
      <c r="P233" t="n">
        <v>7.0</v>
      </c>
      <c r="Q233"/>
      <c r="R233"/>
      <c r="S233"/>
      <c r="T233"/>
      <c r="U233" t="inlineStr">
        <is>
          <t>Hours post fertilization</t>
        </is>
      </c>
      <c r="V233" t="inlineStr">
        <is>
          <t>Multiple routes between application groups</t>
        </is>
      </c>
      <c r="W233" t="inlineStr">
        <is>
          <t>Culture</t>
        </is>
      </c>
      <c r="X233" t="inlineStr">
        <is>
          <t>Lab</t>
        </is>
      </c>
      <c r="Y233" t="n">
        <v>6.0</v>
      </c>
      <c r="Z233" t="inlineStr">
        <is>
          <t>Active ingredient</t>
        </is>
      </c>
      <c r="AA233"/>
      <c r="AB233"/>
      <c r="AC233"/>
      <c r="AD233" t="n">
        <v>14.0</v>
      </c>
      <c r="AE233"/>
      <c r="AF233" t="n">
        <v>36.0</v>
      </c>
      <c r="AG233" t="inlineStr">
        <is>
          <t>ug/L</t>
        </is>
      </c>
      <c r="AH233"/>
      <c r="AI233"/>
      <c r="AJ233"/>
      <c r="AK233"/>
      <c r="AL233"/>
      <c r="AM233"/>
      <c r="AN233"/>
      <c r="AO233"/>
      <c r="AP233"/>
      <c r="AQ233"/>
      <c r="AR233"/>
      <c r="AS233"/>
      <c r="AT233"/>
      <c r="AU233"/>
      <c r="AV233"/>
      <c r="AW233"/>
      <c r="AX233" t="inlineStr">
        <is>
          <t>Accumulation</t>
        </is>
      </c>
      <c r="AY233" t="inlineStr">
        <is>
          <t>Residue</t>
        </is>
      </c>
      <c r="AZ233" t="inlineStr">
        <is>
          <t>BCF</t>
        </is>
      </c>
      <c r="BA233" t="inlineStr">
        <is>
          <t>Whole organism</t>
        </is>
      </c>
      <c r="BB233"/>
      <c r="BC233" t="n">
        <v>180.0</v>
      </c>
      <c r="BD233"/>
      <c r="BE233"/>
      <c r="BF233"/>
      <c r="BG233"/>
      <c r="BH233" t="inlineStr">
        <is>
          <t>Day(s)</t>
        </is>
      </c>
      <c r="BI233" t="inlineStr">
        <is>
          <t>~</t>
        </is>
      </c>
      <c r="BJ233" t="n">
        <v>400.0</v>
      </c>
      <c r="BK233"/>
      <c r="BL233"/>
      <c r="BM233"/>
      <c r="BN233"/>
      <c r="BO233" t="inlineStr">
        <is>
          <t>L/kg</t>
        </is>
      </c>
      <c r="BP233"/>
      <c r="BQ233"/>
      <c r="BR233"/>
      <c r="BS233"/>
      <c r="BT233"/>
      <c r="BU233"/>
      <c r="BV233"/>
      <c r="BW233"/>
      <c r="BX233"/>
      <c r="BY233"/>
      <c r="BZ233"/>
      <c r="CA233"/>
      <c r="CB233"/>
      <c r="CC233"/>
      <c r="CD233" t="inlineStr">
        <is>
          <t>Gust,K.A., A.N. Kimble, J.E. Mylroie, M.L. Mayo, M.S. Wilbanks, C.S.C. Steward, K.A. Chapman, G.R. Lotufo, N. Garcia-Re</t>
        </is>
      </c>
      <c r="CE233" t="n">
        <v>193995.0</v>
      </c>
      <c r="CF233" t="inlineStr">
        <is>
          <t>Bioconcentration, Maternal Transfer, and Toxicokinetics of PFOS in a Multi-Generational Zebrafish Exposure</t>
        </is>
      </c>
      <c r="CG233" t="inlineStr">
        <is>
          <t>Environ. Toxicol. Chem.44(1): 207-219</t>
        </is>
      </c>
      <c r="CH233" t="n">
        <v>2025.0</v>
      </c>
      <c r="CI233"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34">
      <c r="A234" t="n">
        <v>2795393.0</v>
      </c>
      <c r="B234" t="inlineStr">
        <is>
          <t>1,1,2,2,3,3,4,4,5,5,6,6,7,7,8,8,8-Heptadecafluoro-1-octanesulfonic acid potassium salt</t>
        </is>
      </c>
      <c r="C234"/>
      <c r="D234" t="inlineStr">
        <is>
          <t>Measured</t>
        </is>
      </c>
      <c r="E234"/>
      <c r="F234" t="n">
        <v>86.9</v>
      </c>
      <c r="G234"/>
      <c r="H234"/>
      <c r="I234"/>
      <c r="J234"/>
      <c r="K234" t="inlineStr">
        <is>
          <t>Lepomis macrochirus</t>
        </is>
      </c>
      <c r="L234" t="inlineStr">
        <is>
          <t>Bluegill</t>
        </is>
      </c>
      <c r="M234" t="inlineStr">
        <is>
          <t>Fish; Standard Test Species</t>
        </is>
      </c>
      <c r="N234" t="inlineStr">
        <is>
          <t>Juvenile</t>
        </is>
      </c>
      <c r="O234" t="inlineStr">
        <is>
          <t>~</t>
        </is>
      </c>
      <c r="P234" t="n">
        <v>7.0</v>
      </c>
      <c r="Q234"/>
      <c r="R234"/>
      <c r="S234"/>
      <c r="T234"/>
      <c r="U234" t="inlineStr">
        <is>
          <t>Month(s)</t>
        </is>
      </c>
      <c r="V234" t="inlineStr">
        <is>
          <t>Flow-through</t>
        </is>
      </c>
      <c r="W234" t="inlineStr">
        <is>
          <t>Fresh water</t>
        </is>
      </c>
      <c r="X234" t="inlineStr">
        <is>
          <t>Lab</t>
        </is>
      </c>
      <c r="Y234" t="n">
        <v>3.0</v>
      </c>
      <c r="Z234" t="inlineStr">
        <is>
          <t>Active ingredient</t>
        </is>
      </c>
      <c r="AA234"/>
      <c r="AB234" t="n">
        <v>0.086</v>
      </c>
      <c r="AC234"/>
      <c r="AD234"/>
      <c r="AE234"/>
      <c r="AF234"/>
      <c r="AG234" t="inlineStr">
        <is>
          <t>AI mg/L</t>
        </is>
      </c>
      <c r="AH234"/>
      <c r="AI234"/>
      <c r="AJ234"/>
      <c r="AK234"/>
      <c r="AL234"/>
      <c r="AM234"/>
      <c r="AN234"/>
      <c r="AO234"/>
      <c r="AP234"/>
      <c r="AQ234"/>
      <c r="AR234"/>
      <c r="AS234"/>
      <c r="AT234"/>
      <c r="AU234"/>
      <c r="AV234"/>
      <c r="AW234"/>
      <c r="AX234" t="inlineStr">
        <is>
          <t>Accumulation</t>
        </is>
      </c>
      <c r="AY234" t="inlineStr">
        <is>
          <t>Residue</t>
        </is>
      </c>
      <c r="AZ234" t="inlineStr">
        <is>
          <t>BCF</t>
        </is>
      </c>
      <c r="BA234" t="inlineStr">
        <is>
          <t>Edible tissue</t>
        </is>
      </c>
      <c r="BB234"/>
      <c r="BC234"/>
      <c r="BD234"/>
      <c r="BE234" t="n">
        <v>49.0</v>
      </c>
      <c r="BF234"/>
      <c r="BG234" t="n">
        <v>62.0</v>
      </c>
      <c r="BH234" t="inlineStr">
        <is>
          <t>Day(s)</t>
        </is>
      </c>
      <c r="BI234"/>
      <c r="BJ234" t="n">
        <v>484.0</v>
      </c>
      <c r="BK234"/>
      <c r="BL234"/>
      <c r="BM234"/>
      <c r="BN234"/>
      <c r="BO234" t="inlineStr">
        <is>
          <t>L/kg</t>
        </is>
      </c>
      <c r="BP234"/>
      <c r="BQ234"/>
      <c r="BR234"/>
      <c r="BS234"/>
      <c r="BT234"/>
      <c r="BU234"/>
      <c r="BV234"/>
      <c r="BW234"/>
      <c r="BX234"/>
      <c r="BY234"/>
      <c r="BZ234"/>
      <c r="CA234"/>
      <c r="CB234"/>
      <c r="CC234"/>
      <c r="CD234" t="inlineStr">
        <is>
          <t>Drottar,K.R., R.L. VanHoven, and H.O. Krueger</t>
        </is>
      </c>
      <c r="CE234" t="n">
        <v>175359.0</v>
      </c>
      <c r="CF234" t="inlineStr">
        <is>
          <t>Perfluorooctanesulfonate, Potassium Salt (PFOS): A Flow-Through Bioconcentration Test with the Bluegill (Lepomis macrochirus)</t>
        </is>
      </c>
      <c r="CG234" t="inlineStr">
        <is>
          <t>Project 454A-134, Wildlife International Ltd., Easton, MD:129 p.</t>
        </is>
      </c>
      <c r="CH234" t="n">
        <v>2001.0</v>
      </c>
      <c r="CI234" t="inlineStr">
        <is>
          <t>Drottar,K.R., R.L. VanHoven, and H.O. Krueger (2001). Perfluorooctanesulfonate, Potassium Salt (PFOS): A Flow-Through Bioconcentration Test with the Bluegill (Lepomis macrochirus). Project 454A-134, Wildlife International Ltd., Easton, MD, 129 p. ECOREF#:175359</t>
        </is>
      </c>
    </row>
    <row r="235">
      <c r="A235" t="n">
        <v>2795393.0</v>
      </c>
      <c r="B235" t="inlineStr">
        <is>
          <t>1,1,2,2,3,3,4,4,5,5,6,6,7,7,8,8,8-Heptadecafluoro-1-octanesulfonic acid potassium salt</t>
        </is>
      </c>
      <c r="C235"/>
      <c r="D235" t="inlineStr">
        <is>
          <t>Measured</t>
        </is>
      </c>
      <c r="E235" t="inlineStr">
        <is>
          <t>&gt;</t>
        </is>
      </c>
      <c r="F235" t="n">
        <v>98.0</v>
      </c>
      <c r="G235"/>
      <c r="H235"/>
      <c r="I235"/>
      <c r="J235"/>
      <c r="K235" t="inlineStr">
        <is>
          <t>Danio rerio</t>
        </is>
      </c>
      <c r="L235" t="inlineStr">
        <is>
          <t>Zebra Danio</t>
        </is>
      </c>
      <c r="M235" t="inlineStr">
        <is>
          <t>Fish; Standard Test Species</t>
        </is>
      </c>
      <c r="N235" t="inlineStr">
        <is>
          <t>Embryo</t>
        </is>
      </c>
      <c r="O235"/>
      <c r="P235" t="n">
        <v>7.0</v>
      </c>
      <c r="Q235"/>
      <c r="R235"/>
      <c r="S235"/>
      <c r="T235"/>
      <c r="U235" t="inlineStr">
        <is>
          <t>Hours post fertilization</t>
        </is>
      </c>
      <c r="V235" t="inlineStr">
        <is>
          <t>Multiple routes between application groups</t>
        </is>
      </c>
      <c r="W235" t="inlineStr">
        <is>
          <t>Culture</t>
        </is>
      </c>
      <c r="X235" t="inlineStr">
        <is>
          <t>Lab</t>
        </is>
      </c>
      <c r="Y235" t="n">
        <v>6.0</v>
      </c>
      <c r="Z235" t="inlineStr">
        <is>
          <t>Active ingredient</t>
        </is>
      </c>
      <c r="AA235"/>
      <c r="AB235"/>
      <c r="AC235"/>
      <c r="AD235" t="n">
        <v>0.3</v>
      </c>
      <c r="AE235"/>
      <c r="AF235" t="n">
        <v>0.8</v>
      </c>
      <c r="AG235" t="inlineStr">
        <is>
          <t>ug/L</t>
        </is>
      </c>
      <c r="AH235"/>
      <c r="AI235"/>
      <c r="AJ235"/>
      <c r="AK235"/>
      <c r="AL235"/>
      <c r="AM235"/>
      <c r="AN235"/>
      <c r="AO235"/>
      <c r="AP235"/>
      <c r="AQ235"/>
      <c r="AR235"/>
      <c r="AS235"/>
      <c r="AT235"/>
      <c r="AU235"/>
      <c r="AV235"/>
      <c r="AW235"/>
      <c r="AX235" t="inlineStr">
        <is>
          <t>Accumulation</t>
        </is>
      </c>
      <c r="AY235" t="inlineStr">
        <is>
          <t>Residue</t>
        </is>
      </c>
      <c r="AZ235" t="inlineStr">
        <is>
          <t>BCF</t>
        </is>
      </c>
      <c r="BA235" t="inlineStr">
        <is>
          <t>Whole organism</t>
        </is>
      </c>
      <c r="BB235"/>
      <c r="BC235" t="n">
        <v>180.0</v>
      </c>
      <c r="BD235"/>
      <c r="BE235"/>
      <c r="BF235"/>
      <c r="BG235"/>
      <c r="BH235" t="inlineStr">
        <is>
          <t>Day(s)</t>
        </is>
      </c>
      <c r="BI235"/>
      <c r="BJ235"/>
      <c r="BK235" t="inlineStr">
        <is>
          <t>&gt;</t>
        </is>
      </c>
      <c r="BL235" t="n">
        <v>500.0</v>
      </c>
      <c r="BM235" t="inlineStr">
        <is>
          <t>&lt;</t>
        </is>
      </c>
      <c r="BN235" t="n">
        <v>600.0</v>
      </c>
      <c r="BO235" t="inlineStr">
        <is>
          <t>L/kg</t>
        </is>
      </c>
      <c r="BP235"/>
      <c r="BQ235"/>
      <c r="BR235"/>
      <c r="BS235"/>
      <c r="BT235"/>
      <c r="BU235"/>
      <c r="BV235"/>
      <c r="BW235"/>
      <c r="BX235"/>
      <c r="BY235"/>
      <c r="BZ235"/>
      <c r="CA235"/>
      <c r="CB235"/>
      <c r="CC235"/>
      <c r="CD235" t="inlineStr">
        <is>
          <t>Gust,K.A., A.N. Kimble, J.E. Mylroie, M.L. Mayo, M.S. Wilbanks, C.S.C. Steward, K.A. Chapman, G.R. Lotufo, N. Garcia-Re</t>
        </is>
      </c>
      <c r="CE235" t="n">
        <v>193995.0</v>
      </c>
      <c r="CF235" t="inlineStr">
        <is>
          <t>Bioconcentration, Maternal Transfer, and Toxicokinetics of PFOS in a Multi-Generational Zebrafish Exposure</t>
        </is>
      </c>
      <c r="CG235" t="inlineStr">
        <is>
          <t>Environ. Toxicol. Chem.44(1): 207-219</t>
        </is>
      </c>
      <c r="CH235" t="n">
        <v>2025.0</v>
      </c>
      <c r="CI235"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36">
      <c r="A236" t="n">
        <v>2795393.0</v>
      </c>
      <c r="B236" t="inlineStr">
        <is>
          <t>1,1,2,2,3,3,4,4,5,5,6,6,7,7,8,8,8-Heptadecafluoro-1-octanesulfonic acid potassium salt</t>
        </is>
      </c>
      <c r="C236"/>
      <c r="D236" t="inlineStr">
        <is>
          <t>Measured</t>
        </is>
      </c>
      <c r="E236" t="inlineStr">
        <is>
          <t>&gt;</t>
        </is>
      </c>
      <c r="F236" t="n">
        <v>98.0</v>
      </c>
      <c r="G236"/>
      <c r="H236"/>
      <c r="I236"/>
      <c r="J236"/>
      <c r="K236" t="inlineStr">
        <is>
          <t>Danio rerio</t>
        </is>
      </c>
      <c r="L236" t="inlineStr">
        <is>
          <t>Zebra Danio</t>
        </is>
      </c>
      <c r="M236" t="inlineStr">
        <is>
          <t>Fish; Standard Test Species</t>
        </is>
      </c>
      <c r="N236" t="inlineStr">
        <is>
          <t>Embryo</t>
        </is>
      </c>
      <c r="O236"/>
      <c r="P236" t="n">
        <v>7.0</v>
      </c>
      <c r="Q236"/>
      <c r="R236"/>
      <c r="S236"/>
      <c r="T236"/>
      <c r="U236" t="inlineStr">
        <is>
          <t>Hours post fertilization</t>
        </is>
      </c>
      <c r="V236" t="inlineStr">
        <is>
          <t>Multiple routes between application groups</t>
        </is>
      </c>
      <c r="W236" t="inlineStr">
        <is>
          <t>Culture</t>
        </is>
      </c>
      <c r="X236" t="inlineStr">
        <is>
          <t>Lab</t>
        </is>
      </c>
      <c r="Y236" t="n">
        <v>6.0</v>
      </c>
      <c r="Z236" t="inlineStr">
        <is>
          <t>Active ingredient</t>
        </is>
      </c>
      <c r="AA236"/>
      <c r="AB236"/>
      <c r="AC236"/>
      <c r="AD236" t="n">
        <v>14.0</v>
      </c>
      <c r="AE236"/>
      <c r="AF236" t="n">
        <v>36.0</v>
      </c>
      <c r="AG236" t="inlineStr">
        <is>
          <t>ug/L</t>
        </is>
      </c>
      <c r="AH236"/>
      <c r="AI236"/>
      <c r="AJ236"/>
      <c r="AK236"/>
      <c r="AL236"/>
      <c r="AM236"/>
      <c r="AN236"/>
      <c r="AO236"/>
      <c r="AP236"/>
      <c r="AQ236"/>
      <c r="AR236"/>
      <c r="AS236"/>
      <c r="AT236"/>
      <c r="AU236"/>
      <c r="AV236"/>
      <c r="AW236"/>
      <c r="AX236" t="inlineStr">
        <is>
          <t>Accumulation</t>
        </is>
      </c>
      <c r="AY236" t="inlineStr">
        <is>
          <t>Residue</t>
        </is>
      </c>
      <c r="AZ236" t="inlineStr">
        <is>
          <t>BCF</t>
        </is>
      </c>
      <c r="BA236" t="inlineStr">
        <is>
          <t>Whole organism</t>
        </is>
      </c>
      <c r="BB236"/>
      <c r="BC236" t="n">
        <v>360.0</v>
      </c>
      <c r="BD236"/>
      <c r="BE236"/>
      <c r="BF236"/>
      <c r="BG236"/>
      <c r="BH236" t="inlineStr">
        <is>
          <t>Day(s)</t>
        </is>
      </c>
      <c r="BI236" t="inlineStr">
        <is>
          <t>~</t>
        </is>
      </c>
      <c r="BJ236" t="n">
        <v>500.0</v>
      </c>
      <c r="BK236"/>
      <c r="BL236"/>
      <c r="BM236"/>
      <c r="BN236"/>
      <c r="BO236" t="inlineStr">
        <is>
          <t>L/kg</t>
        </is>
      </c>
      <c r="BP236"/>
      <c r="BQ236"/>
      <c r="BR236"/>
      <c r="BS236"/>
      <c r="BT236"/>
      <c r="BU236"/>
      <c r="BV236"/>
      <c r="BW236"/>
      <c r="BX236"/>
      <c r="BY236"/>
      <c r="BZ236"/>
      <c r="CA236"/>
      <c r="CB236"/>
      <c r="CC236"/>
      <c r="CD236" t="inlineStr">
        <is>
          <t>Gust,K.A., A.N. Kimble, J.E. Mylroie, M.L. Mayo, M.S. Wilbanks, C.S.C. Steward, K.A. Chapman, G.R. Lotufo, N. Garcia-Re</t>
        </is>
      </c>
      <c r="CE236" t="n">
        <v>193995.0</v>
      </c>
      <c r="CF236" t="inlineStr">
        <is>
          <t>Bioconcentration, Maternal Transfer, and Toxicokinetics of PFOS in a Multi-Generational Zebrafish Exposure</t>
        </is>
      </c>
      <c r="CG236" t="inlineStr">
        <is>
          <t>Environ. Toxicol. Chem.44(1): 207-219</t>
        </is>
      </c>
      <c r="CH236" t="n">
        <v>2025.0</v>
      </c>
      <c r="CI236"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37">
      <c r="A237" t="n">
        <v>2795393.0</v>
      </c>
      <c r="B237" t="inlineStr">
        <is>
          <t>1,1,2,2,3,3,4,4,5,5,6,6,7,7,8,8,8-Heptadecafluoro-1-octanesulfonic acid potassium salt</t>
        </is>
      </c>
      <c r="C237"/>
      <c r="D237" t="inlineStr">
        <is>
          <t>Measured</t>
        </is>
      </c>
      <c r="E237" t="inlineStr">
        <is>
          <t>&gt;=</t>
        </is>
      </c>
      <c r="F237" t="n">
        <v>98.0</v>
      </c>
      <c r="G237"/>
      <c r="H237"/>
      <c r="I237"/>
      <c r="J237"/>
      <c r="K237" t="inlineStr">
        <is>
          <t>Danio rerio</t>
        </is>
      </c>
      <c r="L237" t="inlineStr">
        <is>
          <t>Zebra Danio</t>
        </is>
      </c>
      <c r="M237" t="inlineStr">
        <is>
          <t>Fish; Standard Test Species</t>
        </is>
      </c>
      <c r="N237" t="inlineStr">
        <is>
          <t>Embryo</t>
        </is>
      </c>
      <c r="O237"/>
      <c r="P237" t="n">
        <v>2.0</v>
      </c>
      <c r="Q237"/>
      <c r="R237"/>
      <c r="S237"/>
      <c r="T237"/>
      <c r="U237" t="inlineStr">
        <is>
          <t>Hours post fertilization</t>
        </is>
      </c>
      <c r="V237" t="inlineStr">
        <is>
          <t>Renewal</t>
        </is>
      </c>
      <c r="W237" t="inlineStr">
        <is>
          <t>Fresh water</t>
        </is>
      </c>
      <c r="X237" t="inlineStr">
        <is>
          <t>Lab</t>
        </is>
      </c>
      <c r="Y237" t="n">
        <v>4.0</v>
      </c>
      <c r="Z237" t="inlineStr">
        <is>
          <t>Active ingredient</t>
        </is>
      </c>
      <c r="AA237"/>
      <c r="AB237" t="n">
        <v>0.021569012</v>
      </c>
      <c r="AC237"/>
      <c r="AD237"/>
      <c r="AE237"/>
      <c r="AF237"/>
      <c r="AG237" t="inlineStr">
        <is>
          <t>AI mg/L</t>
        </is>
      </c>
      <c r="AH237"/>
      <c r="AI237"/>
      <c r="AJ237"/>
      <c r="AK237"/>
      <c r="AL237"/>
      <c r="AM237"/>
      <c r="AN237"/>
      <c r="AO237"/>
      <c r="AP237"/>
      <c r="AQ237"/>
      <c r="AR237"/>
      <c r="AS237"/>
      <c r="AT237"/>
      <c r="AU237"/>
      <c r="AV237"/>
      <c r="AW237"/>
      <c r="AX237" t="inlineStr">
        <is>
          <t>Accumulation</t>
        </is>
      </c>
      <c r="AY237" t="inlineStr">
        <is>
          <t>Residue</t>
        </is>
      </c>
      <c r="AZ237" t="inlineStr">
        <is>
          <t>BCF</t>
        </is>
      </c>
      <c r="BA237" t="inlineStr">
        <is>
          <t>Whole organism</t>
        </is>
      </c>
      <c r="BB237"/>
      <c r="BC237" t="n">
        <v>4.9167</v>
      </c>
      <c r="BD237"/>
      <c r="BE237"/>
      <c r="BF237"/>
      <c r="BG237"/>
      <c r="BH237" t="inlineStr">
        <is>
          <t>Day(s)</t>
        </is>
      </c>
      <c r="BI237"/>
      <c r="BJ237" t="n">
        <v>510.0</v>
      </c>
      <c r="BK237"/>
      <c r="BL237"/>
      <c r="BM237"/>
      <c r="BN237"/>
      <c r="BO237" t="inlineStr">
        <is>
          <t>RA</t>
        </is>
      </c>
      <c r="BP237"/>
      <c r="BQ237"/>
      <c r="BR237"/>
      <c r="BS237"/>
      <c r="BT237"/>
      <c r="BU237"/>
      <c r="BV237"/>
      <c r="BW237"/>
      <c r="BX237"/>
      <c r="BY237"/>
      <c r="BZ237"/>
      <c r="CA237"/>
      <c r="CB237"/>
      <c r="CC237"/>
      <c r="CD237" t="inlineStr">
        <is>
          <t>Vogs,C., G. Johanson, M. Naslund, S. Wulff, M. Sjodin, M. Hellstrandh, J. Lindberg, and E. Wincent</t>
        </is>
      </c>
      <c r="CE237" t="n">
        <v>181482.0</v>
      </c>
      <c r="CF237" t="inlineStr">
        <is>
          <t>Toxicokinetics of Perfluorinated Alkyl Acids Influences Their Toxic Potency in the Zebrafish Embryo (Danio rerio)</t>
        </is>
      </c>
      <c r="CG237" t="inlineStr">
        <is>
          <t>Environ. Sci. Technol.53(7): 3898-3907</t>
        </is>
      </c>
      <c r="CH237" t="n">
        <v>2019.0</v>
      </c>
      <c r="CI237"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238">
      <c r="A238" t="n">
        <v>2795393.0</v>
      </c>
      <c r="B238" t="inlineStr">
        <is>
          <t>1,1,2,2,3,3,4,4,5,5,6,6,7,7,8,8,8-Heptadecafluoro-1-octanesulfonic acid potassium salt</t>
        </is>
      </c>
      <c r="C238"/>
      <c r="D238" t="inlineStr">
        <is>
          <t>Measured</t>
        </is>
      </c>
      <c r="E238" t="inlineStr">
        <is>
          <t>&gt;</t>
        </is>
      </c>
      <c r="F238" t="n">
        <v>98.0</v>
      </c>
      <c r="G238"/>
      <c r="H238"/>
      <c r="I238"/>
      <c r="J238"/>
      <c r="K238" t="inlineStr">
        <is>
          <t>Danio rerio</t>
        </is>
      </c>
      <c r="L238" t="inlineStr">
        <is>
          <t>Zebra Danio</t>
        </is>
      </c>
      <c r="M238" t="inlineStr">
        <is>
          <t>Fish; Standard Test Species</t>
        </is>
      </c>
      <c r="N238" t="inlineStr">
        <is>
          <t>Embryo</t>
        </is>
      </c>
      <c r="O238"/>
      <c r="P238" t="n">
        <v>7.0</v>
      </c>
      <c r="Q238"/>
      <c r="R238"/>
      <c r="S238"/>
      <c r="T238"/>
      <c r="U238" t="inlineStr">
        <is>
          <t>Hours post fertilization</t>
        </is>
      </c>
      <c r="V238" t="inlineStr">
        <is>
          <t>Multiple routes between application groups</t>
        </is>
      </c>
      <c r="W238" t="inlineStr">
        <is>
          <t>Culture</t>
        </is>
      </c>
      <c r="X238" t="inlineStr">
        <is>
          <t>Lab</t>
        </is>
      </c>
      <c r="Y238" t="n">
        <v>6.0</v>
      </c>
      <c r="Z238" t="inlineStr">
        <is>
          <t>Active ingredient</t>
        </is>
      </c>
      <c r="AA238"/>
      <c r="AB238" t="n">
        <v>143.0</v>
      </c>
      <c r="AC238"/>
      <c r="AD238"/>
      <c r="AE238"/>
      <c r="AF238"/>
      <c r="AG238" t="inlineStr">
        <is>
          <t>ug/L</t>
        </is>
      </c>
      <c r="AH238"/>
      <c r="AI238"/>
      <c r="AJ238"/>
      <c r="AK238"/>
      <c r="AL238"/>
      <c r="AM238"/>
      <c r="AN238"/>
      <c r="AO238"/>
      <c r="AP238"/>
      <c r="AQ238"/>
      <c r="AR238"/>
      <c r="AS238"/>
      <c r="AT238"/>
      <c r="AU238"/>
      <c r="AV238"/>
      <c r="AW238"/>
      <c r="AX238" t="inlineStr">
        <is>
          <t>Accumulation</t>
        </is>
      </c>
      <c r="AY238" t="inlineStr">
        <is>
          <t>Residue</t>
        </is>
      </c>
      <c r="AZ238" t="inlineStr">
        <is>
          <t>BCF</t>
        </is>
      </c>
      <c r="BA238" t="inlineStr">
        <is>
          <t>Whole organism</t>
        </is>
      </c>
      <c r="BB238"/>
      <c r="BC238" t="n">
        <v>14.0</v>
      </c>
      <c r="BD238"/>
      <c r="BE238"/>
      <c r="BF238"/>
      <c r="BG238"/>
      <c r="BH238" t="inlineStr">
        <is>
          <t>Day(s)</t>
        </is>
      </c>
      <c r="BI238" t="inlineStr">
        <is>
          <t>~</t>
        </is>
      </c>
      <c r="BJ238" t="n">
        <v>600.0</v>
      </c>
      <c r="BK238"/>
      <c r="BL238"/>
      <c r="BM238"/>
      <c r="BN238"/>
      <c r="BO238" t="inlineStr">
        <is>
          <t>L/kg</t>
        </is>
      </c>
      <c r="BP238"/>
      <c r="BQ238"/>
      <c r="BR238"/>
      <c r="BS238"/>
      <c r="BT238"/>
      <c r="BU238"/>
      <c r="BV238"/>
      <c r="BW238"/>
      <c r="BX238"/>
      <c r="BY238"/>
      <c r="BZ238"/>
      <c r="CA238"/>
      <c r="CB238"/>
      <c r="CC238"/>
      <c r="CD238" t="inlineStr">
        <is>
          <t>Gust,K.A., A.N. Kimble, J.E. Mylroie, M.L. Mayo, M.S. Wilbanks, C.S.C. Steward, K.A. Chapman, G.R. Lotufo, N. Garcia-Re</t>
        </is>
      </c>
      <c r="CE238" t="n">
        <v>193995.0</v>
      </c>
      <c r="CF238" t="inlineStr">
        <is>
          <t>Bioconcentration, Maternal Transfer, and Toxicokinetics of PFOS in a Multi-Generational Zebrafish Exposure</t>
        </is>
      </c>
      <c r="CG238" t="inlineStr">
        <is>
          <t>Environ. Toxicol. Chem.44(1): 207-219</t>
        </is>
      </c>
      <c r="CH238" t="n">
        <v>2025.0</v>
      </c>
      <c r="CI238"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39">
      <c r="A239" t="n">
        <v>2795393.0</v>
      </c>
      <c r="B239" t="inlineStr">
        <is>
          <t>1,1,2,2,3,3,4,4,5,5,6,6,7,7,8,8,8-Heptadecafluoro-1-octanesulfonic acid potassium salt</t>
        </is>
      </c>
      <c r="C239"/>
      <c r="D239" t="inlineStr">
        <is>
          <t>Measured</t>
        </is>
      </c>
      <c r="E239" t="inlineStr">
        <is>
          <t>&gt;</t>
        </is>
      </c>
      <c r="F239" t="n">
        <v>98.0</v>
      </c>
      <c r="G239"/>
      <c r="H239"/>
      <c r="I239"/>
      <c r="J239"/>
      <c r="K239" t="inlineStr">
        <is>
          <t>Danio rerio</t>
        </is>
      </c>
      <c r="L239" t="inlineStr">
        <is>
          <t>Zebra Danio</t>
        </is>
      </c>
      <c r="M239" t="inlineStr">
        <is>
          <t>Fish; Standard Test Species</t>
        </is>
      </c>
      <c r="N239" t="inlineStr">
        <is>
          <t>Embryo</t>
        </is>
      </c>
      <c r="O239"/>
      <c r="P239" t="n">
        <v>7.0</v>
      </c>
      <c r="Q239"/>
      <c r="R239"/>
      <c r="S239"/>
      <c r="T239"/>
      <c r="U239" t="inlineStr">
        <is>
          <t>Hours post fertilization</t>
        </is>
      </c>
      <c r="V239" t="inlineStr">
        <is>
          <t>Multiple routes between application groups</t>
        </is>
      </c>
      <c r="W239" t="inlineStr">
        <is>
          <t>Culture</t>
        </is>
      </c>
      <c r="X239" t="inlineStr">
        <is>
          <t>Lab</t>
        </is>
      </c>
      <c r="Y239" t="n">
        <v>6.0</v>
      </c>
      <c r="Z239" t="inlineStr">
        <is>
          <t>Active ingredient</t>
        </is>
      </c>
      <c r="AA239"/>
      <c r="AB239"/>
      <c r="AC239"/>
      <c r="AD239" t="n">
        <v>85.0</v>
      </c>
      <c r="AE239"/>
      <c r="AF239" t="n">
        <v>179.0</v>
      </c>
      <c r="AG239" t="inlineStr">
        <is>
          <t>ug/L</t>
        </is>
      </c>
      <c r="AH239"/>
      <c r="AI239"/>
      <c r="AJ239"/>
      <c r="AK239"/>
      <c r="AL239"/>
      <c r="AM239"/>
      <c r="AN239"/>
      <c r="AO239"/>
      <c r="AP239"/>
      <c r="AQ239"/>
      <c r="AR239"/>
      <c r="AS239"/>
      <c r="AT239"/>
      <c r="AU239"/>
      <c r="AV239"/>
      <c r="AW239"/>
      <c r="AX239" t="inlineStr">
        <is>
          <t>Accumulation</t>
        </is>
      </c>
      <c r="AY239" t="inlineStr">
        <is>
          <t>Residue</t>
        </is>
      </c>
      <c r="AZ239" t="inlineStr">
        <is>
          <t>BCF</t>
        </is>
      </c>
      <c r="BA239" t="inlineStr">
        <is>
          <t>Whole organism</t>
        </is>
      </c>
      <c r="BB239"/>
      <c r="BC239" t="n">
        <v>360.0</v>
      </c>
      <c r="BD239"/>
      <c r="BE239"/>
      <c r="BF239"/>
      <c r="BG239"/>
      <c r="BH239" t="inlineStr">
        <is>
          <t>Day(s)</t>
        </is>
      </c>
      <c r="BI239"/>
      <c r="BJ239"/>
      <c r="BK239" t="inlineStr">
        <is>
          <t>&gt;</t>
        </is>
      </c>
      <c r="BL239" t="n">
        <v>600.0</v>
      </c>
      <c r="BM239" t="inlineStr">
        <is>
          <t>&lt;</t>
        </is>
      </c>
      <c r="BN239" t="n">
        <v>700.0</v>
      </c>
      <c r="BO239" t="inlineStr">
        <is>
          <t>L/kg</t>
        </is>
      </c>
      <c r="BP239"/>
      <c r="BQ239"/>
      <c r="BR239"/>
      <c r="BS239"/>
      <c r="BT239"/>
      <c r="BU239"/>
      <c r="BV239"/>
      <c r="BW239"/>
      <c r="BX239"/>
      <c r="BY239"/>
      <c r="BZ239"/>
      <c r="CA239"/>
      <c r="CB239"/>
      <c r="CC239"/>
      <c r="CD239" t="inlineStr">
        <is>
          <t>Gust,K.A., A.N. Kimble, J.E. Mylroie, M.L. Mayo, M.S. Wilbanks, C.S.C. Steward, K.A. Chapman, G.R. Lotufo, N. Garcia-Re</t>
        </is>
      </c>
      <c r="CE239" t="n">
        <v>193995.0</v>
      </c>
      <c r="CF239" t="inlineStr">
        <is>
          <t>Bioconcentration, Maternal Transfer, and Toxicokinetics of PFOS in a Multi-Generational Zebrafish Exposure</t>
        </is>
      </c>
      <c r="CG239" t="inlineStr">
        <is>
          <t>Environ. Toxicol. Chem.44(1): 207-219</t>
        </is>
      </c>
      <c r="CH239" t="n">
        <v>2025.0</v>
      </c>
      <c r="CI239"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40">
      <c r="A240" t="n">
        <v>2795393.0</v>
      </c>
      <c r="B240" t="inlineStr">
        <is>
          <t>1,1,2,2,3,3,4,4,5,5,6,6,7,7,8,8,8-Heptadecafluoro-1-octanesulfonic acid potassium salt</t>
        </is>
      </c>
      <c r="C240"/>
      <c r="D240" t="inlineStr">
        <is>
          <t>Measured</t>
        </is>
      </c>
      <c r="E240" t="inlineStr">
        <is>
          <t>&gt;</t>
        </is>
      </c>
      <c r="F240" t="n">
        <v>98.0</v>
      </c>
      <c r="G240"/>
      <c r="H240"/>
      <c r="I240"/>
      <c r="J240"/>
      <c r="K240" t="inlineStr">
        <is>
          <t>Danio rerio</t>
        </is>
      </c>
      <c r="L240" t="inlineStr">
        <is>
          <t>Zebra Danio</t>
        </is>
      </c>
      <c r="M240" t="inlineStr">
        <is>
          <t>Fish; Standard Test Species</t>
        </is>
      </c>
      <c r="N240" t="inlineStr">
        <is>
          <t>Embryo</t>
        </is>
      </c>
      <c r="O240"/>
      <c r="P240" t="n">
        <v>7.0</v>
      </c>
      <c r="Q240"/>
      <c r="R240"/>
      <c r="S240"/>
      <c r="T240"/>
      <c r="U240" t="inlineStr">
        <is>
          <t>Hours post fertilization</t>
        </is>
      </c>
      <c r="V240" t="inlineStr">
        <is>
          <t>Multiple routes between application groups</t>
        </is>
      </c>
      <c r="W240" t="inlineStr">
        <is>
          <t>Culture</t>
        </is>
      </c>
      <c r="X240" t="inlineStr">
        <is>
          <t>Lab</t>
        </is>
      </c>
      <c r="Y240" t="n">
        <v>6.0</v>
      </c>
      <c r="Z240" t="inlineStr">
        <is>
          <t>Active ingredient</t>
        </is>
      </c>
      <c r="AA240"/>
      <c r="AB240"/>
      <c r="AC240"/>
      <c r="AD240" t="n">
        <v>85.0</v>
      </c>
      <c r="AE240"/>
      <c r="AF240" t="n">
        <v>179.0</v>
      </c>
      <c r="AG240" t="inlineStr">
        <is>
          <t>ug/L</t>
        </is>
      </c>
      <c r="AH240"/>
      <c r="AI240"/>
      <c r="AJ240"/>
      <c r="AK240"/>
      <c r="AL240"/>
      <c r="AM240"/>
      <c r="AN240"/>
      <c r="AO240"/>
      <c r="AP240"/>
      <c r="AQ240"/>
      <c r="AR240"/>
      <c r="AS240"/>
      <c r="AT240"/>
      <c r="AU240"/>
      <c r="AV240"/>
      <c r="AW240"/>
      <c r="AX240" t="inlineStr">
        <is>
          <t>Accumulation</t>
        </is>
      </c>
      <c r="AY240" t="inlineStr">
        <is>
          <t>Residue</t>
        </is>
      </c>
      <c r="AZ240" t="inlineStr">
        <is>
          <t>BCF</t>
        </is>
      </c>
      <c r="BA240" t="inlineStr">
        <is>
          <t>Whole organism</t>
        </is>
      </c>
      <c r="BB240"/>
      <c r="BC240" t="n">
        <v>180.0</v>
      </c>
      <c r="BD240"/>
      <c r="BE240"/>
      <c r="BF240"/>
      <c r="BG240"/>
      <c r="BH240" t="inlineStr">
        <is>
          <t>Day(s)</t>
        </is>
      </c>
      <c r="BI240"/>
      <c r="BJ240"/>
      <c r="BK240" t="inlineStr">
        <is>
          <t>&gt;</t>
        </is>
      </c>
      <c r="BL240" t="n">
        <v>600.0</v>
      </c>
      <c r="BM240" t="inlineStr">
        <is>
          <t>&lt;</t>
        </is>
      </c>
      <c r="BN240" t="n">
        <v>700.0</v>
      </c>
      <c r="BO240" t="inlineStr">
        <is>
          <t>L/kg</t>
        </is>
      </c>
      <c r="BP240"/>
      <c r="BQ240"/>
      <c r="BR240"/>
      <c r="BS240"/>
      <c r="BT240"/>
      <c r="BU240"/>
      <c r="BV240"/>
      <c r="BW240"/>
      <c r="BX240"/>
      <c r="BY240"/>
      <c r="BZ240"/>
      <c r="CA240"/>
      <c r="CB240"/>
      <c r="CC240"/>
      <c r="CD240" t="inlineStr">
        <is>
          <t>Gust,K.A., A.N. Kimble, J.E. Mylroie, M.L. Mayo, M.S. Wilbanks, C.S.C. Steward, K.A. Chapman, G.R. Lotufo, N. Garcia-Re</t>
        </is>
      </c>
      <c r="CE240" t="n">
        <v>193995.0</v>
      </c>
      <c r="CF240" t="inlineStr">
        <is>
          <t>Bioconcentration, Maternal Transfer, and Toxicokinetics of PFOS in a Multi-Generational Zebrafish Exposure</t>
        </is>
      </c>
      <c r="CG240" t="inlineStr">
        <is>
          <t>Environ. Toxicol. Chem.44(1): 207-219</t>
        </is>
      </c>
      <c r="CH240" t="n">
        <v>2025.0</v>
      </c>
      <c r="CI240"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41">
      <c r="A241" t="n">
        <v>2795393.0</v>
      </c>
      <c r="B241" t="inlineStr">
        <is>
          <t>1,1,2,2,3,3,4,4,5,5,6,6,7,7,8,8,8-Heptadecafluoro-1-octanesulfonic acid potassium salt</t>
        </is>
      </c>
      <c r="C241"/>
      <c r="D241" t="inlineStr">
        <is>
          <t>Measured</t>
        </is>
      </c>
      <c r="E241"/>
      <c r="F241" t="n">
        <v>98.0</v>
      </c>
      <c r="G241"/>
      <c r="H241"/>
      <c r="I241"/>
      <c r="J241"/>
      <c r="K241" t="inlineStr">
        <is>
          <t>Danio rerio</t>
        </is>
      </c>
      <c r="L241" t="inlineStr">
        <is>
          <t>Zebra Danio</t>
        </is>
      </c>
      <c r="M241" t="inlineStr">
        <is>
          <t>Fish; Standard Test Species</t>
        </is>
      </c>
      <c r="N241" t="inlineStr">
        <is>
          <t>Larva</t>
        </is>
      </c>
      <c r="O241"/>
      <c r="P241" t="n">
        <v>72.0</v>
      </c>
      <c r="Q241"/>
      <c r="R241"/>
      <c r="S241"/>
      <c r="T241"/>
      <c r="U241" t="inlineStr">
        <is>
          <t>Hours post fertilization</t>
        </is>
      </c>
      <c r="V241" t="inlineStr">
        <is>
          <t>Renewal</t>
        </is>
      </c>
      <c r="W241" t="inlineStr">
        <is>
          <t>Fresh water</t>
        </is>
      </c>
      <c r="X241" t="inlineStr">
        <is>
          <t>Lab</t>
        </is>
      </c>
      <c r="Y241" t="n">
        <v>1.0</v>
      </c>
      <c r="Z241" t="inlineStr">
        <is>
          <t>Active ingredient</t>
        </is>
      </c>
      <c r="AA241"/>
      <c r="AB241" t="n">
        <v>0.00955</v>
      </c>
      <c r="AC241"/>
      <c r="AD241"/>
      <c r="AE241"/>
      <c r="AF241"/>
      <c r="AG241" t="inlineStr">
        <is>
          <t>AI mg/L</t>
        </is>
      </c>
      <c r="AH241"/>
      <c r="AI241"/>
      <c r="AJ241"/>
      <c r="AK241"/>
      <c r="AL241"/>
      <c r="AM241"/>
      <c r="AN241"/>
      <c r="AO241"/>
      <c r="AP241"/>
      <c r="AQ241"/>
      <c r="AR241"/>
      <c r="AS241"/>
      <c r="AT241"/>
      <c r="AU241"/>
      <c r="AV241"/>
      <c r="AW241"/>
      <c r="AX241" t="inlineStr">
        <is>
          <t>Accumulation</t>
        </is>
      </c>
      <c r="AY241" t="inlineStr">
        <is>
          <t>Residue</t>
        </is>
      </c>
      <c r="AZ241" t="inlineStr">
        <is>
          <t>BCF</t>
        </is>
      </c>
      <c r="BA241" t="inlineStr">
        <is>
          <t>Whole organism</t>
        </is>
      </c>
      <c r="BB241" t="inlineStr">
        <is>
          <t>&lt;=</t>
        </is>
      </c>
      <c r="BC241" t="n">
        <v>3.0</v>
      </c>
      <c r="BD241"/>
      <c r="BE241"/>
      <c r="BF241"/>
      <c r="BG241"/>
      <c r="BH241" t="inlineStr">
        <is>
          <t>Day(s)</t>
        </is>
      </c>
      <c r="BI241"/>
      <c r="BJ241" t="n">
        <v>644.2</v>
      </c>
      <c r="BK241"/>
      <c r="BL241"/>
      <c r="BM241"/>
      <c r="BN241"/>
      <c r="BO241" t="inlineStr">
        <is>
          <t>L/kg</t>
        </is>
      </c>
      <c r="BP241"/>
      <c r="BQ241"/>
      <c r="BR241"/>
      <c r="BS241"/>
      <c r="BT241"/>
      <c r="BU241"/>
      <c r="BV241"/>
      <c r="BW241"/>
      <c r="BX241"/>
      <c r="BY241"/>
      <c r="BZ241"/>
      <c r="CA241"/>
      <c r="CB241"/>
      <c r="CC241"/>
      <c r="CD241" t="inlineStr">
        <is>
          <t>Zou,Y., Y. Wu, Q. Wang, J. Wan, M. Deng, and W. Tu</t>
        </is>
      </c>
      <c r="CE241" t="n">
        <v>185627.0</v>
      </c>
      <c r="CF241" t="inlineStr">
        <is>
          <t>Comparison of Toxicokinetics and Toxic Effects of PFOS and Its Novel Alternative OBS in Zebrafish Larvae</t>
        </is>
      </c>
      <c r="CG241" t="inlineStr">
        <is>
          <t>Chemosphere265:7 p.</t>
        </is>
      </c>
      <c r="CH241" t="n">
        <v>2021.0</v>
      </c>
      <c r="CI241" t="inlineStr">
        <is>
          <t>Zou,Y., Y. Wu, Q. Wang, J. Wan, M. Deng, and W. Tu (2021). Comparison of Toxicokinetics and Toxic Effects of PFOS and Its Novel Alternative OBS in Zebrafish Larvae. Chemosphere, 265, 7 p. doi:10.1016/j.chemosphere.2020.129116. ECOREF#:185627</t>
        </is>
      </c>
    </row>
    <row r="242">
      <c r="A242" t="n">
        <v>2795393.0</v>
      </c>
      <c r="B242" t="inlineStr">
        <is>
          <t>1,1,2,2,3,3,4,4,5,5,6,6,7,7,8,8,8-Heptadecafluoro-1-octanesulfonic acid potassium salt</t>
        </is>
      </c>
      <c r="C242"/>
      <c r="D242" t="inlineStr">
        <is>
          <t>Measured</t>
        </is>
      </c>
      <c r="E242" t="inlineStr">
        <is>
          <t>&gt;</t>
        </is>
      </c>
      <c r="F242" t="n">
        <v>98.0</v>
      </c>
      <c r="G242"/>
      <c r="H242"/>
      <c r="I242"/>
      <c r="J242"/>
      <c r="K242" t="inlineStr">
        <is>
          <t>Danio rerio</t>
        </is>
      </c>
      <c r="L242" t="inlineStr">
        <is>
          <t>Zebra Danio</t>
        </is>
      </c>
      <c r="M242" t="inlineStr">
        <is>
          <t>Fish; Standard Test Species</t>
        </is>
      </c>
      <c r="N242" t="inlineStr">
        <is>
          <t>Embryo</t>
        </is>
      </c>
      <c r="O242"/>
      <c r="P242" t="n">
        <v>7.0</v>
      </c>
      <c r="Q242"/>
      <c r="R242"/>
      <c r="S242"/>
      <c r="T242"/>
      <c r="U242" t="inlineStr">
        <is>
          <t>Hours post fertilization</t>
        </is>
      </c>
      <c r="V242" t="inlineStr">
        <is>
          <t>Multiple routes between application groups</t>
        </is>
      </c>
      <c r="W242" t="inlineStr">
        <is>
          <t>Culture</t>
        </is>
      </c>
      <c r="X242" t="inlineStr">
        <is>
          <t>Lab</t>
        </is>
      </c>
      <c r="Y242" t="n">
        <v>6.0</v>
      </c>
      <c r="Z242" t="inlineStr">
        <is>
          <t>Active ingredient</t>
        </is>
      </c>
      <c r="AA242"/>
      <c r="AB242"/>
      <c r="AC242"/>
      <c r="AD242" t="n">
        <v>1.3</v>
      </c>
      <c r="AE242"/>
      <c r="AF242" t="n">
        <v>6.0</v>
      </c>
      <c r="AG242" t="inlineStr">
        <is>
          <t>ug/L</t>
        </is>
      </c>
      <c r="AH242"/>
      <c r="AI242"/>
      <c r="AJ242"/>
      <c r="AK242"/>
      <c r="AL242"/>
      <c r="AM242"/>
      <c r="AN242"/>
      <c r="AO242"/>
      <c r="AP242"/>
      <c r="AQ242"/>
      <c r="AR242"/>
      <c r="AS242"/>
      <c r="AT242"/>
      <c r="AU242"/>
      <c r="AV242"/>
      <c r="AW242"/>
      <c r="AX242" t="inlineStr">
        <is>
          <t>Accumulation</t>
        </is>
      </c>
      <c r="AY242" t="inlineStr">
        <is>
          <t>Residue</t>
        </is>
      </c>
      <c r="AZ242" t="inlineStr">
        <is>
          <t>BCF</t>
        </is>
      </c>
      <c r="BA242" t="inlineStr">
        <is>
          <t>Whole organism</t>
        </is>
      </c>
      <c r="BB242"/>
      <c r="BC242" t="n">
        <v>180.0</v>
      </c>
      <c r="BD242"/>
      <c r="BE242"/>
      <c r="BF242"/>
      <c r="BG242"/>
      <c r="BH242" t="inlineStr">
        <is>
          <t>Day(s)</t>
        </is>
      </c>
      <c r="BI242"/>
      <c r="BJ242"/>
      <c r="BK242" t="inlineStr">
        <is>
          <t>&gt;</t>
        </is>
      </c>
      <c r="BL242" t="n">
        <v>700.0</v>
      </c>
      <c r="BM242" t="inlineStr">
        <is>
          <t>&lt;</t>
        </is>
      </c>
      <c r="BN242" t="n">
        <v>800.0</v>
      </c>
      <c r="BO242" t="inlineStr">
        <is>
          <t>L/kg</t>
        </is>
      </c>
      <c r="BP242"/>
      <c r="BQ242"/>
      <c r="BR242"/>
      <c r="BS242"/>
      <c r="BT242"/>
      <c r="BU242"/>
      <c r="BV242"/>
      <c r="BW242"/>
      <c r="BX242"/>
      <c r="BY242"/>
      <c r="BZ242"/>
      <c r="CA242"/>
      <c r="CB242"/>
      <c r="CC242"/>
      <c r="CD242" t="inlineStr">
        <is>
          <t>Gust,K.A., A.N. Kimble, J.E. Mylroie, M.L. Mayo, M.S. Wilbanks, C.S.C. Steward, K.A. Chapman, G.R. Lotufo, N. Garcia-Re</t>
        </is>
      </c>
      <c r="CE242" t="n">
        <v>193995.0</v>
      </c>
      <c r="CF242" t="inlineStr">
        <is>
          <t>Bioconcentration, Maternal Transfer, and Toxicokinetics of PFOS in a Multi-Generational Zebrafish Exposure</t>
        </is>
      </c>
      <c r="CG242" t="inlineStr">
        <is>
          <t>Environ. Toxicol. Chem.44(1): 207-219</t>
        </is>
      </c>
      <c r="CH242" t="n">
        <v>2025.0</v>
      </c>
      <c r="CI242"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43">
      <c r="A243" t="n">
        <v>2795393.0</v>
      </c>
      <c r="B243" t="inlineStr">
        <is>
          <t>1,1,2,2,3,3,4,4,5,5,6,6,7,7,8,8,8-Heptadecafluoro-1-octanesulfonic acid potassium salt</t>
        </is>
      </c>
      <c r="C243"/>
      <c r="D243" t="inlineStr">
        <is>
          <t>Measured</t>
        </is>
      </c>
      <c r="E243"/>
      <c r="F243" t="n">
        <v>100.3</v>
      </c>
      <c r="G243"/>
      <c r="H243"/>
      <c r="I243"/>
      <c r="J243"/>
      <c r="K243" t="inlineStr">
        <is>
          <t>Cyprinus carpio</t>
        </is>
      </c>
      <c r="L243" t="inlineStr">
        <is>
          <t>Common Carp</t>
        </is>
      </c>
      <c r="M243" t="inlineStr">
        <is>
          <t>Fish; Standard Test Species</t>
        </is>
      </c>
      <c r="N243" t="inlineStr">
        <is>
          <t>Yearling</t>
        </is>
      </c>
      <c r="O243"/>
      <c r="P243"/>
      <c r="Q243"/>
      <c r="R243"/>
      <c r="S243"/>
      <c r="T243"/>
      <c r="U243"/>
      <c r="V243" t="inlineStr">
        <is>
          <t>Flow-through</t>
        </is>
      </c>
      <c r="W243" t="inlineStr">
        <is>
          <t>Fresh water</t>
        </is>
      </c>
      <c r="X243" t="inlineStr">
        <is>
          <t>Lab</t>
        </is>
      </c>
      <c r="Y243" t="n">
        <v>3.0</v>
      </c>
      <c r="Z243" t="inlineStr">
        <is>
          <t>Active ingredient</t>
        </is>
      </c>
      <c r="AA243"/>
      <c r="AB243" t="n">
        <v>0.016</v>
      </c>
      <c r="AC243"/>
      <c r="AD243"/>
      <c r="AE243"/>
      <c r="AF243"/>
      <c r="AG243" t="inlineStr">
        <is>
          <t>AI mg/L</t>
        </is>
      </c>
      <c r="AH243"/>
      <c r="AI243"/>
      <c r="AJ243"/>
      <c r="AK243"/>
      <c r="AL243"/>
      <c r="AM243"/>
      <c r="AN243"/>
      <c r="AO243"/>
      <c r="AP243"/>
      <c r="AQ243"/>
      <c r="AR243"/>
      <c r="AS243"/>
      <c r="AT243"/>
      <c r="AU243"/>
      <c r="AV243"/>
      <c r="AW243"/>
      <c r="AX243" t="inlineStr">
        <is>
          <t>Accumulation</t>
        </is>
      </c>
      <c r="AY243" t="inlineStr">
        <is>
          <t>Residue</t>
        </is>
      </c>
      <c r="AZ243" t="inlineStr">
        <is>
          <t>BCF</t>
        </is>
      </c>
      <c r="BA243" t="inlineStr">
        <is>
          <t>Whole organism</t>
        </is>
      </c>
      <c r="BB243"/>
      <c r="BC243" t="n">
        <v>58.0</v>
      </c>
      <c r="BD243"/>
      <c r="BE243"/>
      <c r="BF243"/>
      <c r="BG243"/>
      <c r="BH243" t="inlineStr">
        <is>
          <t>Day(s)</t>
        </is>
      </c>
      <c r="BI243"/>
      <c r="BJ243" t="n">
        <v>720.0</v>
      </c>
      <c r="BK243"/>
      <c r="BL243"/>
      <c r="BM243"/>
      <c r="BN243"/>
      <c r="BO243" t="inlineStr">
        <is>
          <t>RA</t>
        </is>
      </c>
      <c r="BP243"/>
      <c r="BQ243"/>
      <c r="BR243"/>
      <c r="BS243"/>
      <c r="BT243"/>
      <c r="BU243"/>
      <c r="BV243"/>
      <c r="BW243"/>
      <c r="BX243"/>
      <c r="BY243"/>
      <c r="BZ243"/>
      <c r="CA243"/>
      <c r="CB243"/>
      <c r="CC243"/>
      <c r="CD243" t="inlineStr">
        <is>
          <t>Inoue,Y., N. Hashizume, N. Yakata, H. Murakami, Y. Suzuki, E. Kikushima, and M. Otsuka</t>
        </is>
      </c>
      <c r="CE243" t="n">
        <v>160552.0</v>
      </c>
      <c r="CF243" t="inlineStr">
        <is>
          <t>Unique Physicochemical Properties of Perfluorinated Compounds and Their Bioconcentration in Common Carp Cyprinus carpio L.</t>
        </is>
      </c>
      <c r="CG243" t="inlineStr">
        <is>
          <t>Arch. Environ. Contam. Toxicol.62(4): 672-680</t>
        </is>
      </c>
      <c r="CH243" t="n">
        <v>2012.0</v>
      </c>
      <c r="CI243" t="inlineStr">
        <is>
          <t>Inoue,Y., N. Hashizume, N. Yakata, H. Murakami, Y. Suzuki, E. Kikushima, and M. Otsuka (2012). Unique Physicochemical Properties of Perfluorinated Compounds and Their Bioconcentration in Common Carp Cyprinus carpio L.. Arch. Environ. Contam. Toxicol., 62, (4), 672-680. doi:10.1007/s00244-011-9730-7. ECOREF#:160552</t>
        </is>
      </c>
    </row>
    <row r="244">
      <c r="A244" t="n">
        <v>2795393.0</v>
      </c>
      <c r="B244" t="inlineStr">
        <is>
          <t>1,1,2,2,3,3,4,4,5,5,6,6,7,7,8,8,8-Heptadecafluoro-1-octanesulfonic acid potassium salt</t>
        </is>
      </c>
      <c r="C244"/>
      <c r="D244" t="inlineStr">
        <is>
          <t>Measured</t>
        </is>
      </c>
      <c r="E244" t="inlineStr">
        <is>
          <t>&gt;</t>
        </is>
      </c>
      <c r="F244" t="n">
        <v>98.0</v>
      </c>
      <c r="G244"/>
      <c r="H244"/>
      <c r="I244"/>
      <c r="J244"/>
      <c r="K244" t="inlineStr">
        <is>
          <t>Danio rerio</t>
        </is>
      </c>
      <c r="L244" t="inlineStr">
        <is>
          <t>Zebra Danio</t>
        </is>
      </c>
      <c r="M244" t="inlineStr">
        <is>
          <t>Fish; Standard Test Species</t>
        </is>
      </c>
      <c r="N244" t="inlineStr">
        <is>
          <t>Embryo</t>
        </is>
      </c>
      <c r="O244"/>
      <c r="P244" t="n">
        <v>7.0</v>
      </c>
      <c r="Q244"/>
      <c r="R244"/>
      <c r="S244"/>
      <c r="T244"/>
      <c r="U244" t="inlineStr">
        <is>
          <t>Hours post fertilization</t>
        </is>
      </c>
      <c r="V244" t="inlineStr">
        <is>
          <t>Multiple routes between application groups</t>
        </is>
      </c>
      <c r="W244" t="inlineStr">
        <is>
          <t>Culture</t>
        </is>
      </c>
      <c r="X244" t="inlineStr">
        <is>
          <t>Lab</t>
        </is>
      </c>
      <c r="Y244" t="n">
        <v>6.0</v>
      </c>
      <c r="Z244" t="inlineStr">
        <is>
          <t>Active ingredient</t>
        </is>
      </c>
      <c r="AA244"/>
      <c r="AB244"/>
      <c r="AC244"/>
      <c r="AD244" t="n">
        <v>1.3</v>
      </c>
      <c r="AE244"/>
      <c r="AF244" t="n">
        <v>6.0</v>
      </c>
      <c r="AG244" t="inlineStr">
        <is>
          <t>ug/L</t>
        </is>
      </c>
      <c r="AH244"/>
      <c r="AI244"/>
      <c r="AJ244"/>
      <c r="AK244"/>
      <c r="AL244"/>
      <c r="AM244"/>
      <c r="AN244"/>
      <c r="AO244"/>
      <c r="AP244"/>
      <c r="AQ244"/>
      <c r="AR244"/>
      <c r="AS244"/>
      <c r="AT244"/>
      <c r="AU244"/>
      <c r="AV244"/>
      <c r="AW244"/>
      <c r="AX244" t="inlineStr">
        <is>
          <t>Accumulation</t>
        </is>
      </c>
      <c r="AY244" t="inlineStr">
        <is>
          <t>Residue</t>
        </is>
      </c>
      <c r="AZ244" t="inlineStr">
        <is>
          <t>BCF</t>
        </is>
      </c>
      <c r="BA244" t="inlineStr">
        <is>
          <t>Whole organism</t>
        </is>
      </c>
      <c r="BB244"/>
      <c r="BC244" t="n">
        <v>360.0</v>
      </c>
      <c r="BD244"/>
      <c r="BE244"/>
      <c r="BF244"/>
      <c r="BG244"/>
      <c r="BH244" t="inlineStr">
        <is>
          <t>Day(s)</t>
        </is>
      </c>
      <c r="BI244"/>
      <c r="BJ244"/>
      <c r="BK244" t="inlineStr">
        <is>
          <t>&gt;</t>
        </is>
      </c>
      <c r="BL244" t="n">
        <v>800.0</v>
      </c>
      <c r="BM244" t="inlineStr">
        <is>
          <t>&lt;</t>
        </is>
      </c>
      <c r="BN244" t="n">
        <v>900.0</v>
      </c>
      <c r="BO244" t="inlineStr">
        <is>
          <t>L/kg</t>
        </is>
      </c>
      <c r="BP244"/>
      <c r="BQ244"/>
      <c r="BR244"/>
      <c r="BS244"/>
      <c r="BT244"/>
      <c r="BU244"/>
      <c r="BV244"/>
      <c r="BW244"/>
      <c r="BX244"/>
      <c r="BY244"/>
      <c r="BZ244"/>
      <c r="CA244"/>
      <c r="CB244"/>
      <c r="CC244"/>
      <c r="CD244" t="inlineStr">
        <is>
          <t>Gust,K.A., A.N. Kimble, J.E. Mylroie, M.L. Mayo, M.S. Wilbanks, C.S.C. Steward, K.A. Chapman, G.R. Lotufo, N. Garcia-Re</t>
        </is>
      </c>
      <c r="CE244" t="n">
        <v>193995.0</v>
      </c>
      <c r="CF244" t="inlineStr">
        <is>
          <t>Bioconcentration, Maternal Transfer, and Toxicokinetics of PFOS in a Multi-Generational Zebrafish Exposure</t>
        </is>
      </c>
      <c r="CG244" t="inlineStr">
        <is>
          <t>Environ. Toxicol. Chem.44(1): 207-219</t>
        </is>
      </c>
      <c r="CH244" t="n">
        <v>2025.0</v>
      </c>
      <c r="CI244"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45">
      <c r="A245" t="n">
        <v>2795393.0</v>
      </c>
      <c r="B245" t="inlineStr">
        <is>
          <t>1,1,2,2,3,3,4,4,5,5,6,6,7,7,8,8,8-Heptadecafluoro-1-octanesulfonic acid potassium salt</t>
        </is>
      </c>
      <c r="C245"/>
      <c r="D245" t="inlineStr">
        <is>
          <t>Measured</t>
        </is>
      </c>
      <c r="E245" t="inlineStr">
        <is>
          <t>&gt;</t>
        </is>
      </c>
      <c r="F245" t="n">
        <v>98.0</v>
      </c>
      <c r="G245"/>
      <c r="H245"/>
      <c r="I245"/>
      <c r="J245"/>
      <c r="K245" t="inlineStr">
        <is>
          <t>Danio rerio</t>
        </is>
      </c>
      <c r="L245" t="inlineStr">
        <is>
          <t>Zebra Danio</t>
        </is>
      </c>
      <c r="M245" t="inlineStr">
        <is>
          <t>Fish; Standard Test Species</t>
        </is>
      </c>
      <c r="N245" t="inlineStr">
        <is>
          <t>Embryo</t>
        </is>
      </c>
      <c r="O245"/>
      <c r="P245" t="n">
        <v>7.0</v>
      </c>
      <c r="Q245"/>
      <c r="R245"/>
      <c r="S245"/>
      <c r="T245"/>
      <c r="U245" t="inlineStr">
        <is>
          <t>Hours post fertilization</t>
        </is>
      </c>
      <c r="V245" t="inlineStr">
        <is>
          <t>Multiple routes between application groups</t>
        </is>
      </c>
      <c r="W245" t="inlineStr">
        <is>
          <t>Culture</t>
        </is>
      </c>
      <c r="X245" t="inlineStr">
        <is>
          <t>Lab</t>
        </is>
      </c>
      <c r="Y245" t="n">
        <v>6.0</v>
      </c>
      <c r="Z245" t="inlineStr">
        <is>
          <t>Active ingredient</t>
        </is>
      </c>
      <c r="AA245"/>
      <c r="AB245" t="n">
        <v>0.12</v>
      </c>
      <c r="AC245"/>
      <c r="AD245"/>
      <c r="AE245"/>
      <c r="AF245"/>
      <c r="AG245" t="inlineStr">
        <is>
          <t>ug/L</t>
        </is>
      </c>
      <c r="AH245"/>
      <c r="AI245"/>
      <c r="AJ245"/>
      <c r="AK245"/>
      <c r="AL245"/>
      <c r="AM245"/>
      <c r="AN245"/>
      <c r="AO245"/>
      <c r="AP245"/>
      <c r="AQ245"/>
      <c r="AR245"/>
      <c r="AS245"/>
      <c r="AT245"/>
      <c r="AU245"/>
      <c r="AV245"/>
      <c r="AW245"/>
      <c r="AX245" t="inlineStr">
        <is>
          <t>Accumulation</t>
        </is>
      </c>
      <c r="AY245" t="inlineStr">
        <is>
          <t>Residue</t>
        </is>
      </c>
      <c r="AZ245" t="inlineStr">
        <is>
          <t>BCF</t>
        </is>
      </c>
      <c r="BA245" t="inlineStr">
        <is>
          <t>Whole organism</t>
        </is>
      </c>
      <c r="BB245"/>
      <c r="BC245" t="n">
        <v>14.0</v>
      </c>
      <c r="BD245"/>
      <c r="BE245"/>
      <c r="BF245"/>
      <c r="BG245"/>
      <c r="BH245" t="inlineStr">
        <is>
          <t>Day(s)</t>
        </is>
      </c>
      <c r="BI245"/>
      <c r="BJ245"/>
      <c r="BK245" t="inlineStr">
        <is>
          <t>&gt;</t>
        </is>
      </c>
      <c r="BL245" t="n">
        <v>800.0</v>
      </c>
      <c r="BM245" t="inlineStr">
        <is>
          <t>&lt;</t>
        </is>
      </c>
      <c r="BN245" t="n">
        <v>900.0</v>
      </c>
      <c r="BO245" t="inlineStr">
        <is>
          <t>L/kg</t>
        </is>
      </c>
      <c r="BP245"/>
      <c r="BQ245"/>
      <c r="BR245"/>
      <c r="BS245"/>
      <c r="BT245"/>
      <c r="BU245"/>
      <c r="BV245"/>
      <c r="BW245"/>
      <c r="BX245"/>
      <c r="BY245"/>
      <c r="BZ245"/>
      <c r="CA245"/>
      <c r="CB245"/>
      <c r="CC245"/>
      <c r="CD245" t="inlineStr">
        <is>
          <t>Gust,K.A., A.N. Kimble, J.E. Mylroie, M.L. Mayo, M.S. Wilbanks, C.S.C. Steward, K.A. Chapman, G.R. Lotufo, N. Garcia-Re</t>
        </is>
      </c>
      <c r="CE245" t="n">
        <v>193995.0</v>
      </c>
      <c r="CF245" t="inlineStr">
        <is>
          <t>Bioconcentration, Maternal Transfer, and Toxicokinetics of PFOS in a Multi-Generational Zebrafish Exposure</t>
        </is>
      </c>
      <c r="CG245" t="inlineStr">
        <is>
          <t>Environ. Toxicol. Chem.44(1): 207-219</t>
        </is>
      </c>
      <c r="CH245" t="n">
        <v>2025.0</v>
      </c>
      <c r="CI245"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46">
      <c r="A246" t="n">
        <v>2795393.0</v>
      </c>
      <c r="B246" t="inlineStr">
        <is>
          <t>1,1,2,2,3,3,4,4,5,5,6,6,7,7,8,8,8-Heptadecafluoro-1-octanesulfonic acid potassium salt</t>
        </is>
      </c>
      <c r="C246"/>
      <c r="D246" t="inlineStr">
        <is>
          <t>Measured</t>
        </is>
      </c>
      <c r="E246"/>
      <c r="F246" t="n">
        <v>86.9</v>
      </c>
      <c r="G246"/>
      <c r="H246"/>
      <c r="I246"/>
      <c r="J246"/>
      <c r="K246" t="inlineStr">
        <is>
          <t>Lepomis macrochirus</t>
        </is>
      </c>
      <c r="L246" t="inlineStr">
        <is>
          <t>Bluegill</t>
        </is>
      </c>
      <c r="M246" t="inlineStr">
        <is>
          <t>Fish; Standard Test Species</t>
        </is>
      </c>
      <c r="N246" t="inlineStr">
        <is>
          <t>Juvenile</t>
        </is>
      </c>
      <c r="O246" t="inlineStr">
        <is>
          <t>~</t>
        </is>
      </c>
      <c r="P246" t="n">
        <v>7.0</v>
      </c>
      <c r="Q246"/>
      <c r="R246"/>
      <c r="S246"/>
      <c r="T246"/>
      <c r="U246" t="inlineStr">
        <is>
          <t>Month(s)</t>
        </is>
      </c>
      <c r="V246" t="inlineStr">
        <is>
          <t>Flow-through</t>
        </is>
      </c>
      <c r="W246" t="inlineStr">
        <is>
          <t>Fresh water</t>
        </is>
      </c>
      <c r="X246" t="inlineStr">
        <is>
          <t>Lab</t>
        </is>
      </c>
      <c r="Y246" t="n">
        <v>3.0</v>
      </c>
      <c r="Z246" t="inlineStr">
        <is>
          <t>Active ingredient</t>
        </is>
      </c>
      <c r="AA246"/>
      <c r="AB246" t="n">
        <v>0.086</v>
      </c>
      <c r="AC246"/>
      <c r="AD246"/>
      <c r="AE246"/>
      <c r="AF246"/>
      <c r="AG246" t="inlineStr">
        <is>
          <t>AI mg/L</t>
        </is>
      </c>
      <c r="AH246"/>
      <c r="AI246"/>
      <c r="AJ246"/>
      <c r="AK246"/>
      <c r="AL246"/>
      <c r="AM246"/>
      <c r="AN246"/>
      <c r="AO246"/>
      <c r="AP246"/>
      <c r="AQ246"/>
      <c r="AR246"/>
      <c r="AS246"/>
      <c r="AT246"/>
      <c r="AU246"/>
      <c r="AV246"/>
      <c r="AW246"/>
      <c r="AX246" t="inlineStr">
        <is>
          <t>Accumulation</t>
        </is>
      </c>
      <c r="AY246" t="inlineStr">
        <is>
          <t>Residue</t>
        </is>
      </c>
      <c r="AZ246" t="inlineStr">
        <is>
          <t>BCF</t>
        </is>
      </c>
      <c r="BA246" t="inlineStr">
        <is>
          <t>Whole organism</t>
        </is>
      </c>
      <c r="BB246"/>
      <c r="BC246"/>
      <c r="BD246"/>
      <c r="BE246" t="n">
        <v>49.0</v>
      </c>
      <c r="BF246"/>
      <c r="BG246" t="n">
        <v>62.0</v>
      </c>
      <c r="BH246" t="inlineStr">
        <is>
          <t>Day(s)</t>
        </is>
      </c>
      <c r="BI246"/>
      <c r="BJ246" t="n">
        <v>856.0</v>
      </c>
      <c r="BK246"/>
      <c r="BL246"/>
      <c r="BM246"/>
      <c r="BN246"/>
      <c r="BO246" t="inlineStr">
        <is>
          <t>L/kg</t>
        </is>
      </c>
      <c r="BP246"/>
      <c r="BQ246"/>
      <c r="BR246"/>
      <c r="BS246"/>
      <c r="BT246"/>
      <c r="BU246"/>
      <c r="BV246"/>
      <c r="BW246"/>
      <c r="BX246"/>
      <c r="BY246"/>
      <c r="BZ246"/>
      <c r="CA246"/>
      <c r="CB246"/>
      <c r="CC246"/>
      <c r="CD246" t="inlineStr">
        <is>
          <t>Drottar,K.R., R.L. VanHoven, and H.O. Krueger</t>
        </is>
      </c>
      <c r="CE246" t="n">
        <v>175359.0</v>
      </c>
      <c r="CF246" t="inlineStr">
        <is>
          <t>Perfluorooctanesulfonate, Potassium Salt (PFOS): A Flow-Through Bioconcentration Test with the Bluegill (Lepomis macrochirus)</t>
        </is>
      </c>
      <c r="CG246" t="inlineStr">
        <is>
          <t>Project 454A-134, Wildlife International Ltd., Easton, MD:129 p.</t>
        </is>
      </c>
      <c r="CH246" t="n">
        <v>2001.0</v>
      </c>
      <c r="CI246" t="inlineStr">
        <is>
          <t>Drottar,K.R., R.L. VanHoven, and H.O. Krueger (2001). Perfluorooctanesulfonate, Potassium Salt (PFOS): A Flow-Through Bioconcentration Test with the Bluegill (Lepomis macrochirus). Project 454A-134, Wildlife International Ltd., Easton, MD, 129 p. ECOREF#:175359</t>
        </is>
      </c>
    </row>
    <row r="247">
      <c r="A247" t="n">
        <v>2795393.0</v>
      </c>
      <c r="B247" t="inlineStr">
        <is>
          <t>1,1,2,2,3,3,4,4,5,5,6,6,7,7,8,8,8-Heptadecafluoro-1-octanesulfonic acid potassium salt</t>
        </is>
      </c>
      <c r="C247"/>
      <c r="D247" t="inlineStr">
        <is>
          <t>Measured</t>
        </is>
      </c>
      <c r="E247" t="inlineStr">
        <is>
          <t>&gt;</t>
        </is>
      </c>
      <c r="F247" t="n">
        <v>98.0</v>
      </c>
      <c r="G247"/>
      <c r="H247"/>
      <c r="I247"/>
      <c r="J247"/>
      <c r="K247" t="inlineStr">
        <is>
          <t>Danio rerio</t>
        </is>
      </c>
      <c r="L247" t="inlineStr">
        <is>
          <t>Zebra Danio</t>
        </is>
      </c>
      <c r="M247" t="inlineStr">
        <is>
          <t>Fish; Standard Test Species</t>
        </is>
      </c>
      <c r="N247" t="inlineStr">
        <is>
          <t>Embryo</t>
        </is>
      </c>
      <c r="O247"/>
      <c r="P247" t="n">
        <v>7.0</v>
      </c>
      <c r="Q247"/>
      <c r="R247"/>
      <c r="S247"/>
      <c r="T247"/>
      <c r="U247" t="inlineStr">
        <is>
          <t>Hours post fertilization</t>
        </is>
      </c>
      <c r="V247" t="inlineStr">
        <is>
          <t>Multiple routes between application groups</t>
        </is>
      </c>
      <c r="W247" t="inlineStr">
        <is>
          <t>Culture</t>
        </is>
      </c>
      <c r="X247" t="inlineStr">
        <is>
          <t>Lab</t>
        </is>
      </c>
      <c r="Y247" t="n">
        <v>6.0</v>
      </c>
      <c r="Z247" t="inlineStr">
        <is>
          <t>Active ingredient</t>
        </is>
      </c>
      <c r="AA247"/>
      <c r="AB247"/>
      <c r="AC247"/>
      <c r="AD247" t="n">
        <v>0.05</v>
      </c>
      <c r="AE247"/>
      <c r="AF247" t="n">
        <v>0.12</v>
      </c>
      <c r="AG247" t="inlineStr">
        <is>
          <t>ug/L</t>
        </is>
      </c>
      <c r="AH247"/>
      <c r="AI247"/>
      <c r="AJ247"/>
      <c r="AK247"/>
      <c r="AL247"/>
      <c r="AM247"/>
      <c r="AN247"/>
      <c r="AO247"/>
      <c r="AP247"/>
      <c r="AQ247"/>
      <c r="AR247"/>
      <c r="AS247"/>
      <c r="AT247"/>
      <c r="AU247"/>
      <c r="AV247"/>
      <c r="AW247"/>
      <c r="AX247" t="inlineStr">
        <is>
          <t>Accumulation</t>
        </is>
      </c>
      <c r="AY247" t="inlineStr">
        <is>
          <t>Residue</t>
        </is>
      </c>
      <c r="AZ247" t="inlineStr">
        <is>
          <t>BCF</t>
        </is>
      </c>
      <c r="BA247" t="inlineStr">
        <is>
          <t>Whole organism</t>
        </is>
      </c>
      <c r="BB247"/>
      <c r="BC247" t="n">
        <v>360.0</v>
      </c>
      <c r="BD247"/>
      <c r="BE247"/>
      <c r="BF247"/>
      <c r="BG247"/>
      <c r="BH247" t="inlineStr">
        <is>
          <t>Day(s)</t>
        </is>
      </c>
      <c r="BI247"/>
      <c r="BJ247"/>
      <c r="BK247" t="inlineStr">
        <is>
          <t>&gt;</t>
        </is>
      </c>
      <c r="BL247" t="n">
        <v>900.0</v>
      </c>
      <c r="BM247" t="inlineStr">
        <is>
          <t>&lt;</t>
        </is>
      </c>
      <c r="BN247" t="n">
        <v>1000.0</v>
      </c>
      <c r="BO247" t="inlineStr">
        <is>
          <t>L/kg</t>
        </is>
      </c>
      <c r="BP247"/>
      <c r="BQ247"/>
      <c r="BR247"/>
      <c r="BS247"/>
      <c r="BT247"/>
      <c r="BU247"/>
      <c r="BV247"/>
      <c r="BW247"/>
      <c r="BX247"/>
      <c r="BY247"/>
      <c r="BZ247"/>
      <c r="CA247"/>
      <c r="CB247"/>
      <c r="CC247"/>
      <c r="CD247" t="inlineStr">
        <is>
          <t>Gust,K.A., A.N. Kimble, J.E. Mylroie, M.L. Mayo, M.S. Wilbanks, C.S.C. Steward, K.A. Chapman, G.R. Lotufo, N. Garcia-Re</t>
        </is>
      </c>
      <c r="CE247" t="n">
        <v>193995.0</v>
      </c>
      <c r="CF247" t="inlineStr">
        <is>
          <t>Bioconcentration, Maternal Transfer, and Toxicokinetics of PFOS in a Multi-Generational Zebrafish Exposure</t>
        </is>
      </c>
      <c r="CG247" t="inlineStr">
        <is>
          <t>Environ. Toxicol. Chem.44(1): 207-219</t>
        </is>
      </c>
      <c r="CH247" t="n">
        <v>2025.0</v>
      </c>
      <c r="CI247"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48">
      <c r="A248" t="n">
        <v>2795393.0</v>
      </c>
      <c r="B248" t="inlineStr">
        <is>
          <t>1,1,2,2,3,3,4,4,5,5,6,6,7,7,8,8,8-Heptadecafluoro-1-octanesulfonic acid potassium salt</t>
        </is>
      </c>
      <c r="C248"/>
      <c r="D248" t="inlineStr">
        <is>
          <t>Measured</t>
        </is>
      </c>
      <c r="E248" t="inlineStr">
        <is>
          <t>&gt;</t>
        </is>
      </c>
      <c r="F248" t="n">
        <v>98.0</v>
      </c>
      <c r="G248"/>
      <c r="H248"/>
      <c r="I248"/>
      <c r="J248"/>
      <c r="K248" t="inlineStr">
        <is>
          <t>Danio rerio</t>
        </is>
      </c>
      <c r="L248" t="inlineStr">
        <is>
          <t>Zebra Danio</t>
        </is>
      </c>
      <c r="M248" t="inlineStr">
        <is>
          <t>Fish; Standard Test Species</t>
        </is>
      </c>
      <c r="N248" t="inlineStr">
        <is>
          <t>Embryo</t>
        </is>
      </c>
      <c r="O248"/>
      <c r="P248" t="n">
        <v>7.0</v>
      </c>
      <c r="Q248"/>
      <c r="R248"/>
      <c r="S248"/>
      <c r="T248"/>
      <c r="U248" t="inlineStr">
        <is>
          <t>Hours post fertilization</t>
        </is>
      </c>
      <c r="V248" t="inlineStr">
        <is>
          <t>Multiple routes between application groups</t>
        </is>
      </c>
      <c r="W248" t="inlineStr">
        <is>
          <t>Culture</t>
        </is>
      </c>
      <c r="X248" t="inlineStr">
        <is>
          <t>Lab</t>
        </is>
      </c>
      <c r="Y248" t="n">
        <v>6.0</v>
      </c>
      <c r="Z248" t="inlineStr">
        <is>
          <t>Active ingredient</t>
        </is>
      </c>
      <c r="AA248"/>
      <c r="AB248"/>
      <c r="AC248"/>
      <c r="AD248" t="n">
        <v>14.0</v>
      </c>
      <c r="AE248"/>
      <c r="AF248" t="n">
        <v>36.0</v>
      </c>
      <c r="AG248" t="inlineStr">
        <is>
          <t>ug/L</t>
        </is>
      </c>
      <c r="AH248"/>
      <c r="AI248"/>
      <c r="AJ248"/>
      <c r="AK248"/>
      <c r="AL248"/>
      <c r="AM248"/>
      <c r="AN248"/>
      <c r="AO248"/>
      <c r="AP248"/>
      <c r="AQ248"/>
      <c r="AR248"/>
      <c r="AS248"/>
      <c r="AT248"/>
      <c r="AU248"/>
      <c r="AV248"/>
      <c r="AW248"/>
      <c r="AX248" t="inlineStr">
        <is>
          <t>Accumulation</t>
        </is>
      </c>
      <c r="AY248" t="inlineStr">
        <is>
          <t>Residue</t>
        </is>
      </c>
      <c r="AZ248" t="inlineStr">
        <is>
          <t>BCF</t>
        </is>
      </c>
      <c r="BA248" t="inlineStr">
        <is>
          <t>Whole organism</t>
        </is>
      </c>
      <c r="BB248"/>
      <c r="BC248" t="n">
        <v>360.0</v>
      </c>
      <c r="BD248"/>
      <c r="BE248"/>
      <c r="BF248"/>
      <c r="BG248"/>
      <c r="BH248" t="inlineStr">
        <is>
          <t>Day(s)</t>
        </is>
      </c>
      <c r="BI248"/>
      <c r="BJ248"/>
      <c r="BK248" t="inlineStr">
        <is>
          <t>&gt;</t>
        </is>
      </c>
      <c r="BL248" t="n">
        <v>900.0</v>
      </c>
      <c r="BM248" t="inlineStr">
        <is>
          <t>&lt;</t>
        </is>
      </c>
      <c r="BN248" t="n">
        <v>1000.0</v>
      </c>
      <c r="BO248" t="inlineStr">
        <is>
          <t>L/kg</t>
        </is>
      </c>
      <c r="BP248"/>
      <c r="BQ248"/>
      <c r="BR248"/>
      <c r="BS248"/>
      <c r="BT248"/>
      <c r="BU248"/>
      <c r="BV248"/>
      <c r="BW248"/>
      <c r="BX248"/>
      <c r="BY248"/>
      <c r="BZ248"/>
      <c r="CA248"/>
      <c r="CB248"/>
      <c r="CC248"/>
      <c r="CD248" t="inlineStr">
        <is>
          <t>Gust,K.A., A.N. Kimble, J.E. Mylroie, M.L. Mayo, M.S. Wilbanks, C.S.C. Steward, K.A. Chapman, G.R. Lotufo, N. Garcia-Re</t>
        </is>
      </c>
      <c r="CE248" t="n">
        <v>193995.0</v>
      </c>
      <c r="CF248" t="inlineStr">
        <is>
          <t>Bioconcentration, Maternal Transfer, and Toxicokinetics of PFOS in a Multi-Generational Zebrafish Exposure</t>
        </is>
      </c>
      <c r="CG248" t="inlineStr">
        <is>
          <t>Environ. Toxicol. Chem.44(1): 207-219</t>
        </is>
      </c>
      <c r="CH248" t="n">
        <v>2025.0</v>
      </c>
      <c r="CI248"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49">
      <c r="A249" t="n">
        <v>2795393.0</v>
      </c>
      <c r="B249" t="inlineStr">
        <is>
          <t>1,1,2,2,3,3,4,4,5,5,6,6,7,7,8,8,8-Heptadecafluoro-1-octanesulfonic acid potassium salt</t>
        </is>
      </c>
      <c r="C249"/>
      <c r="D249" t="inlineStr">
        <is>
          <t>Measured</t>
        </is>
      </c>
      <c r="E249" t="inlineStr">
        <is>
          <t>&gt;</t>
        </is>
      </c>
      <c r="F249" t="n">
        <v>98.0</v>
      </c>
      <c r="G249"/>
      <c r="H249"/>
      <c r="I249"/>
      <c r="J249"/>
      <c r="K249" t="inlineStr">
        <is>
          <t>Danio rerio</t>
        </is>
      </c>
      <c r="L249" t="inlineStr">
        <is>
          <t>Zebra Danio</t>
        </is>
      </c>
      <c r="M249" t="inlineStr">
        <is>
          <t>Fish; Standard Test Species</t>
        </is>
      </c>
      <c r="N249" t="inlineStr">
        <is>
          <t>Embryo</t>
        </is>
      </c>
      <c r="O249"/>
      <c r="P249" t="n">
        <v>7.0</v>
      </c>
      <c r="Q249"/>
      <c r="R249"/>
      <c r="S249"/>
      <c r="T249"/>
      <c r="U249" t="inlineStr">
        <is>
          <t>Hours post fertilization</t>
        </is>
      </c>
      <c r="V249" t="inlineStr">
        <is>
          <t>Multiple routes between application groups</t>
        </is>
      </c>
      <c r="W249" t="inlineStr">
        <is>
          <t>Culture</t>
        </is>
      </c>
      <c r="X249" t="inlineStr">
        <is>
          <t>Lab</t>
        </is>
      </c>
      <c r="Y249" t="n">
        <v>6.0</v>
      </c>
      <c r="Z249" t="inlineStr">
        <is>
          <t>Active ingredient</t>
        </is>
      </c>
      <c r="AA249"/>
      <c r="AB249" t="n">
        <v>4.5</v>
      </c>
      <c r="AC249"/>
      <c r="AD249"/>
      <c r="AE249"/>
      <c r="AF249"/>
      <c r="AG249" t="inlineStr">
        <is>
          <t>ug/L</t>
        </is>
      </c>
      <c r="AH249"/>
      <c r="AI249"/>
      <c r="AJ249"/>
      <c r="AK249"/>
      <c r="AL249"/>
      <c r="AM249"/>
      <c r="AN249"/>
      <c r="AO249"/>
      <c r="AP249"/>
      <c r="AQ249"/>
      <c r="AR249"/>
      <c r="AS249"/>
      <c r="AT249"/>
      <c r="AU249"/>
      <c r="AV249"/>
      <c r="AW249"/>
      <c r="AX249" t="inlineStr">
        <is>
          <t>Accumulation</t>
        </is>
      </c>
      <c r="AY249" t="inlineStr">
        <is>
          <t>Residue</t>
        </is>
      </c>
      <c r="AZ249" t="inlineStr">
        <is>
          <t>BCF</t>
        </is>
      </c>
      <c r="BA249" t="inlineStr">
        <is>
          <t>Whole organism</t>
        </is>
      </c>
      <c r="BB249"/>
      <c r="BC249" t="n">
        <v>14.0</v>
      </c>
      <c r="BD249"/>
      <c r="BE249"/>
      <c r="BF249"/>
      <c r="BG249"/>
      <c r="BH249" t="inlineStr">
        <is>
          <t>Day(s)</t>
        </is>
      </c>
      <c r="BI249" t="inlineStr">
        <is>
          <t>~</t>
        </is>
      </c>
      <c r="BJ249" t="n">
        <v>1000.0</v>
      </c>
      <c r="BK249"/>
      <c r="BL249"/>
      <c r="BM249"/>
      <c r="BN249"/>
      <c r="BO249" t="inlineStr">
        <is>
          <t>L/kg</t>
        </is>
      </c>
      <c r="BP249"/>
      <c r="BQ249"/>
      <c r="BR249"/>
      <c r="BS249"/>
      <c r="BT249"/>
      <c r="BU249"/>
      <c r="BV249"/>
      <c r="BW249"/>
      <c r="BX249"/>
      <c r="BY249"/>
      <c r="BZ249"/>
      <c r="CA249"/>
      <c r="CB249"/>
      <c r="CC249"/>
      <c r="CD249" t="inlineStr">
        <is>
          <t>Gust,K.A., A.N. Kimble, J.E. Mylroie, M.L. Mayo, M.S. Wilbanks, C.S.C. Steward, K.A. Chapman, G.R. Lotufo, N. Garcia-Re</t>
        </is>
      </c>
      <c r="CE249" t="n">
        <v>193995.0</v>
      </c>
      <c r="CF249" t="inlineStr">
        <is>
          <t>Bioconcentration, Maternal Transfer, and Toxicokinetics of PFOS in a Multi-Generational Zebrafish Exposure</t>
        </is>
      </c>
      <c r="CG249" t="inlineStr">
        <is>
          <t>Environ. Toxicol. Chem.44(1): 207-219</t>
        </is>
      </c>
      <c r="CH249" t="n">
        <v>2025.0</v>
      </c>
      <c r="CI249"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50">
      <c r="A250" t="n">
        <v>2795393.0</v>
      </c>
      <c r="B250" t="inlineStr">
        <is>
          <t>1,1,2,2,3,3,4,4,5,5,6,6,7,7,8,8,8-Heptadecafluoro-1-octanesulfonic acid potassium salt</t>
        </is>
      </c>
      <c r="C250"/>
      <c r="D250" t="inlineStr">
        <is>
          <t>Measured</t>
        </is>
      </c>
      <c r="E250" t="inlineStr">
        <is>
          <t>&gt;</t>
        </is>
      </c>
      <c r="F250" t="n">
        <v>98.0</v>
      </c>
      <c r="G250"/>
      <c r="H250"/>
      <c r="I250"/>
      <c r="J250"/>
      <c r="K250" t="inlineStr">
        <is>
          <t>Danio rerio</t>
        </is>
      </c>
      <c r="L250" t="inlineStr">
        <is>
          <t>Zebra Danio</t>
        </is>
      </c>
      <c r="M250" t="inlineStr">
        <is>
          <t>Fish; Standard Test Species</t>
        </is>
      </c>
      <c r="N250" t="inlineStr">
        <is>
          <t>Embryo</t>
        </is>
      </c>
      <c r="O250"/>
      <c r="P250" t="n">
        <v>7.0</v>
      </c>
      <c r="Q250"/>
      <c r="R250"/>
      <c r="S250"/>
      <c r="T250"/>
      <c r="U250" t="inlineStr">
        <is>
          <t>Hours post fertilization</t>
        </is>
      </c>
      <c r="V250" t="inlineStr">
        <is>
          <t>Multiple routes between application groups</t>
        </is>
      </c>
      <c r="W250" t="inlineStr">
        <is>
          <t>Culture</t>
        </is>
      </c>
      <c r="X250" t="inlineStr">
        <is>
          <t>Lab</t>
        </is>
      </c>
      <c r="Y250" t="n">
        <v>6.0</v>
      </c>
      <c r="Z250" t="inlineStr">
        <is>
          <t>Active ingredient</t>
        </is>
      </c>
      <c r="AA250"/>
      <c r="AB250"/>
      <c r="AC250"/>
      <c r="AD250" t="n">
        <v>0.05</v>
      </c>
      <c r="AE250"/>
      <c r="AF250" t="n">
        <v>0.12</v>
      </c>
      <c r="AG250" t="inlineStr">
        <is>
          <t>ug/L</t>
        </is>
      </c>
      <c r="AH250"/>
      <c r="AI250"/>
      <c r="AJ250"/>
      <c r="AK250"/>
      <c r="AL250"/>
      <c r="AM250"/>
      <c r="AN250"/>
      <c r="AO250"/>
      <c r="AP250"/>
      <c r="AQ250"/>
      <c r="AR250"/>
      <c r="AS250"/>
      <c r="AT250"/>
      <c r="AU250"/>
      <c r="AV250"/>
      <c r="AW250"/>
      <c r="AX250" t="inlineStr">
        <is>
          <t>Accumulation</t>
        </is>
      </c>
      <c r="AY250" t="inlineStr">
        <is>
          <t>Residue</t>
        </is>
      </c>
      <c r="AZ250" t="inlineStr">
        <is>
          <t>BCF</t>
        </is>
      </c>
      <c r="BA250" t="inlineStr">
        <is>
          <t>Whole organism</t>
        </is>
      </c>
      <c r="BB250"/>
      <c r="BC250" t="n">
        <v>180.0</v>
      </c>
      <c r="BD250"/>
      <c r="BE250"/>
      <c r="BF250"/>
      <c r="BG250"/>
      <c r="BH250" t="inlineStr">
        <is>
          <t>Day(s)</t>
        </is>
      </c>
      <c r="BI250" t="inlineStr">
        <is>
          <t>~</t>
        </is>
      </c>
      <c r="BJ250" t="n">
        <v>1000.0</v>
      </c>
      <c r="BK250"/>
      <c r="BL250"/>
      <c r="BM250"/>
      <c r="BN250"/>
      <c r="BO250" t="inlineStr">
        <is>
          <t>L/kg</t>
        </is>
      </c>
      <c r="BP250"/>
      <c r="BQ250"/>
      <c r="BR250"/>
      <c r="BS250"/>
      <c r="BT250"/>
      <c r="BU250"/>
      <c r="BV250"/>
      <c r="BW250"/>
      <c r="BX250"/>
      <c r="BY250"/>
      <c r="BZ250"/>
      <c r="CA250"/>
      <c r="CB250"/>
      <c r="CC250"/>
      <c r="CD250" t="inlineStr">
        <is>
          <t>Gust,K.A., A.N. Kimble, J.E. Mylroie, M.L. Mayo, M.S. Wilbanks, C.S.C. Steward, K.A. Chapman, G.R. Lotufo, N. Garcia-Re</t>
        </is>
      </c>
      <c r="CE250" t="n">
        <v>193995.0</v>
      </c>
      <c r="CF250" t="inlineStr">
        <is>
          <t>Bioconcentration, Maternal Transfer, and Toxicokinetics of PFOS in a Multi-Generational Zebrafish Exposure</t>
        </is>
      </c>
      <c r="CG250" t="inlineStr">
        <is>
          <t>Environ. Toxicol. Chem.44(1): 207-219</t>
        </is>
      </c>
      <c r="CH250" t="n">
        <v>2025.0</v>
      </c>
      <c r="CI250"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51">
      <c r="A251" t="n">
        <v>2795393.0</v>
      </c>
      <c r="B251" t="inlineStr">
        <is>
          <t>1,1,2,2,3,3,4,4,5,5,6,6,7,7,8,8,8-Heptadecafluoro-1-octanesulfonic acid potassium salt</t>
        </is>
      </c>
      <c r="C251"/>
      <c r="D251" t="inlineStr">
        <is>
          <t>Measured</t>
        </is>
      </c>
      <c r="E251" t="inlineStr">
        <is>
          <t>&gt;</t>
        </is>
      </c>
      <c r="F251" t="n">
        <v>98.0</v>
      </c>
      <c r="G251"/>
      <c r="H251"/>
      <c r="I251"/>
      <c r="J251"/>
      <c r="K251" t="inlineStr">
        <is>
          <t>Danio rerio</t>
        </is>
      </c>
      <c r="L251" t="inlineStr">
        <is>
          <t>Zebra Danio</t>
        </is>
      </c>
      <c r="M251" t="inlineStr">
        <is>
          <t>Fish; Standard Test Species</t>
        </is>
      </c>
      <c r="N251" t="inlineStr">
        <is>
          <t>Embryo</t>
        </is>
      </c>
      <c r="O251"/>
      <c r="P251" t="n">
        <v>7.0</v>
      </c>
      <c r="Q251"/>
      <c r="R251"/>
      <c r="S251"/>
      <c r="T251"/>
      <c r="U251" t="inlineStr">
        <is>
          <t>Hours post fertilization</t>
        </is>
      </c>
      <c r="V251" t="inlineStr">
        <is>
          <t>Multiple routes between application groups</t>
        </is>
      </c>
      <c r="W251" t="inlineStr">
        <is>
          <t>Culture</t>
        </is>
      </c>
      <c r="X251" t="inlineStr">
        <is>
          <t>Lab</t>
        </is>
      </c>
      <c r="Y251" t="n">
        <v>6.0</v>
      </c>
      <c r="Z251" t="inlineStr">
        <is>
          <t>Active ingredient</t>
        </is>
      </c>
      <c r="AA251"/>
      <c r="AB251"/>
      <c r="AC251"/>
      <c r="AD251" t="n">
        <v>0.3</v>
      </c>
      <c r="AE251"/>
      <c r="AF251" t="n">
        <v>0.8</v>
      </c>
      <c r="AG251" t="inlineStr">
        <is>
          <t>ug/L</t>
        </is>
      </c>
      <c r="AH251"/>
      <c r="AI251"/>
      <c r="AJ251"/>
      <c r="AK251"/>
      <c r="AL251"/>
      <c r="AM251"/>
      <c r="AN251"/>
      <c r="AO251"/>
      <c r="AP251"/>
      <c r="AQ251"/>
      <c r="AR251"/>
      <c r="AS251"/>
      <c r="AT251"/>
      <c r="AU251"/>
      <c r="AV251"/>
      <c r="AW251"/>
      <c r="AX251" t="inlineStr">
        <is>
          <t>Accumulation</t>
        </is>
      </c>
      <c r="AY251" t="inlineStr">
        <is>
          <t>Residue</t>
        </is>
      </c>
      <c r="AZ251" t="inlineStr">
        <is>
          <t>BCF</t>
        </is>
      </c>
      <c r="BA251" t="inlineStr">
        <is>
          <t>Whole organism</t>
        </is>
      </c>
      <c r="BB251"/>
      <c r="BC251" t="n">
        <v>360.0</v>
      </c>
      <c r="BD251"/>
      <c r="BE251"/>
      <c r="BF251"/>
      <c r="BG251"/>
      <c r="BH251" t="inlineStr">
        <is>
          <t>Day(s)</t>
        </is>
      </c>
      <c r="BI251" t="inlineStr">
        <is>
          <t>~</t>
        </is>
      </c>
      <c r="BJ251" t="n">
        <v>1000.0</v>
      </c>
      <c r="BK251"/>
      <c r="BL251"/>
      <c r="BM251"/>
      <c r="BN251"/>
      <c r="BO251" t="inlineStr">
        <is>
          <t>L/kg</t>
        </is>
      </c>
      <c r="BP251"/>
      <c r="BQ251"/>
      <c r="BR251"/>
      <c r="BS251"/>
      <c r="BT251"/>
      <c r="BU251"/>
      <c r="BV251"/>
      <c r="BW251"/>
      <c r="BX251"/>
      <c r="BY251"/>
      <c r="BZ251"/>
      <c r="CA251"/>
      <c r="CB251"/>
      <c r="CC251"/>
      <c r="CD251" t="inlineStr">
        <is>
          <t>Gust,K.A., A.N. Kimble, J.E. Mylroie, M.L. Mayo, M.S. Wilbanks, C.S.C. Steward, K.A. Chapman, G.R. Lotufo, N. Garcia-Re</t>
        </is>
      </c>
      <c r="CE251" t="n">
        <v>193995.0</v>
      </c>
      <c r="CF251" t="inlineStr">
        <is>
          <t>Bioconcentration, Maternal Transfer, and Toxicokinetics of PFOS in a Multi-Generational Zebrafish Exposure</t>
        </is>
      </c>
      <c r="CG251" t="inlineStr">
        <is>
          <t>Environ. Toxicol. Chem.44(1): 207-219</t>
        </is>
      </c>
      <c r="CH251" t="n">
        <v>2025.0</v>
      </c>
      <c r="CI251"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52">
      <c r="A252" t="n">
        <v>2795393.0</v>
      </c>
      <c r="B252" t="inlineStr">
        <is>
          <t>1,1,2,2,3,3,4,4,5,5,6,6,7,7,8,8,8-Heptadecafluoro-1-octanesulfonic acid potassium salt</t>
        </is>
      </c>
      <c r="C252"/>
      <c r="D252" t="inlineStr">
        <is>
          <t>Measured</t>
        </is>
      </c>
      <c r="E252" t="inlineStr">
        <is>
          <t>&gt;</t>
        </is>
      </c>
      <c r="F252" t="n">
        <v>98.0</v>
      </c>
      <c r="G252"/>
      <c r="H252"/>
      <c r="I252"/>
      <c r="J252"/>
      <c r="K252" t="inlineStr">
        <is>
          <t>Danio rerio</t>
        </is>
      </c>
      <c r="L252" t="inlineStr">
        <is>
          <t>Zebra Danio</t>
        </is>
      </c>
      <c r="M252" t="inlineStr">
        <is>
          <t>Fish; Standard Test Species</t>
        </is>
      </c>
      <c r="N252" t="inlineStr">
        <is>
          <t>Embryo</t>
        </is>
      </c>
      <c r="O252"/>
      <c r="P252" t="n">
        <v>7.0</v>
      </c>
      <c r="Q252"/>
      <c r="R252"/>
      <c r="S252"/>
      <c r="T252"/>
      <c r="U252" t="inlineStr">
        <is>
          <t>Hours post fertilization</t>
        </is>
      </c>
      <c r="V252" t="inlineStr">
        <is>
          <t>Multiple routes between application groups</t>
        </is>
      </c>
      <c r="W252" t="inlineStr">
        <is>
          <t>Culture</t>
        </is>
      </c>
      <c r="X252" t="inlineStr">
        <is>
          <t>Lab</t>
        </is>
      </c>
      <c r="Y252" t="n">
        <v>6.0</v>
      </c>
      <c r="Z252" t="inlineStr">
        <is>
          <t>Active ingredient</t>
        </is>
      </c>
      <c r="AA252"/>
      <c r="AB252"/>
      <c r="AC252"/>
      <c r="AD252" t="n">
        <v>85.0</v>
      </c>
      <c r="AE252"/>
      <c r="AF252" t="n">
        <v>179.0</v>
      </c>
      <c r="AG252" t="inlineStr">
        <is>
          <t>ug/L</t>
        </is>
      </c>
      <c r="AH252"/>
      <c r="AI252"/>
      <c r="AJ252"/>
      <c r="AK252"/>
      <c r="AL252"/>
      <c r="AM252"/>
      <c r="AN252"/>
      <c r="AO252"/>
      <c r="AP252"/>
      <c r="AQ252"/>
      <c r="AR252"/>
      <c r="AS252"/>
      <c r="AT252"/>
      <c r="AU252"/>
      <c r="AV252"/>
      <c r="AW252"/>
      <c r="AX252" t="inlineStr">
        <is>
          <t>Accumulation</t>
        </is>
      </c>
      <c r="AY252" t="inlineStr">
        <is>
          <t>Residue</t>
        </is>
      </c>
      <c r="AZ252" t="inlineStr">
        <is>
          <t>BCF</t>
        </is>
      </c>
      <c r="BA252" t="inlineStr">
        <is>
          <t>Whole organism</t>
        </is>
      </c>
      <c r="BB252"/>
      <c r="BC252" t="n">
        <v>360.0</v>
      </c>
      <c r="BD252"/>
      <c r="BE252"/>
      <c r="BF252"/>
      <c r="BG252"/>
      <c r="BH252" t="inlineStr">
        <is>
          <t>Day(s)</t>
        </is>
      </c>
      <c r="BI252" t="inlineStr">
        <is>
          <t>~</t>
        </is>
      </c>
      <c r="BJ252" t="n">
        <v>1000.0</v>
      </c>
      <c r="BK252"/>
      <c r="BL252"/>
      <c r="BM252"/>
      <c r="BN252"/>
      <c r="BO252" t="inlineStr">
        <is>
          <t>L/kg</t>
        </is>
      </c>
      <c r="BP252"/>
      <c r="BQ252"/>
      <c r="BR252"/>
      <c r="BS252"/>
      <c r="BT252"/>
      <c r="BU252"/>
      <c r="BV252"/>
      <c r="BW252"/>
      <c r="BX252"/>
      <c r="BY252"/>
      <c r="BZ252"/>
      <c r="CA252"/>
      <c r="CB252"/>
      <c r="CC252"/>
      <c r="CD252" t="inlineStr">
        <is>
          <t>Gust,K.A., A.N. Kimble, J.E. Mylroie, M.L. Mayo, M.S. Wilbanks, C.S.C. Steward, K.A. Chapman, G.R. Lotufo, N. Garcia-Re</t>
        </is>
      </c>
      <c r="CE252" t="n">
        <v>193995.0</v>
      </c>
      <c r="CF252" t="inlineStr">
        <is>
          <t>Bioconcentration, Maternal Transfer, and Toxicokinetics of PFOS in a Multi-Generational Zebrafish Exposure</t>
        </is>
      </c>
      <c r="CG252" t="inlineStr">
        <is>
          <t>Environ. Toxicol. Chem.44(1): 207-219</t>
        </is>
      </c>
      <c r="CH252" t="n">
        <v>2025.0</v>
      </c>
      <c r="CI252"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53">
      <c r="A253" t="n">
        <v>2795393.0</v>
      </c>
      <c r="B253" t="inlineStr">
        <is>
          <t>1,1,2,2,3,3,4,4,5,5,6,6,7,7,8,8,8-Heptadecafluoro-1-octanesulfonic acid potassium salt</t>
        </is>
      </c>
      <c r="C253"/>
      <c r="D253" t="inlineStr">
        <is>
          <t>Measured</t>
        </is>
      </c>
      <c r="E253" t="inlineStr">
        <is>
          <t>&gt;</t>
        </is>
      </c>
      <c r="F253" t="n">
        <v>98.0</v>
      </c>
      <c r="G253"/>
      <c r="H253"/>
      <c r="I253"/>
      <c r="J253"/>
      <c r="K253" t="inlineStr">
        <is>
          <t>Danio rerio</t>
        </is>
      </c>
      <c r="L253" t="inlineStr">
        <is>
          <t>Zebra Danio</t>
        </is>
      </c>
      <c r="M253" t="inlineStr">
        <is>
          <t>Fish; Standard Test Species</t>
        </is>
      </c>
      <c r="N253" t="inlineStr">
        <is>
          <t>Embryo</t>
        </is>
      </c>
      <c r="O253"/>
      <c r="P253" t="n">
        <v>7.0</v>
      </c>
      <c r="Q253"/>
      <c r="R253"/>
      <c r="S253"/>
      <c r="T253"/>
      <c r="U253" t="inlineStr">
        <is>
          <t>Hours post fertilization</t>
        </is>
      </c>
      <c r="V253" t="inlineStr">
        <is>
          <t>Multiple routes between application groups</t>
        </is>
      </c>
      <c r="W253" t="inlineStr">
        <is>
          <t>Culture</t>
        </is>
      </c>
      <c r="X253" t="inlineStr">
        <is>
          <t>Lab</t>
        </is>
      </c>
      <c r="Y253" t="n">
        <v>6.0</v>
      </c>
      <c r="Z253" t="inlineStr">
        <is>
          <t>Active ingredient</t>
        </is>
      </c>
      <c r="AA253"/>
      <c r="AB253" t="n">
        <v>0.7</v>
      </c>
      <c r="AC253"/>
      <c r="AD253"/>
      <c r="AE253"/>
      <c r="AF253"/>
      <c r="AG253" t="inlineStr">
        <is>
          <t>ug/L</t>
        </is>
      </c>
      <c r="AH253"/>
      <c r="AI253"/>
      <c r="AJ253"/>
      <c r="AK253"/>
      <c r="AL253"/>
      <c r="AM253"/>
      <c r="AN253"/>
      <c r="AO253"/>
      <c r="AP253"/>
      <c r="AQ253"/>
      <c r="AR253"/>
      <c r="AS253"/>
      <c r="AT253"/>
      <c r="AU253"/>
      <c r="AV253"/>
      <c r="AW253"/>
      <c r="AX253" t="inlineStr">
        <is>
          <t>Accumulation</t>
        </is>
      </c>
      <c r="AY253" t="inlineStr">
        <is>
          <t>Residue</t>
        </is>
      </c>
      <c r="AZ253" t="inlineStr">
        <is>
          <t>BCF</t>
        </is>
      </c>
      <c r="BA253" t="inlineStr">
        <is>
          <t>Whole organism</t>
        </is>
      </c>
      <c r="BB253"/>
      <c r="BC253" t="n">
        <v>14.0</v>
      </c>
      <c r="BD253"/>
      <c r="BE253"/>
      <c r="BF253"/>
      <c r="BG253"/>
      <c r="BH253" t="inlineStr">
        <is>
          <t>Day(s)</t>
        </is>
      </c>
      <c r="BI253"/>
      <c r="BJ253"/>
      <c r="BK253" t="inlineStr">
        <is>
          <t>&gt;</t>
        </is>
      </c>
      <c r="BL253" t="n">
        <v>1100.0</v>
      </c>
      <c r="BM253" t="inlineStr">
        <is>
          <t>&lt;</t>
        </is>
      </c>
      <c r="BN253" t="n">
        <v>1200.0</v>
      </c>
      <c r="BO253" t="inlineStr">
        <is>
          <t>L/kg</t>
        </is>
      </c>
      <c r="BP253"/>
      <c r="BQ253"/>
      <c r="BR253"/>
      <c r="BS253"/>
      <c r="BT253"/>
      <c r="BU253"/>
      <c r="BV253"/>
      <c r="BW253"/>
      <c r="BX253"/>
      <c r="BY253"/>
      <c r="BZ253"/>
      <c r="CA253"/>
      <c r="CB253"/>
      <c r="CC253"/>
      <c r="CD253" t="inlineStr">
        <is>
          <t>Gust,K.A., A.N. Kimble, J.E. Mylroie, M.L. Mayo, M.S. Wilbanks, C.S.C. Steward, K.A. Chapman, G.R. Lotufo, N. Garcia-Re</t>
        </is>
      </c>
      <c r="CE253" t="n">
        <v>193995.0</v>
      </c>
      <c r="CF253" t="inlineStr">
        <is>
          <t>Bioconcentration, Maternal Transfer, and Toxicokinetics of PFOS in a Multi-Generational Zebrafish Exposure</t>
        </is>
      </c>
      <c r="CG253" t="inlineStr">
        <is>
          <t>Environ. Toxicol. Chem.44(1): 207-219</t>
        </is>
      </c>
      <c r="CH253" t="n">
        <v>2025.0</v>
      </c>
      <c r="CI253"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54">
      <c r="A254" t="n">
        <v>2795393.0</v>
      </c>
      <c r="B254" t="inlineStr">
        <is>
          <t>1,1,2,2,3,3,4,4,5,5,6,6,7,7,8,8,8-Heptadecafluoro-1-octanesulfonic acid potassium salt</t>
        </is>
      </c>
      <c r="C254"/>
      <c r="D254" t="inlineStr">
        <is>
          <t>Measured</t>
        </is>
      </c>
      <c r="E254" t="inlineStr">
        <is>
          <t>&gt;</t>
        </is>
      </c>
      <c r="F254" t="n">
        <v>98.0</v>
      </c>
      <c r="G254"/>
      <c r="H254"/>
      <c r="I254"/>
      <c r="J254"/>
      <c r="K254" t="inlineStr">
        <is>
          <t>Danio rerio</t>
        </is>
      </c>
      <c r="L254" t="inlineStr">
        <is>
          <t>Zebra Danio</t>
        </is>
      </c>
      <c r="M254" t="inlineStr">
        <is>
          <t>Fish; Standard Test Species</t>
        </is>
      </c>
      <c r="N254" t="inlineStr">
        <is>
          <t>Embryo</t>
        </is>
      </c>
      <c r="O254"/>
      <c r="P254" t="n">
        <v>7.0</v>
      </c>
      <c r="Q254"/>
      <c r="R254"/>
      <c r="S254"/>
      <c r="T254"/>
      <c r="U254" t="inlineStr">
        <is>
          <t>Hours post fertilization</t>
        </is>
      </c>
      <c r="V254" t="inlineStr">
        <is>
          <t>Multiple routes between application groups</t>
        </is>
      </c>
      <c r="W254" t="inlineStr">
        <is>
          <t>Culture</t>
        </is>
      </c>
      <c r="X254" t="inlineStr">
        <is>
          <t>Lab</t>
        </is>
      </c>
      <c r="Y254" t="n">
        <v>6.0</v>
      </c>
      <c r="Z254" t="inlineStr">
        <is>
          <t>Active ingredient</t>
        </is>
      </c>
      <c r="AA254"/>
      <c r="AB254"/>
      <c r="AC254"/>
      <c r="AD254" t="n">
        <v>14.0</v>
      </c>
      <c r="AE254"/>
      <c r="AF254" t="n">
        <v>36.0</v>
      </c>
      <c r="AG254" t="inlineStr">
        <is>
          <t>ug/L</t>
        </is>
      </c>
      <c r="AH254"/>
      <c r="AI254"/>
      <c r="AJ254"/>
      <c r="AK254"/>
      <c r="AL254"/>
      <c r="AM254"/>
      <c r="AN254"/>
      <c r="AO254"/>
      <c r="AP254"/>
      <c r="AQ254"/>
      <c r="AR254"/>
      <c r="AS254"/>
      <c r="AT254"/>
      <c r="AU254"/>
      <c r="AV254"/>
      <c r="AW254"/>
      <c r="AX254" t="inlineStr">
        <is>
          <t>Accumulation</t>
        </is>
      </c>
      <c r="AY254" t="inlineStr">
        <is>
          <t>Residue</t>
        </is>
      </c>
      <c r="AZ254" t="inlineStr">
        <is>
          <t>BCF</t>
        </is>
      </c>
      <c r="BA254" t="inlineStr">
        <is>
          <t>Whole organism</t>
        </is>
      </c>
      <c r="BB254"/>
      <c r="BC254" t="n">
        <v>180.0</v>
      </c>
      <c r="BD254"/>
      <c r="BE254"/>
      <c r="BF254"/>
      <c r="BG254"/>
      <c r="BH254" t="inlineStr">
        <is>
          <t>Day(s)</t>
        </is>
      </c>
      <c r="BI254"/>
      <c r="BJ254"/>
      <c r="BK254" t="inlineStr">
        <is>
          <t>&gt;</t>
        </is>
      </c>
      <c r="BL254" t="n">
        <v>1100.0</v>
      </c>
      <c r="BM254" t="inlineStr">
        <is>
          <t>&lt;</t>
        </is>
      </c>
      <c r="BN254" t="n">
        <v>1200.0</v>
      </c>
      <c r="BO254" t="inlineStr">
        <is>
          <t>L/kg</t>
        </is>
      </c>
      <c r="BP254"/>
      <c r="BQ254"/>
      <c r="BR254"/>
      <c r="BS254"/>
      <c r="BT254"/>
      <c r="BU254"/>
      <c r="BV254"/>
      <c r="BW254"/>
      <c r="BX254"/>
      <c r="BY254"/>
      <c r="BZ254"/>
      <c r="CA254"/>
      <c r="CB254"/>
      <c r="CC254"/>
      <c r="CD254" t="inlineStr">
        <is>
          <t>Gust,K.A., A.N. Kimble, J.E. Mylroie, M.L. Mayo, M.S. Wilbanks, C.S.C. Steward, K.A. Chapman, G.R. Lotufo, N. Garcia-Re</t>
        </is>
      </c>
      <c r="CE254" t="n">
        <v>193995.0</v>
      </c>
      <c r="CF254" t="inlineStr">
        <is>
          <t>Bioconcentration, Maternal Transfer, and Toxicokinetics of PFOS in a Multi-Generational Zebrafish Exposure</t>
        </is>
      </c>
      <c r="CG254" t="inlineStr">
        <is>
          <t>Environ. Toxicol. Chem.44(1): 207-219</t>
        </is>
      </c>
      <c r="CH254" t="n">
        <v>2025.0</v>
      </c>
      <c r="CI254"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55">
      <c r="A255" t="n">
        <v>2795393.0</v>
      </c>
      <c r="B255" t="inlineStr">
        <is>
          <t>1,1,2,2,3,3,4,4,5,5,6,6,7,7,8,8,8-Heptadecafluoro-1-octanesulfonic acid potassium salt</t>
        </is>
      </c>
      <c r="C255"/>
      <c r="D255" t="inlineStr">
        <is>
          <t>Measured</t>
        </is>
      </c>
      <c r="E255"/>
      <c r="F255" t="n">
        <v>86.9</v>
      </c>
      <c r="G255"/>
      <c r="H255"/>
      <c r="I255"/>
      <c r="J255"/>
      <c r="K255" t="inlineStr">
        <is>
          <t>Lepomis macrochirus</t>
        </is>
      </c>
      <c r="L255" t="inlineStr">
        <is>
          <t>Bluegill</t>
        </is>
      </c>
      <c r="M255" t="inlineStr">
        <is>
          <t>Fish; Standard Test Species</t>
        </is>
      </c>
      <c r="N255" t="inlineStr">
        <is>
          <t>Juvenile</t>
        </is>
      </c>
      <c r="O255" t="inlineStr">
        <is>
          <t>~</t>
        </is>
      </c>
      <c r="P255" t="n">
        <v>7.0</v>
      </c>
      <c r="Q255"/>
      <c r="R255"/>
      <c r="S255"/>
      <c r="T255"/>
      <c r="U255" t="inlineStr">
        <is>
          <t>Month(s)</t>
        </is>
      </c>
      <c r="V255" t="inlineStr">
        <is>
          <t>Flow-through</t>
        </is>
      </c>
      <c r="W255" t="inlineStr">
        <is>
          <t>Fresh water</t>
        </is>
      </c>
      <c r="X255" t="inlineStr">
        <is>
          <t>Lab</t>
        </is>
      </c>
      <c r="Y255" t="n">
        <v>3.0</v>
      </c>
      <c r="Z255" t="inlineStr">
        <is>
          <t>Active ingredient</t>
        </is>
      </c>
      <c r="AA255"/>
      <c r="AB255" t="n">
        <v>0.086</v>
      </c>
      <c r="AC255"/>
      <c r="AD255"/>
      <c r="AE255"/>
      <c r="AF255"/>
      <c r="AG255" t="inlineStr">
        <is>
          <t>AI mg/L</t>
        </is>
      </c>
      <c r="AH255"/>
      <c r="AI255"/>
      <c r="AJ255"/>
      <c r="AK255"/>
      <c r="AL255"/>
      <c r="AM255"/>
      <c r="AN255"/>
      <c r="AO255"/>
      <c r="AP255"/>
      <c r="AQ255"/>
      <c r="AR255"/>
      <c r="AS255"/>
      <c r="AT255"/>
      <c r="AU255"/>
      <c r="AV255"/>
      <c r="AW255"/>
      <c r="AX255" t="inlineStr">
        <is>
          <t>Accumulation</t>
        </is>
      </c>
      <c r="AY255" t="inlineStr">
        <is>
          <t>Residue</t>
        </is>
      </c>
      <c r="AZ255" t="inlineStr">
        <is>
          <t>BCF</t>
        </is>
      </c>
      <c r="BA255" t="inlineStr">
        <is>
          <t>Multiple tissueorgan</t>
        </is>
      </c>
      <c r="BB255"/>
      <c r="BC255"/>
      <c r="BD255"/>
      <c r="BE255" t="n">
        <v>49.0</v>
      </c>
      <c r="BF255"/>
      <c r="BG255" t="n">
        <v>62.0</v>
      </c>
      <c r="BH255" t="inlineStr">
        <is>
          <t>Day(s)</t>
        </is>
      </c>
      <c r="BI255"/>
      <c r="BJ255" t="n">
        <v>1124.0</v>
      </c>
      <c r="BK255"/>
      <c r="BL255"/>
      <c r="BM255"/>
      <c r="BN255"/>
      <c r="BO255" t="inlineStr">
        <is>
          <t>L/kg</t>
        </is>
      </c>
      <c r="BP255"/>
      <c r="BQ255"/>
      <c r="BR255"/>
      <c r="BS255"/>
      <c r="BT255"/>
      <c r="BU255"/>
      <c r="BV255"/>
      <c r="BW255"/>
      <c r="BX255"/>
      <c r="BY255"/>
      <c r="BZ255"/>
      <c r="CA255"/>
      <c r="CB255"/>
      <c r="CC255"/>
      <c r="CD255" t="inlineStr">
        <is>
          <t>Drottar,K.R., R.L. VanHoven, and H.O. Krueger</t>
        </is>
      </c>
      <c r="CE255" t="n">
        <v>175359.0</v>
      </c>
      <c r="CF255" t="inlineStr">
        <is>
          <t>Perfluorooctanesulfonate, Potassium Salt (PFOS): A Flow-Through Bioconcentration Test with the Bluegill (Lepomis macrochirus)</t>
        </is>
      </c>
      <c r="CG255" t="inlineStr">
        <is>
          <t>Project 454A-134, Wildlife International Ltd., Easton, MD:129 p.</t>
        </is>
      </c>
      <c r="CH255" t="n">
        <v>2001.0</v>
      </c>
      <c r="CI255" t="inlineStr">
        <is>
          <t>Drottar,K.R., R.L. VanHoven, and H.O. Krueger (2001). Perfluorooctanesulfonate, Potassium Salt (PFOS): A Flow-Through Bioconcentration Test with the Bluegill (Lepomis macrochirus). Project 454A-134, Wildlife International Ltd., Easton, MD, 129 p. ECOREF#:175359</t>
        </is>
      </c>
    </row>
    <row r="256">
      <c r="A256" t="n">
        <v>2795393.0</v>
      </c>
      <c r="B256" t="inlineStr">
        <is>
          <t>1,1,2,2,3,3,4,4,5,5,6,6,7,7,8,8,8-Heptadecafluoro-1-octanesulfonic acid potassium salt</t>
        </is>
      </c>
      <c r="C256"/>
      <c r="D256" t="inlineStr">
        <is>
          <t>Measured</t>
        </is>
      </c>
      <c r="E256" t="inlineStr">
        <is>
          <t>&gt;</t>
        </is>
      </c>
      <c r="F256" t="n">
        <v>98.0</v>
      </c>
      <c r="G256"/>
      <c r="H256"/>
      <c r="I256"/>
      <c r="J256"/>
      <c r="K256" t="inlineStr">
        <is>
          <t>Danio rerio</t>
        </is>
      </c>
      <c r="L256" t="inlineStr">
        <is>
          <t>Zebra Danio</t>
        </is>
      </c>
      <c r="M256" t="inlineStr">
        <is>
          <t>Fish; Standard Test Species</t>
        </is>
      </c>
      <c r="N256" t="inlineStr">
        <is>
          <t>Embryo</t>
        </is>
      </c>
      <c r="O256"/>
      <c r="P256" t="n">
        <v>7.0</v>
      </c>
      <c r="Q256"/>
      <c r="R256"/>
      <c r="S256"/>
      <c r="T256"/>
      <c r="U256" t="inlineStr">
        <is>
          <t>Hours post fertilization</t>
        </is>
      </c>
      <c r="V256" t="inlineStr">
        <is>
          <t>Multiple routes between application groups</t>
        </is>
      </c>
      <c r="W256" t="inlineStr">
        <is>
          <t>Culture</t>
        </is>
      </c>
      <c r="X256" t="inlineStr">
        <is>
          <t>Lab</t>
        </is>
      </c>
      <c r="Y256" t="n">
        <v>6.0</v>
      </c>
      <c r="Z256" t="inlineStr">
        <is>
          <t>Active ingredient</t>
        </is>
      </c>
      <c r="AA256"/>
      <c r="AB256" t="n">
        <v>0.12</v>
      </c>
      <c r="AC256"/>
      <c r="AD256"/>
      <c r="AE256"/>
      <c r="AF256"/>
      <c r="AG256" t="inlineStr">
        <is>
          <t>ug/L</t>
        </is>
      </c>
      <c r="AH256"/>
      <c r="AI256"/>
      <c r="AJ256"/>
      <c r="AK256"/>
      <c r="AL256"/>
      <c r="AM256"/>
      <c r="AN256"/>
      <c r="AO256"/>
      <c r="AP256"/>
      <c r="AQ256"/>
      <c r="AR256"/>
      <c r="AS256"/>
      <c r="AT256"/>
      <c r="AU256"/>
      <c r="AV256"/>
      <c r="AW256"/>
      <c r="AX256" t="inlineStr">
        <is>
          <t>Accumulation</t>
        </is>
      </c>
      <c r="AY256" t="inlineStr">
        <is>
          <t>Residue</t>
        </is>
      </c>
      <c r="AZ256" t="inlineStr">
        <is>
          <t>BCF</t>
        </is>
      </c>
      <c r="BA256" t="inlineStr">
        <is>
          <t>Whole organism</t>
        </is>
      </c>
      <c r="BB256"/>
      <c r="BC256" t="n">
        <v>29.0</v>
      </c>
      <c r="BD256"/>
      <c r="BE256"/>
      <c r="BF256"/>
      <c r="BG256"/>
      <c r="BH256" t="inlineStr">
        <is>
          <t>Day(s)</t>
        </is>
      </c>
      <c r="BI256"/>
      <c r="BJ256"/>
      <c r="BK256" t="inlineStr">
        <is>
          <t>&gt;</t>
        </is>
      </c>
      <c r="BL256" t="n">
        <v>1200.0</v>
      </c>
      <c r="BM256" t="inlineStr">
        <is>
          <t>&lt;</t>
        </is>
      </c>
      <c r="BN256" t="n">
        <v>1300.0</v>
      </c>
      <c r="BO256" t="inlineStr">
        <is>
          <t>L/kg</t>
        </is>
      </c>
      <c r="BP256"/>
      <c r="BQ256"/>
      <c r="BR256"/>
      <c r="BS256"/>
      <c r="BT256"/>
      <c r="BU256"/>
      <c r="BV256"/>
      <c r="BW256"/>
      <c r="BX256"/>
      <c r="BY256"/>
      <c r="BZ256"/>
      <c r="CA256"/>
      <c r="CB256"/>
      <c r="CC256"/>
      <c r="CD256" t="inlineStr">
        <is>
          <t>Gust,K.A., A.N. Kimble, J.E. Mylroie, M.L. Mayo, M.S. Wilbanks, C.S.C. Steward, K.A. Chapman, G.R. Lotufo, N. Garcia-Re</t>
        </is>
      </c>
      <c r="CE256" t="n">
        <v>193995.0</v>
      </c>
      <c r="CF256" t="inlineStr">
        <is>
          <t>Bioconcentration, Maternal Transfer, and Toxicokinetics of PFOS in a Multi-Generational Zebrafish Exposure</t>
        </is>
      </c>
      <c r="CG256" t="inlineStr">
        <is>
          <t>Environ. Toxicol. Chem.44(1): 207-219</t>
        </is>
      </c>
      <c r="CH256" t="n">
        <v>2025.0</v>
      </c>
      <c r="CI256"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57">
      <c r="A257" t="n">
        <v>2795393.0</v>
      </c>
      <c r="B257" t="inlineStr">
        <is>
          <t>1,1,2,2,3,3,4,4,5,5,6,6,7,7,8,8,8-Heptadecafluoro-1-octanesulfonic acid potassium salt</t>
        </is>
      </c>
      <c r="C257"/>
      <c r="D257" t="inlineStr">
        <is>
          <t>Measured</t>
        </is>
      </c>
      <c r="E257"/>
      <c r="F257" t="n">
        <v>100.3</v>
      </c>
      <c r="G257"/>
      <c r="H257"/>
      <c r="I257"/>
      <c r="J257"/>
      <c r="K257" t="inlineStr">
        <is>
          <t>Cyprinus carpio</t>
        </is>
      </c>
      <c r="L257" t="inlineStr">
        <is>
          <t>Common Carp</t>
        </is>
      </c>
      <c r="M257" t="inlineStr">
        <is>
          <t>Fish; Standard Test Species</t>
        </is>
      </c>
      <c r="N257" t="inlineStr">
        <is>
          <t>Yearling</t>
        </is>
      </c>
      <c r="O257"/>
      <c r="P257"/>
      <c r="Q257"/>
      <c r="R257"/>
      <c r="S257"/>
      <c r="T257"/>
      <c r="U257"/>
      <c r="V257" t="inlineStr">
        <is>
          <t>Flow-through</t>
        </is>
      </c>
      <c r="W257" t="inlineStr">
        <is>
          <t>Fresh water</t>
        </is>
      </c>
      <c r="X257" t="inlineStr">
        <is>
          <t>Lab</t>
        </is>
      </c>
      <c r="Y257" t="n">
        <v>3.0</v>
      </c>
      <c r="Z257" t="inlineStr">
        <is>
          <t>Active ingredient</t>
        </is>
      </c>
      <c r="AA257"/>
      <c r="AB257" t="n">
        <v>0.00188</v>
      </c>
      <c r="AC257"/>
      <c r="AD257"/>
      <c r="AE257"/>
      <c r="AF257"/>
      <c r="AG257" t="inlineStr">
        <is>
          <t>AI mg/L</t>
        </is>
      </c>
      <c r="AH257"/>
      <c r="AI257"/>
      <c r="AJ257"/>
      <c r="AK257"/>
      <c r="AL257"/>
      <c r="AM257"/>
      <c r="AN257"/>
      <c r="AO257"/>
      <c r="AP257"/>
      <c r="AQ257"/>
      <c r="AR257"/>
      <c r="AS257"/>
      <c r="AT257"/>
      <c r="AU257"/>
      <c r="AV257"/>
      <c r="AW257"/>
      <c r="AX257" t="inlineStr">
        <is>
          <t>Accumulation</t>
        </is>
      </c>
      <c r="AY257" t="inlineStr">
        <is>
          <t>Residue</t>
        </is>
      </c>
      <c r="AZ257" t="inlineStr">
        <is>
          <t>BCF</t>
        </is>
      </c>
      <c r="BA257" t="inlineStr">
        <is>
          <t>Whole organism</t>
        </is>
      </c>
      <c r="BB257"/>
      <c r="BC257" t="n">
        <v>58.0</v>
      </c>
      <c r="BD257"/>
      <c r="BE257"/>
      <c r="BF257"/>
      <c r="BG257"/>
      <c r="BH257" t="inlineStr">
        <is>
          <t>Day(s)</t>
        </is>
      </c>
      <c r="BI257"/>
      <c r="BJ257" t="n">
        <v>1300.0</v>
      </c>
      <c r="BK257"/>
      <c r="BL257"/>
      <c r="BM257"/>
      <c r="BN257"/>
      <c r="BO257" t="inlineStr">
        <is>
          <t>RA</t>
        </is>
      </c>
      <c r="BP257"/>
      <c r="BQ257"/>
      <c r="BR257"/>
      <c r="BS257"/>
      <c r="BT257"/>
      <c r="BU257"/>
      <c r="BV257"/>
      <c r="BW257"/>
      <c r="BX257"/>
      <c r="BY257"/>
      <c r="BZ257"/>
      <c r="CA257"/>
      <c r="CB257"/>
      <c r="CC257"/>
      <c r="CD257" t="inlineStr">
        <is>
          <t>Inoue,Y., N. Hashizume, N. Yakata, H. Murakami, Y. Suzuki, E. Kikushima, and M. Otsuka</t>
        </is>
      </c>
      <c r="CE257" t="n">
        <v>160552.0</v>
      </c>
      <c r="CF257" t="inlineStr">
        <is>
          <t>Unique Physicochemical Properties of Perfluorinated Compounds and Their Bioconcentration in Common Carp Cyprinus carpio L.</t>
        </is>
      </c>
      <c r="CG257" t="inlineStr">
        <is>
          <t>Arch. Environ. Contam. Toxicol.62(4): 672-680</t>
        </is>
      </c>
      <c r="CH257" t="n">
        <v>2012.0</v>
      </c>
      <c r="CI257" t="inlineStr">
        <is>
          <t>Inoue,Y., N. Hashizume, N. Yakata, H. Murakami, Y. Suzuki, E. Kikushima, and M. Otsuka (2012). Unique Physicochemical Properties of Perfluorinated Compounds and Their Bioconcentration in Common Carp Cyprinus carpio L.. Arch. Environ. Contam. Toxicol., 62, (4), 672-680. doi:10.1007/s00244-011-9730-7. ECOREF#:160552</t>
        </is>
      </c>
    </row>
    <row r="258">
      <c r="A258" t="n">
        <v>2795393.0</v>
      </c>
      <c r="B258" t="inlineStr">
        <is>
          <t>1,1,2,2,3,3,4,4,5,5,6,6,7,7,8,8,8-Heptadecafluoro-1-octanesulfonic acid potassium salt</t>
        </is>
      </c>
      <c r="C258"/>
      <c r="D258" t="inlineStr">
        <is>
          <t>Measured</t>
        </is>
      </c>
      <c r="E258" t="inlineStr">
        <is>
          <t>&gt;</t>
        </is>
      </c>
      <c r="F258" t="n">
        <v>98.0</v>
      </c>
      <c r="G258"/>
      <c r="H258"/>
      <c r="I258"/>
      <c r="J258"/>
      <c r="K258" t="inlineStr">
        <is>
          <t>Danio rerio</t>
        </is>
      </c>
      <c r="L258" t="inlineStr">
        <is>
          <t>Zebra Danio</t>
        </is>
      </c>
      <c r="M258" t="inlineStr">
        <is>
          <t>Fish; Standard Test Species</t>
        </is>
      </c>
      <c r="N258" t="inlineStr">
        <is>
          <t>Embryo</t>
        </is>
      </c>
      <c r="O258"/>
      <c r="P258" t="n">
        <v>7.0</v>
      </c>
      <c r="Q258"/>
      <c r="R258"/>
      <c r="S258"/>
      <c r="T258"/>
      <c r="U258" t="inlineStr">
        <is>
          <t>Hours post fertilization</t>
        </is>
      </c>
      <c r="V258" t="inlineStr">
        <is>
          <t>Multiple routes between application groups</t>
        </is>
      </c>
      <c r="W258" t="inlineStr">
        <is>
          <t>Culture</t>
        </is>
      </c>
      <c r="X258" t="inlineStr">
        <is>
          <t>Lab</t>
        </is>
      </c>
      <c r="Y258" t="n">
        <v>6.0</v>
      </c>
      <c r="Z258" t="inlineStr">
        <is>
          <t>Active ingredient</t>
        </is>
      </c>
      <c r="AA258"/>
      <c r="AB258"/>
      <c r="AC258"/>
      <c r="AD258" t="n">
        <v>1.3</v>
      </c>
      <c r="AE258"/>
      <c r="AF258" t="n">
        <v>6.0</v>
      </c>
      <c r="AG258" t="inlineStr">
        <is>
          <t>ug/L</t>
        </is>
      </c>
      <c r="AH258"/>
      <c r="AI258"/>
      <c r="AJ258"/>
      <c r="AK258"/>
      <c r="AL258"/>
      <c r="AM258"/>
      <c r="AN258"/>
      <c r="AO258"/>
      <c r="AP258"/>
      <c r="AQ258"/>
      <c r="AR258"/>
      <c r="AS258"/>
      <c r="AT258"/>
      <c r="AU258"/>
      <c r="AV258"/>
      <c r="AW258"/>
      <c r="AX258" t="inlineStr">
        <is>
          <t>Accumulation</t>
        </is>
      </c>
      <c r="AY258" t="inlineStr">
        <is>
          <t>Residue</t>
        </is>
      </c>
      <c r="AZ258" t="inlineStr">
        <is>
          <t>BCF</t>
        </is>
      </c>
      <c r="BA258" t="inlineStr">
        <is>
          <t>Whole organism</t>
        </is>
      </c>
      <c r="BB258"/>
      <c r="BC258" t="n">
        <v>360.0</v>
      </c>
      <c r="BD258"/>
      <c r="BE258"/>
      <c r="BF258"/>
      <c r="BG258"/>
      <c r="BH258" t="inlineStr">
        <is>
          <t>Day(s)</t>
        </is>
      </c>
      <c r="BI258"/>
      <c r="BJ258"/>
      <c r="BK258" t="inlineStr">
        <is>
          <t>&gt;</t>
        </is>
      </c>
      <c r="BL258" t="n">
        <v>1600.0</v>
      </c>
      <c r="BM258" t="inlineStr">
        <is>
          <t>&lt;</t>
        </is>
      </c>
      <c r="BN258" t="n">
        <v>1700.0</v>
      </c>
      <c r="BO258" t="inlineStr">
        <is>
          <t>L/kg</t>
        </is>
      </c>
      <c r="BP258"/>
      <c r="BQ258"/>
      <c r="BR258"/>
      <c r="BS258"/>
      <c r="BT258"/>
      <c r="BU258"/>
      <c r="BV258"/>
      <c r="BW258"/>
      <c r="BX258"/>
      <c r="BY258"/>
      <c r="BZ258"/>
      <c r="CA258"/>
      <c r="CB258"/>
      <c r="CC258"/>
      <c r="CD258" t="inlineStr">
        <is>
          <t>Gust,K.A., A.N. Kimble, J.E. Mylroie, M.L. Mayo, M.S. Wilbanks, C.S.C. Steward, K.A. Chapman, G.R. Lotufo, N. Garcia-Re</t>
        </is>
      </c>
      <c r="CE258" t="n">
        <v>193995.0</v>
      </c>
      <c r="CF258" t="inlineStr">
        <is>
          <t>Bioconcentration, Maternal Transfer, and Toxicokinetics of PFOS in a Multi-Generational Zebrafish Exposure</t>
        </is>
      </c>
      <c r="CG258" t="inlineStr">
        <is>
          <t>Environ. Toxicol. Chem.44(1): 207-219</t>
        </is>
      </c>
      <c r="CH258" t="n">
        <v>2025.0</v>
      </c>
      <c r="CI258"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59">
      <c r="A259" t="n">
        <v>2795393.0</v>
      </c>
      <c r="B259" t="inlineStr">
        <is>
          <t>1,1,2,2,3,3,4,4,5,5,6,6,7,7,8,8,8-Heptadecafluoro-1-octanesulfonic acid potassium salt</t>
        </is>
      </c>
      <c r="C259"/>
      <c r="D259" t="inlineStr">
        <is>
          <t>Measured</t>
        </is>
      </c>
      <c r="E259" t="inlineStr">
        <is>
          <t>&gt;</t>
        </is>
      </c>
      <c r="F259" t="n">
        <v>98.0</v>
      </c>
      <c r="G259"/>
      <c r="H259"/>
      <c r="I259"/>
      <c r="J259"/>
      <c r="K259" t="inlineStr">
        <is>
          <t>Danio rerio</t>
        </is>
      </c>
      <c r="L259" t="inlineStr">
        <is>
          <t>Zebra Danio</t>
        </is>
      </c>
      <c r="M259" t="inlineStr">
        <is>
          <t>Fish; Standard Test Species</t>
        </is>
      </c>
      <c r="N259" t="inlineStr">
        <is>
          <t>Embryo</t>
        </is>
      </c>
      <c r="O259"/>
      <c r="P259" t="n">
        <v>7.0</v>
      </c>
      <c r="Q259"/>
      <c r="R259"/>
      <c r="S259"/>
      <c r="T259"/>
      <c r="U259" t="inlineStr">
        <is>
          <t>Hours post fertilization</t>
        </is>
      </c>
      <c r="V259" t="inlineStr">
        <is>
          <t>Multiple routes between application groups</t>
        </is>
      </c>
      <c r="W259" t="inlineStr">
        <is>
          <t>Culture</t>
        </is>
      </c>
      <c r="X259" t="inlineStr">
        <is>
          <t>Lab</t>
        </is>
      </c>
      <c r="Y259" t="n">
        <v>6.0</v>
      </c>
      <c r="Z259" t="inlineStr">
        <is>
          <t>Active ingredient</t>
        </is>
      </c>
      <c r="AA259"/>
      <c r="AB259"/>
      <c r="AC259"/>
      <c r="AD259" t="n">
        <v>0.7</v>
      </c>
      <c r="AE259"/>
      <c r="AF259" t="n">
        <v>0.8</v>
      </c>
      <c r="AG259" t="inlineStr">
        <is>
          <t>ug/L</t>
        </is>
      </c>
      <c r="AH259"/>
      <c r="AI259"/>
      <c r="AJ259"/>
      <c r="AK259"/>
      <c r="AL259"/>
      <c r="AM259"/>
      <c r="AN259"/>
      <c r="AO259"/>
      <c r="AP259"/>
      <c r="AQ259"/>
      <c r="AR259"/>
      <c r="AS259"/>
      <c r="AT259"/>
      <c r="AU259"/>
      <c r="AV259"/>
      <c r="AW259"/>
      <c r="AX259" t="inlineStr">
        <is>
          <t>Accumulation</t>
        </is>
      </c>
      <c r="AY259" t="inlineStr">
        <is>
          <t>Residue</t>
        </is>
      </c>
      <c r="AZ259" t="inlineStr">
        <is>
          <t>BCF</t>
        </is>
      </c>
      <c r="BA259" t="inlineStr">
        <is>
          <t>Whole organism</t>
        </is>
      </c>
      <c r="BB259"/>
      <c r="BC259" t="n">
        <v>29.0</v>
      </c>
      <c r="BD259"/>
      <c r="BE259"/>
      <c r="BF259"/>
      <c r="BG259"/>
      <c r="BH259" t="inlineStr">
        <is>
          <t>Day(s)</t>
        </is>
      </c>
      <c r="BI259" t="inlineStr">
        <is>
          <t>~</t>
        </is>
      </c>
      <c r="BJ259" t="n">
        <v>1600.0</v>
      </c>
      <c r="BK259"/>
      <c r="BL259"/>
      <c r="BM259"/>
      <c r="BN259"/>
      <c r="BO259" t="inlineStr">
        <is>
          <t>L/kg</t>
        </is>
      </c>
      <c r="BP259"/>
      <c r="BQ259"/>
      <c r="BR259"/>
      <c r="BS259"/>
      <c r="BT259"/>
      <c r="BU259"/>
      <c r="BV259"/>
      <c r="BW259"/>
      <c r="BX259"/>
      <c r="BY259"/>
      <c r="BZ259"/>
      <c r="CA259"/>
      <c r="CB259"/>
      <c r="CC259"/>
      <c r="CD259" t="inlineStr">
        <is>
          <t>Gust,K.A., A.N. Kimble, J.E. Mylroie, M.L. Mayo, M.S. Wilbanks, C.S.C. Steward, K.A. Chapman, G.R. Lotufo, N. Garcia-Re</t>
        </is>
      </c>
      <c r="CE259" t="n">
        <v>193995.0</v>
      </c>
      <c r="CF259" t="inlineStr">
        <is>
          <t>Bioconcentration, Maternal Transfer, and Toxicokinetics of PFOS in a Multi-Generational Zebrafish Exposure</t>
        </is>
      </c>
      <c r="CG259" t="inlineStr">
        <is>
          <t>Environ. Toxicol. Chem.44(1): 207-219</t>
        </is>
      </c>
      <c r="CH259" t="n">
        <v>2025.0</v>
      </c>
      <c r="CI259"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60">
      <c r="A260" t="n">
        <v>2795393.0</v>
      </c>
      <c r="B260" t="inlineStr">
        <is>
          <t>1,1,2,2,3,3,4,4,5,5,6,6,7,7,8,8,8-Heptadecafluoro-1-octanesulfonic acid potassium salt</t>
        </is>
      </c>
      <c r="C260"/>
      <c r="D260" t="inlineStr">
        <is>
          <t>Measured</t>
        </is>
      </c>
      <c r="E260" t="inlineStr">
        <is>
          <t>&gt;</t>
        </is>
      </c>
      <c r="F260" t="n">
        <v>98.0</v>
      </c>
      <c r="G260"/>
      <c r="H260"/>
      <c r="I260"/>
      <c r="J260"/>
      <c r="K260" t="inlineStr">
        <is>
          <t>Danio rerio</t>
        </is>
      </c>
      <c r="L260" t="inlineStr">
        <is>
          <t>Zebra Danio</t>
        </is>
      </c>
      <c r="M260" t="inlineStr">
        <is>
          <t>Fish; Standard Test Species</t>
        </is>
      </c>
      <c r="N260" t="inlineStr">
        <is>
          <t>Embryo</t>
        </is>
      </c>
      <c r="O260"/>
      <c r="P260" t="n">
        <v>7.0</v>
      </c>
      <c r="Q260"/>
      <c r="R260"/>
      <c r="S260"/>
      <c r="T260"/>
      <c r="U260" t="inlineStr">
        <is>
          <t>Hours post fertilization</t>
        </is>
      </c>
      <c r="V260" t="inlineStr">
        <is>
          <t>Multiple routes between application groups</t>
        </is>
      </c>
      <c r="W260" t="inlineStr">
        <is>
          <t>Culture</t>
        </is>
      </c>
      <c r="X260" t="inlineStr">
        <is>
          <t>Lab</t>
        </is>
      </c>
      <c r="Y260" t="n">
        <v>6.0</v>
      </c>
      <c r="Z260" t="inlineStr">
        <is>
          <t>Active ingredient</t>
        </is>
      </c>
      <c r="AA260"/>
      <c r="AB260"/>
      <c r="AC260"/>
      <c r="AD260" t="n">
        <v>1.3</v>
      </c>
      <c r="AE260"/>
      <c r="AF260" t="n">
        <v>6.0</v>
      </c>
      <c r="AG260" t="inlineStr">
        <is>
          <t>ug/L</t>
        </is>
      </c>
      <c r="AH260"/>
      <c r="AI260"/>
      <c r="AJ260"/>
      <c r="AK260"/>
      <c r="AL260"/>
      <c r="AM260"/>
      <c r="AN260"/>
      <c r="AO260"/>
      <c r="AP260"/>
      <c r="AQ260"/>
      <c r="AR260"/>
      <c r="AS260"/>
      <c r="AT260"/>
      <c r="AU260"/>
      <c r="AV260"/>
      <c r="AW260"/>
      <c r="AX260" t="inlineStr">
        <is>
          <t>Accumulation</t>
        </is>
      </c>
      <c r="AY260" t="inlineStr">
        <is>
          <t>Residue</t>
        </is>
      </c>
      <c r="AZ260" t="inlineStr">
        <is>
          <t>BCF</t>
        </is>
      </c>
      <c r="BA260" t="inlineStr">
        <is>
          <t>Whole organism</t>
        </is>
      </c>
      <c r="BB260"/>
      <c r="BC260" t="n">
        <v>180.0</v>
      </c>
      <c r="BD260"/>
      <c r="BE260"/>
      <c r="BF260"/>
      <c r="BG260"/>
      <c r="BH260" t="inlineStr">
        <is>
          <t>Day(s)</t>
        </is>
      </c>
      <c r="BI260" t="inlineStr">
        <is>
          <t>~</t>
        </is>
      </c>
      <c r="BJ260" t="n">
        <v>1600.0</v>
      </c>
      <c r="BK260"/>
      <c r="BL260"/>
      <c r="BM260"/>
      <c r="BN260"/>
      <c r="BO260" t="inlineStr">
        <is>
          <t>L/kg</t>
        </is>
      </c>
      <c r="BP260"/>
      <c r="BQ260"/>
      <c r="BR260"/>
      <c r="BS260"/>
      <c r="BT260"/>
      <c r="BU260"/>
      <c r="BV260"/>
      <c r="BW260"/>
      <c r="BX260"/>
      <c r="BY260"/>
      <c r="BZ260"/>
      <c r="CA260"/>
      <c r="CB260"/>
      <c r="CC260"/>
      <c r="CD260" t="inlineStr">
        <is>
          <t>Gust,K.A., A.N. Kimble, J.E. Mylroie, M.L. Mayo, M.S. Wilbanks, C.S.C. Steward, K.A. Chapman, G.R. Lotufo, N. Garcia-Re</t>
        </is>
      </c>
      <c r="CE260" t="n">
        <v>193995.0</v>
      </c>
      <c r="CF260" t="inlineStr">
        <is>
          <t>Bioconcentration, Maternal Transfer, and Toxicokinetics of PFOS in a Multi-Generational Zebrafish Exposure</t>
        </is>
      </c>
      <c r="CG260" t="inlineStr">
        <is>
          <t>Environ. Toxicol. Chem.44(1): 207-219</t>
        </is>
      </c>
      <c r="CH260" t="n">
        <v>2025.0</v>
      </c>
      <c r="CI260"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61">
      <c r="A261" t="n">
        <v>2795393.0</v>
      </c>
      <c r="B261" t="inlineStr">
        <is>
          <t>1,1,2,2,3,3,4,4,5,5,6,6,7,7,8,8,8-Heptadecafluoro-1-octanesulfonic acid potassium salt</t>
        </is>
      </c>
      <c r="C261"/>
      <c r="D261" t="inlineStr">
        <is>
          <t>Measured</t>
        </is>
      </c>
      <c r="E261" t="inlineStr">
        <is>
          <t>&gt;</t>
        </is>
      </c>
      <c r="F261" t="n">
        <v>98.0</v>
      </c>
      <c r="G261"/>
      <c r="H261"/>
      <c r="I261"/>
      <c r="J261"/>
      <c r="K261" t="inlineStr">
        <is>
          <t>Danio rerio</t>
        </is>
      </c>
      <c r="L261" t="inlineStr">
        <is>
          <t>Zebra Danio</t>
        </is>
      </c>
      <c r="M261" t="inlineStr">
        <is>
          <t>Fish; Standard Test Species</t>
        </is>
      </c>
      <c r="N261" t="inlineStr">
        <is>
          <t>Embryo</t>
        </is>
      </c>
      <c r="O261"/>
      <c r="P261" t="n">
        <v>7.0</v>
      </c>
      <c r="Q261"/>
      <c r="R261"/>
      <c r="S261"/>
      <c r="T261"/>
      <c r="U261" t="inlineStr">
        <is>
          <t>Hours post fertilization</t>
        </is>
      </c>
      <c r="V261" t="inlineStr">
        <is>
          <t>Multiple routes between application groups</t>
        </is>
      </c>
      <c r="W261" t="inlineStr">
        <is>
          <t>Culture</t>
        </is>
      </c>
      <c r="X261" t="inlineStr">
        <is>
          <t>Lab</t>
        </is>
      </c>
      <c r="Y261" t="n">
        <v>6.0</v>
      </c>
      <c r="Z261" t="inlineStr">
        <is>
          <t>Active ingredient</t>
        </is>
      </c>
      <c r="AA261"/>
      <c r="AB261"/>
      <c r="AC261"/>
      <c r="AD261" t="n">
        <v>0.3</v>
      </c>
      <c r="AE261"/>
      <c r="AF261" t="n">
        <v>0.8</v>
      </c>
      <c r="AG261" t="inlineStr">
        <is>
          <t>ug/L</t>
        </is>
      </c>
      <c r="AH261"/>
      <c r="AI261"/>
      <c r="AJ261"/>
      <c r="AK261"/>
      <c r="AL261"/>
      <c r="AM261"/>
      <c r="AN261"/>
      <c r="AO261"/>
      <c r="AP261"/>
      <c r="AQ261"/>
      <c r="AR261"/>
      <c r="AS261"/>
      <c r="AT261"/>
      <c r="AU261"/>
      <c r="AV261"/>
      <c r="AW261"/>
      <c r="AX261" t="inlineStr">
        <is>
          <t>Accumulation</t>
        </is>
      </c>
      <c r="AY261" t="inlineStr">
        <is>
          <t>Residue</t>
        </is>
      </c>
      <c r="AZ261" t="inlineStr">
        <is>
          <t>BCF</t>
        </is>
      </c>
      <c r="BA261" t="inlineStr">
        <is>
          <t>Whole organism</t>
        </is>
      </c>
      <c r="BB261"/>
      <c r="BC261" t="n">
        <v>180.0</v>
      </c>
      <c r="BD261"/>
      <c r="BE261"/>
      <c r="BF261"/>
      <c r="BG261"/>
      <c r="BH261" t="inlineStr">
        <is>
          <t>Day(s)</t>
        </is>
      </c>
      <c r="BI261"/>
      <c r="BJ261"/>
      <c r="BK261" t="inlineStr">
        <is>
          <t>&gt;</t>
        </is>
      </c>
      <c r="BL261" t="n">
        <v>1900.0</v>
      </c>
      <c r="BM261" t="inlineStr">
        <is>
          <t>&lt;</t>
        </is>
      </c>
      <c r="BN261" t="n">
        <v>2000.0</v>
      </c>
      <c r="BO261" t="inlineStr">
        <is>
          <t>L/kg</t>
        </is>
      </c>
      <c r="BP261"/>
      <c r="BQ261"/>
      <c r="BR261"/>
      <c r="BS261"/>
      <c r="BT261"/>
      <c r="BU261"/>
      <c r="BV261"/>
      <c r="BW261"/>
      <c r="BX261"/>
      <c r="BY261"/>
      <c r="BZ261"/>
      <c r="CA261"/>
      <c r="CB261"/>
      <c r="CC261"/>
      <c r="CD261" t="inlineStr">
        <is>
          <t>Gust,K.A., A.N. Kimble, J.E. Mylroie, M.L. Mayo, M.S. Wilbanks, C.S.C. Steward, K.A. Chapman, G.R. Lotufo, N. Garcia-Re</t>
        </is>
      </c>
      <c r="CE261" t="n">
        <v>193995.0</v>
      </c>
      <c r="CF261" t="inlineStr">
        <is>
          <t>Bioconcentration, Maternal Transfer, and Toxicokinetics of PFOS in a Multi-Generational Zebrafish Exposure</t>
        </is>
      </c>
      <c r="CG261" t="inlineStr">
        <is>
          <t>Environ. Toxicol. Chem.44(1): 207-219</t>
        </is>
      </c>
      <c r="CH261" t="n">
        <v>2025.0</v>
      </c>
      <c r="CI261"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62">
      <c r="A262" t="n">
        <v>2795393.0</v>
      </c>
      <c r="B262" t="inlineStr">
        <is>
          <t>1,1,2,2,3,3,4,4,5,5,6,6,7,7,8,8,8-Heptadecafluoro-1-octanesulfonic acid potassium salt</t>
        </is>
      </c>
      <c r="C262"/>
      <c r="D262" t="inlineStr">
        <is>
          <t>Measured</t>
        </is>
      </c>
      <c r="E262" t="inlineStr">
        <is>
          <t>&gt;</t>
        </is>
      </c>
      <c r="F262" t="n">
        <v>98.0</v>
      </c>
      <c r="G262"/>
      <c r="H262"/>
      <c r="I262"/>
      <c r="J262"/>
      <c r="K262" t="inlineStr">
        <is>
          <t>Danio rerio</t>
        </is>
      </c>
      <c r="L262" t="inlineStr">
        <is>
          <t>Zebra Danio</t>
        </is>
      </c>
      <c r="M262" t="inlineStr">
        <is>
          <t>Fish; Standard Test Species</t>
        </is>
      </c>
      <c r="N262" t="inlineStr">
        <is>
          <t>Embryo</t>
        </is>
      </c>
      <c r="O262"/>
      <c r="P262" t="n">
        <v>7.0</v>
      </c>
      <c r="Q262"/>
      <c r="R262"/>
      <c r="S262"/>
      <c r="T262"/>
      <c r="U262" t="inlineStr">
        <is>
          <t>Hours post fertilization</t>
        </is>
      </c>
      <c r="V262" t="inlineStr">
        <is>
          <t>Multiple routes between application groups</t>
        </is>
      </c>
      <c r="W262" t="inlineStr">
        <is>
          <t>Culture</t>
        </is>
      </c>
      <c r="X262" t="inlineStr">
        <is>
          <t>Lab</t>
        </is>
      </c>
      <c r="Y262" t="n">
        <v>6.0</v>
      </c>
      <c r="Z262" t="inlineStr">
        <is>
          <t>Active ingredient</t>
        </is>
      </c>
      <c r="AA262"/>
      <c r="AB262"/>
      <c r="AC262"/>
      <c r="AD262" t="n">
        <v>0.05</v>
      </c>
      <c r="AE262"/>
      <c r="AF262" t="n">
        <v>0.12</v>
      </c>
      <c r="AG262" t="inlineStr">
        <is>
          <t>ug/L</t>
        </is>
      </c>
      <c r="AH262"/>
      <c r="AI262"/>
      <c r="AJ262"/>
      <c r="AK262"/>
      <c r="AL262"/>
      <c r="AM262"/>
      <c r="AN262"/>
      <c r="AO262"/>
      <c r="AP262"/>
      <c r="AQ262"/>
      <c r="AR262"/>
      <c r="AS262"/>
      <c r="AT262"/>
      <c r="AU262"/>
      <c r="AV262"/>
      <c r="AW262"/>
      <c r="AX262" t="inlineStr">
        <is>
          <t>Accumulation</t>
        </is>
      </c>
      <c r="AY262" t="inlineStr">
        <is>
          <t>Residue</t>
        </is>
      </c>
      <c r="AZ262" t="inlineStr">
        <is>
          <t>BCF</t>
        </is>
      </c>
      <c r="BA262" t="inlineStr">
        <is>
          <t>Whole organism</t>
        </is>
      </c>
      <c r="BB262"/>
      <c r="BC262" t="n">
        <v>180.0</v>
      </c>
      <c r="BD262"/>
      <c r="BE262"/>
      <c r="BF262"/>
      <c r="BG262"/>
      <c r="BH262" t="inlineStr">
        <is>
          <t>Day(s)</t>
        </is>
      </c>
      <c r="BI262" t="inlineStr">
        <is>
          <t>~</t>
        </is>
      </c>
      <c r="BJ262" t="n">
        <v>2100.0</v>
      </c>
      <c r="BK262"/>
      <c r="BL262"/>
      <c r="BM262"/>
      <c r="BN262"/>
      <c r="BO262" t="inlineStr">
        <is>
          <t>L/kg</t>
        </is>
      </c>
      <c r="BP262"/>
      <c r="BQ262"/>
      <c r="BR262"/>
      <c r="BS262"/>
      <c r="BT262"/>
      <c r="BU262"/>
      <c r="BV262"/>
      <c r="BW262"/>
      <c r="BX262"/>
      <c r="BY262"/>
      <c r="BZ262"/>
      <c r="CA262"/>
      <c r="CB262"/>
      <c r="CC262"/>
      <c r="CD262" t="inlineStr">
        <is>
          <t>Gust,K.A., A.N. Kimble, J.E. Mylroie, M.L. Mayo, M.S. Wilbanks, C.S.C. Steward, K.A. Chapman, G.R. Lotufo, N. Garcia-Re</t>
        </is>
      </c>
      <c r="CE262" t="n">
        <v>193995.0</v>
      </c>
      <c r="CF262" t="inlineStr">
        <is>
          <t>Bioconcentration, Maternal Transfer, and Toxicokinetics of PFOS in a Multi-Generational Zebrafish Exposure</t>
        </is>
      </c>
      <c r="CG262" t="inlineStr">
        <is>
          <t>Environ. Toxicol. Chem.44(1): 207-219</t>
        </is>
      </c>
      <c r="CH262" t="n">
        <v>2025.0</v>
      </c>
      <c r="CI262"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63">
      <c r="A263" t="n">
        <v>2795393.0</v>
      </c>
      <c r="B263" t="inlineStr">
        <is>
          <t>1,1,2,2,3,3,4,4,5,5,6,6,7,7,8,8,8-Heptadecafluoro-1-octanesulfonic acid potassium salt</t>
        </is>
      </c>
      <c r="C263"/>
      <c r="D263" t="inlineStr">
        <is>
          <t>Measured</t>
        </is>
      </c>
      <c r="E263" t="inlineStr">
        <is>
          <t>&gt;</t>
        </is>
      </c>
      <c r="F263" t="n">
        <v>98.0</v>
      </c>
      <c r="G263"/>
      <c r="H263"/>
      <c r="I263"/>
      <c r="J263"/>
      <c r="K263" t="inlineStr">
        <is>
          <t>Danio rerio</t>
        </is>
      </c>
      <c r="L263" t="inlineStr">
        <is>
          <t>Zebra Danio</t>
        </is>
      </c>
      <c r="M263" t="inlineStr">
        <is>
          <t>Fish; Standard Test Species</t>
        </is>
      </c>
      <c r="N263" t="inlineStr">
        <is>
          <t>Embryo</t>
        </is>
      </c>
      <c r="O263"/>
      <c r="P263" t="n">
        <v>7.0</v>
      </c>
      <c r="Q263"/>
      <c r="R263"/>
      <c r="S263"/>
      <c r="T263"/>
      <c r="U263" t="inlineStr">
        <is>
          <t>Hours post fertilization</t>
        </is>
      </c>
      <c r="V263" t="inlineStr">
        <is>
          <t>Multiple routes between application groups</t>
        </is>
      </c>
      <c r="W263" t="inlineStr">
        <is>
          <t>Culture</t>
        </is>
      </c>
      <c r="X263" t="inlineStr">
        <is>
          <t>Lab</t>
        </is>
      </c>
      <c r="Y263" t="n">
        <v>6.0</v>
      </c>
      <c r="Z263" t="inlineStr">
        <is>
          <t>Active ingredient</t>
        </is>
      </c>
      <c r="AA263"/>
      <c r="AB263"/>
      <c r="AC263"/>
      <c r="AD263" t="n">
        <v>0.3</v>
      </c>
      <c r="AE263"/>
      <c r="AF263" t="n">
        <v>0.8</v>
      </c>
      <c r="AG263" t="inlineStr">
        <is>
          <t>ug/L</t>
        </is>
      </c>
      <c r="AH263"/>
      <c r="AI263"/>
      <c r="AJ263"/>
      <c r="AK263"/>
      <c r="AL263"/>
      <c r="AM263"/>
      <c r="AN263"/>
      <c r="AO263"/>
      <c r="AP263"/>
      <c r="AQ263"/>
      <c r="AR263"/>
      <c r="AS263"/>
      <c r="AT263"/>
      <c r="AU263"/>
      <c r="AV263"/>
      <c r="AW263"/>
      <c r="AX263" t="inlineStr">
        <is>
          <t>Accumulation</t>
        </is>
      </c>
      <c r="AY263" t="inlineStr">
        <is>
          <t>Residue</t>
        </is>
      </c>
      <c r="AZ263" t="inlineStr">
        <is>
          <t>BCF</t>
        </is>
      </c>
      <c r="BA263" t="inlineStr">
        <is>
          <t>Whole organism</t>
        </is>
      </c>
      <c r="BB263"/>
      <c r="BC263" t="n">
        <v>360.0</v>
      </c>
      <c r="BD263"/>
      <c r="BE263"/>
      <c r="BF263"/>
      <c r="BG263"/>
      <c r="BH263" t="inlineStr">
        <is>
          <t>Day(s)</t>
        </is>
      </c>
      <c r="BI263"/>
      <c r="BJ263"/>
      <c r="BK263" t="inlineStr">
        <is>
          <t>&gt;</t>
        </is>
      </c>
      <c r="BL263" t="n">
        <v>2100.0</v>
      </c>
      <c r="BM263" t="inlineStr">
        <is>
          <t>&lt;</t>
        </is>
      </c>
      <c r="BN263" t="n">
        <v>2200.0</v>
      </c>
      <c r="BO263" t="inlineStr">
        <is>
          <t>L/kg</t>
        </is>
      </c>
      <c r="BP263"/>
      <c r="BQ263"/>
      <c r="BR263"/>
      <c r="BS263"/>
      <c r="BT263"/>
      <c r="BU263"/>
      <c r="BV263"/>
      <c r="BW263"/>
      <c r="BX263"/>
      <c r="BY263"/>
      <c r="BZ263"/>
      <c r="CA263"/>
      <c r="CB263"/>
      <c r="CC263"/>
      <c r="CD263" t="inlineStr">
        <is>
          <t>Gust,K.A., A.N. Kimble, J.E. Mylroie, M.L. Mayo, M.S. Wilbanks, C.S.C. Steward, K.A. Chapman, G.R. Lotufo, N. Garcia-Re</t>
        </is>
      </c>
      <c r="CE263" t="n">
        <v>193995.0</v>
      </c>
      <c r="CF263" t="inlineStr">
        <is>
          <t>Bioconcentration, Maternal Transfer, and Toxicokinetics of PFOS in a Multi-Generational Zebrafish Exposure</t>
        </is>
      </c>
      <c r="CG263" t="inlineStr">
        <is>
          <t>Environ. Toxicol. Chem.44(1): 207-219</t>
        </is>
      </c>
      <c r="CH263" t="n">
        <v>2025.0</v>
      </c>
      <c r="CI263"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64">
      <c r="A264" t="n">
        <v>2795393.0</v>
      </c>
      <c r="B264" t="inlineStr">
        <is>
          <t>1,1,2,2,3,3,4,4,5,5,6,6,7,7,8,8,8-Heptadecafluoro-1-octanesulfonic acid potassium salt</t>
        </is>
      </c>
      <c r="C264"/>
      <c r="D264" t="inlineStr">
        <is>
          <t>Measured</t>
        </is>
      </c>
      <c r="E264" t="inlineStr">
        <is>
          <t>&gt;</t>
        </is>
      </c>
      <c r="F264" t="n">
        <v>98.0</v>
      </c>
      <c r="G264"/>
      <c r="H264"/>
      <c r="I264"/>
      <c r="J264"/>
      <c r="K264" t="inlineStr">
        <is>
          <t>Danio rerio</t>
        </is>
      </c>
      <c r="L264" t="inlineStr">
        <is>
          <t>Zebra Danio</t>
        </is>
      </c>
      <c r="M264" t="inlineStr">
        <is>
          <t>Fish; Standard Test Species</t>
        </is>
      </c>
      <c r="N264" t="inlineStr">
        <is>
          <t>Embryo</t>
        </is>
      </c>
      <c r="O264"/>
      <c r="P264" t="n">
        <v>7.0</v>
      </c>
      <c r="Q264"/>
      <c r="R264"/>
      <c r="S264"/>
      <c r="T264"/>
      <c r="U264" t="inlineStr">
        <is>
          <t>Hours post fertilization</t>
        </is>
      </c>
      <c r="V264" t="inlineStr">
        <is>
          <t>Multiple routes between application groups</t>
        </is>
      </c>
      <c r="W264" t="inlineStr">
        <is>
          <t>Culture</t>
        </is>
      </c>
      <c r="X264" t="inlineStr">
        <is>
          <t>Lab</t>
        </is>
      </c>
      <c r="Y264" t="n">
        <v>6.0</v>
      </c>
      <c r="Z264" t="inlineStr">
        <is>
          <t>Active ingredient</t>
        </is>
      </c>
      <c r="AA264"/>
      <c r="AB264"/>
      <c r="AC264"/>
      <c r="AD264" t="n">
        <v>0.05</v>
      </c>
      <c r="AE264"/>
      <c r="AF264" t="n">
        <v>0.12</v>
      </c>
      <c r="AG264" t="inlineStr">
        <is>
          <t>ug/L</t>
        </is>
      </c>
      <c r="AH264"/>
      <c r="AI264"/>
      <c r="AJ264"/>
      <c r="AK264"/>
      <c r="AL264"/>
      <c r="AM264"/>
      <c r="AN264"/>
      <c r="AO264"/>
      <c r="AP264"/>
      <c r="AQ264"/>
      <c r="AR264"/>
      <c r="AS264"/>
      <c r="AT264"/>
      <c r="AU264"/>
      <c r="AV264"/>
      <c r="AW264"/>
      <c r="AX264" t="inlineStr">
        <is>
          <t>Accumulation</t>
        </is>
      </c>
      <c r="AY264" t="inlineStr">
        <is>
          <t>Residue</t>
        </is>
      </c>
      <c r="AZ264" t="inlineStr">
        <is>
          <t>BCF</t>
        </is>
      </c>
      <c r="BA264" t="inlineStr">
        <is>
          <t>Whole organism</t>
        </is>
      </c>
      <c r="BB264"/>
      <c r="BC264" t="n">
        <v>360.0</v>
      </c>
      <c r="BD264"/>
      <c r="BE264"/>
      <c r="BF264"/>
      <c r="BG264"/>
      <c r="BH264" t="inlineStr">
        <is>
          <t>Day(s)</t>
        </is>
      </c>
      <c r="BI264" t="inlineStr">
        <is>
          <t>~</t>
        </is>
      </c>
      <c r="BJ264" t="n">
        <v>2200.0</v>
      </c>
      <c r="BK264"/>
      <c r="BL264"/>
      <c r="BM264"/>
      <c r="BN264"/>
      <c r="BO264" t="inlineStr">
        <is>
          <t>L/kg</t>
        </is>
      </c>
      <c r="BP264"/>
      <c r="BQ264"/>
      <c r="BR264"/>
      <c r="BS264"/>
      <c r="BT264"/>
      <c r="BU264"/>
      <c r="BV264"/>
      <c r="BW264"/>
      <c r="BX264"/>
      <c r="BY264"/>
      <c r="BZ264"/>
      <c r="CA264"/>
      <c r="CB264"/>
      <c r="CC264"/>
      <c r="CD264" t="inlineStr">
        <is>
          <t>Gust,K.A., A.N. Kimble, J.E. Mylroie, M.L. Mayo, M.S. Wilbanks, C.S.C. Steward, K.A. Chapman, G.R. Lotufo, N. Garcia-Re</t>
        </is>
      </c>
      <c r="CE264" t="n">
        <v>193995.0</v>
      </c>
      <c r="CF264" t="inlineStr">
        <is>
          <t>Bioconcentration, Maternal Transfer, and Toxicokinetics of PFOS in a Multi-Generational Zebrafish Exposure</t>
        </is>
      </c>
      <c r="CG264" t="inlineStr">
        <is>
          <t>Environ. Toxicol. Chem.44(1): 207-219</t>
        </is>
      </c>
      <c r="CH264" t="n">
        <v>2025.0</v>
      </c>
      <c r="CI264"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row>
    <row r="265">
      <c r="A265" t="n">
        <v>2795393.0</v>
      </c>
      <c r="B265" t="inlineStr">
        <is>
          <t>1,1,2,2,3,3,4,4,5,5,6,6,7,7,8,8,8-Heptadecafluoro-1-octanesulfonic acid potassium salt</t>
        </is>
      </c>
      <c r="C265"/>
      <c r="D265" t="inlineStr">
        <is>
          <t>Measured</t>
        </is>
      </c>
      <c r="E265" t="inlineStr">
        <is>
          <t>&gt;=</t>
        </is>
      </c>
      <c r="F265" t="n">
        <v>98.0</v>
      </c>
      <c r="G265"/>
      <c r="H265"/>
      <c r="I265"/>
      <c r="J265"/>
      <c r="K265" t="inlineStr">
        <is>
          <t>Danio rerio</t>
        </is>
      </c>
      <c r="L265" t="inlineStr">
        <is>
          <t>Zebra Danio</t>
        </is>
      </c>
      <c r="M265" t="inlineStr">
        <is>
          <t>Fish; Standard Test Species</t>
        </is>
      </c>
      <c r="N265" t="inlineStr">
        <is>
          <t>Embryo</t>
        </is>
      </c>
      <c r="O265"/>
      <c r="P265" t="n">
        <v>2.0</v>
      </c>
      <c r="Q265"/>
      <c r="R265"/>
      <c r="S265"/>
      <c r="T265"/>
      <c r="U265" t="inlineStr">
        <is>
          <t>Hours post fertilization</t>
        </is>
      </c>
      <c r="V265" t="inlineStr">
        <is>
          <t>Renewal</t>
        </is>
      </c>
      <c r="W265" t="inlineStr">
        <is>
          <t>Fresh water</t>
        </is>
      </c>
      <c r="X265" t="inlineStr">
        <is>
          <t>Lab</t>
        </is>
      </c>
      <c r="Y265" t="n">
        <v>4.0</v>
      </c>
      <c r="Z265" t="inlineStr">
        <is>
          <t>Active ingredient</t>
        </is>
      </c>
      <c r="AA265"/>
      <c r="AB265" t="n">
        <v>0.409811228</v>
      </c>
      <c r="AC265"/>
      <c r="AD265"/>
      <c r="AE265"/>
      <c r="AF265"/>
      <c r="AG265" t="inlineStr">
        <is>
          <t>AI mg/L</t>
        </is>
      </c>
      <c r="AH265"/>
      <c r="AI265"/>
      <c r="AJ265"/>
      <c r="AK265"/>
      <c r="AL265"/>
      <c r="AM265"/>
      <c r="AN265"/>
      <c r="AO265"/>
      <c r="AP265"/>
      <c r="AQ265"/>
      <c r="AR265"/>
      <c r="AS265"/>
      <c r="AT265"/>
      <c r="AU265"/>
      <c r="AV265"/>
      <c r="AW265"/>
      <c r="AX265" t="inlineStr">
        <is>
          <t>Accumulation</t>
        </is>
      </c>
      <c r="AY265" t="inlineStr">
        <is>
          <t>Residue</t>
        </is>
      </c>
      <c r="AZ265" t="inlineStr">
        <is>
          <t>BCFD</t>
        </is>
      </c>
      <c r="BA265" t="inlineStr">
        <is>
          <t>Whole organism</t>
        </is>
      </c>
      <c r="BB265"/>
      <c r="BC265" t="n">
        <v>4.9167</v>
      </c>
      <c r="BD265"/>
      <c r="BE265"/>
      <c r="BF265"/>
      <c r="BG265"/>
      <c r="BH265" t="inlineStr">
        <is>
          <t>Day(s)</t>
        </is>
      </c>
      <c r="BI265"/>
      <c r="BJ265" t="n">
        <v>2600.0</v>
      </c>
      <c r="BK265"/>
      <c r="BL265"/>
      <c r="BM265"/>
      <c r="BN265"/>
      <c r="BO265" t="inlineStr">
        <is>
          <t>L/kg</t>
        </is>
      </c>
      <c r="BP265"/>
      <c r="BQ265"/>
      <c r="BR265"/>
      <c r="BS265"/>
      <c r="BT265"/>
      <c r="BU265"/>
      <c r="BV265"/>
      <c r="BW265"/>
      <c r="BX265"/>
      <c r="BY265"/>
      <c r="BZ265"/>
      <c r="CA265"/>
      <c r="CB265"/>
      <c r="CC265"/>
      <c r="CD265" t="inlineStr">
        <is>
          <t>Vogs,C., G. Johanson, M. Naslund, S. Wulff, M. Sjodin, M. Hellstrandh, J. Lindberg, and E. Wincent</t>
        </is>
      </c>
      <c r="CE265" t="n">
        <v>181482.0</v>
      </c>
      <c r="CF265" t="inlineStr">
        <is>
          <t>Toxicokinetics of Perfluorinated Alkyl Acids Influences Their Toxic Potency in the Zebrafish Embryo (Danio rerio)</t>
        </is>
      </c>
      <c r="CG265" t="inlineStr">
        <is>
          <t>Environ. Sci. Technol.53(7): 3898-3907</t>
        </is>
      </c>
      <c r="CH265" t="n">
        <v>2019.0</v>
      </c>
      <c r="CI265"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266">
      <c r="A266" t="n">
        <v>2795393.0</v>
      </c>
      <c r="B266" t="inlineStr">
        <is>
          <t>1,1,2,2,3,3,4,4,5,5,6,6,7,7,8,8,8-Heptadecafluoro-1-octanesulfonic acid potassium salt</t>
        </is>
      </c>
      <c r="C266"/>
      <c r="D266" t="inlineStr">
        <is>
          <t>Measured</t>
        </is>
      </c>
      <c r="E266" t="inlineStr">
        <is>
          <t>&gt;=</t>
        </is>
      </c>
      <c r="F266" t="n">
        <v>98.0</v>
      </c>
      <c r="G266"/>
      <c r="H266"/>
      <c r="I266"/>
      <c r="J266"/>
      <c r="K266" t="inlineStr">
        <is>
          <t>Danio rerio</t>
        </is>
      </c>
      <c r="L266" t="inlineStr">
        <is>
          <t>Zebra Danio</t>
        </is>
      </c>
      <c r="M266" t="inlineStr">
        <is>
          <t>Fish; Standard Test Species</t>
        </is>
      </c>
      <c r="N266" t="inlineStr">
        <is>
          <t>Embryo</t>
        </is>
      </c>
      <c r="O266"/>
      <c r="P266" t="n">
        <v>2.0</v>
      </c>
      <c r="Q266"/>
      <c r="R266"/>
      <c r="S266"/>
      <c r="T266"/>
      <c r="U266" t="inlineStr">
        <is>
          <t>Hours post fertilization</t>
        </is>
      </c>
      <c r="V266" t="inlineStr">
        <is>
          <t>Renewal</t>
        </is>
      </c>
      <c r="W266" t="inlineStr">
        <is>
          <t>Fresh water</t>
        </is>
      </c>
      <c r="X266" t="inlineStr">
        <is>
          <t>Lab</t>
        </is>
      </c>
      <c r="Y266" t="n">
        <v>4.0</v>
      </c>
      <c r="Z266" t="inlineStr">
        <is>
          <t>Active ingredient</t>
        </is>
      </c>
      <c r="AA266"/>
      <c r="AB266" t="n">
        <v>0.043138024</v>
      </c>
      <c r="AC266"/>
      <c r="AD266"/>
      <c r="AE266"/>
      <c r="AF266"/>
      <c r="AG266" t="inlineStr">
        <is>
          <t>AI mg/L</t>
        </is>
      </c>
      <c r="AH266"/>
      <c r="AI266"/>
      <c r="AJ266"/>
      <c r="AK266"/>
      <c r="AL266"/>
      <c r="AM266"/>
      <c r="AN266"/>
      <c r="AO266"/>
      <c r="AP266"/>
      <c r="AQ266"/>
      <c r="AR266"/>
      <c r="AS266"/>
      <c r="AT266"/>
      <c r="AU266"/>
      <c r="AV266"/>
      <c r="AW266"/>
      <c r="AX266" t="inlineStr">
        <is>
          <t>Accumulation</t>
        </is>
      </c>
      <c r="AY266" t="inlineStr">
        <is>
          <t>Residue</t>
        </is>
      </c>
      <c r="AZ266" t="inlineStr">
        <is>
          <t>BCFD</t>
        </is>
      </c>
      <c r="BA266" t="inlineStr">
        <is>
          <t>Whole organism</t>
        </is>
      </c>
      <c r="BB266"/>
      <c r="BC266" t="n">
        <v>4.9167</v>
      </c>
      <c r="BD266"/>
      <c r="BE266"/>
      <c r="BF266"/>
      <c r="BG266"/>
      <c r="BH266" t="inlineStr">
        <is>
          <t>Day(s)</t>
        </is>
      </c>
      <c r="BI266"/>
      <c r="BJ266" t="n">
        <v>3900.0</v>
      </c>
      <c r="BK266"/>
      <c r="BL266"/>
      <c r="BM266"/>
      <c r="BN266"/>
      <c r="BO266" t="inlineStr">
        <is>
          <t>L/kg</t>
        </is>
      </c>
      <c r="BP266"/>
      <c r="BQ266"/>
      <c r="BR266"/>
      <c r="BS266"/>
      <c r="BT266"/>
      <c r="BU266"/>
      <c r="BV266"/>
      <c r="BW266"/>
      <c r="BX266"/>
      <c r="BY266"/>
      <c r="BZ266"/>
      <c r="CA266"/>
      <c r="CB266"/>
      <c r="CC266"/>
      <c r="CD266" t="inlineStr">
        <is>
          <t>Vogs,C., G. Johanson, M. Naslund, S. Wulff, M. Sjodin, M. Hellstrandh, J. Lindberg, and E. Wincent</t>
        </is>
      </c>
      <c r="CE266" t="n">
        <v>181482.0</v>
      </c>
      <c r="CF266" t="inlineStr">
        <is>
          <t>Toxicokinetics of Perfluorinated Alkyl Acids Influences Their Toxic Potency in the Zebrafish Embryo (Danio rerio)</t>
        </is>
      </c>
      <c r="CG266" t="inlineStr">
        <is>
          <t>Environ. Sci. Technol.53(7): 3898-3907</t>
        </is>
      </c>
      <c r="CH266" t="n">
        <v>2019.0</v>
      </c>
      <c r="CI266"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267">
      <c r="A267" t="n">
        <v>2795393.0</v>
      </c>
      <c r="B267" t="inlineStr">
        <is>
          <t>1,1,2,2,3,3,4,4,5,5,6,6,7,7,8,8,8-Heptadecafluoro-1-octanesulfonic acid potassium salt</t>
        </is>
      </c>
      <c r="C267"/>
      <c r="D267" t="inlineStr">
        <is>
          <t>Measured</t>
        </is>
      </c>
      <c r="E267" t="inlineStr">
        <is>
          <t>&gt;=</t>
        </is>
      </c>
      <c r="F267" t="n">
        <v>98.0</v>
      </c>
      <c r="G267"/>
      <c r="H267"/>
      <c r="I267"/>
      <c r="J267"/>
      <c r="K267" t="inlineStr">
        <is>
          <t>Danio rerio</t>
        </is>
      </c>
      <c r="L267" t="inlineStr">
        <is>
          <t>Zebra Danio</t>
        </is>
      </c>
      <c r="M267" t="inlineStr">
        <is>
          <t>Fish; Standard Test Species</t>
        </is>
      </c>
      <c r="N267" t="inlineStr">
        <is>
          <t>Embryo</t>
        </is>
      </c>
      <c r="O267"/>
      <c r="P267" t="n">
        <v>2.0</v>
      </c>
      <c r="Q267"/>
      <c r="R267"/>
      <c r="S267"/>
      <c r="T267"/>
      <c r="U267" t="inlineStr">
        <is>
          <t>Hours post fertilization</t>
        </is>
      </c>
      <c r="V267" t="inlineStr">
        <is>
          <t>Renewal</t>
        </is>
      </c>
      <c r="W267" t="inlineStr">
        <is>
          <t>Fresh water</t>
        </is>
      </c>
      <c r="X267" t="inlineStr">
        <is>
          <t>Lab</t>
        </is>
      </c>
      <c r="Y267" t="n">
        <v>4.0</v>
      </c>
      <c r="Z267" t="inlineStr">
        <is>
          <t>Active ingredient</t>
        </is>
      </c>
      <c r="AA267"/>
      <c r="AB267" t="n">
        <v>0.021569012</v>
      </c>
      <c r="AC267"/>
      <c r="AD267"/>
      <c r="AE267"/>
      <c r="AF267"/>
      <c r="AG267" t="inlineStr">
        <is>
          <t>AI mg/L</t>
        </is>
      </c>
      <c r="AH267"/>
      <c r="AI267"/>
      <c r="AJ267"/>
      <c r="AK267"/>
      <c r="AL267"/>
      <c r="AM267"/>
      <c r="AN267"/>
      <c r="AO267"/>
      <c r="AP267"/>
      <c r="AQ267"/>
      <c r="AR267"/>
      <c r="AS267"/>
      <c r="AT267"/>
      <c r="AU267"/>
      <c r="AV267"/>
      <c r="AW267"/>
      <c r="AX267" t="inlineStr">
        <is>
          <t>Accumulation</t>
        </is>
      </c>
      <c r="AY267" t="inlineStr">
        <is>
          <t>Residue</t>
        </is>
      </c>
      <c r="AZ267" t="inlineStr">
        <is>
          <t>BCFD</t>
        </is>
      </c>
      <c r="BA267" t="inlineStr">
        <is>
          <t>Whole organism</t>
        </is>
      </c>
      <c r="BB267"/>
      <c r="BC267" t="n">
        <v>4.9167</v>
      </c>
      <c r="BD267"/>
      <c r="BE267"/>
      <c r="BF267"/>
      <c r="BG267"/>
      <c r="BH267" t="inlineStr">
        <is>
          <t>Day(s)</t>
        </is>
      </c>
      <c r="BI267"/>
      <c r="BJ267" t="n">
        <v>5400.0</v>
      </c>
      <c r="BK267"/>
      <c r="BL267"/>
      <c r="BM267"/>
      <c r="BN267"/>
      <c r="BO267" t="inlineStr">
        <is>
          <t>L/kg</t>
        </is>
      </c>
      <c r="BP267"/>
      <c r="BQ267"/>
      <c r="BR267"/>
      <c r="BS267"/>
      <c r="BT267"/>
      <c r="BU267"/>
      <c r="BV267"/>
      <c r="BW267"/>
      <c r="BX267"/>
      <c r="BY267"/>
      <c r="BZ267"/>
      <c r="CA267"/>
      <c r="CB267"/>
      <c r="CC267"/>
      <c r="CD267" t="inlineStr">
        <is>
          <t>Vogs,C., G. Johanson, M. Naslund, S. Wulff, M. Sjodin, M. Hellstrandh, J. Lindberg, and E. Wincent</t>
        </is>
      </c>
      <c r="CE267" t="n">
        <v>181482.0</v>
      </c>
      <c r="CF267" t="inlineStr">
        <is>
          <t>Toxicokinetics of Perfluorinated Alkyl Acids Influences Their Toxic Potency in the Zebrafish Embryo (Danio rerio)</t>
        </is>
      </c>
      <c r="CG267" t="inlineStr">
        <is>
          <t>Environ. Sci. Technol.53(7): 3898-3907</t>
        </is>
      </c>
      <c r="CH267" t="n">
        <v>2019.0</v>
      </c>
      <c r="CI267"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268">
      <c r="A268" t="n">
        <v>2795393.0</v>
      </c>
      <c r="B268" t="inlineStr">
        <is>
          <t>1,1,2,2,3,3,4,4,5,5,6,6,7,7,8,8,8-Heptadecafluoro-1-octanesulfonic acid potassium salt</t>
        </is>
      </c>
      <c r="C268"/>
      <c r="D268" t="inlineStr">
        <is>
          <t>Unmeasured</t>
        </is>
      </c>
      <c r="E268"/>
      <c r="F268" t="n">
        <v>98.0</v>
      </c>
      <c r="G268"/>
      <c r="H268"/>
      <c r="I268"/>
      <c r="J268"/>
      <c r="K268" t="inlineStr">
        <is>
          <t>Oryzias latipes</t>
        </is>
      </c>
      <c r="L268" t="inlineStr">
        <is>
          <t>Japanese Medaka</t>
        </is>
      </c>
      <c r="M268" t="inlineStr">
        <is>
          <t>Fish; Standard Test Species</t>
        </is>
      </c>
      <c r="N268"/>
      <c r="O268"/>
      <c r="P268" t="n">
        <v>3.0</v>
      </c>
      <c r="Q268"/>
      <c r="R268"/>
      <c r="S268"/>
      <c r="T268"/>
      <c r="U268" t="inlineStr">
        <is>
          <t>Generation</t>
        </is>
      </c>
      <c r="V268" t="inlineStr">
        <is>
          <t>Static</t>
        </is>
      </c>
      <c r="W268" t="inlineStr">
        <is>
          <t>Salt water</t>
        </is>
      </c>
      <c r="X268" t="inlineStr">
        <is>
          <t>Lab</t>
        </is>
      </c>
      <c r="Y268" t="n">
        <v>3.0</v>
      </c>
      <c r="Z268" t="inlineStr">
        <is>
          <t>Active ingredient</t>
        </is>
      </c>
      <c r="AA268"/>
      <c r="AB268" t="n">
        <v>1.0</v>
      </c>
      <c r="AC268"/>
      <c r="AD268"/>
      <c r="AE268"/>
      <c r="AF268"/>
      <c r="AG268" t="inlineStr">
        <is>
          <t>AI mg/L</t>
        </is>
      </c>
      <c r="AH268"/>
      <c r="AI268"/>
      <c r="AJ268"/>
      <c r="AK268"/>
      <c r="AL268"/>
      <c r="AM268"/>
      <c r="AN268"/>
      <c r="AO268"/>
      <c r="AP268"/>
      <c r="AQ268"/>
      <c r="AR268"/>
      <c r="AS268"/>
      <c r="AT268"/>
      <c r="AU268"/>
      <c r="AV268"/>
      <c r="AW268"/>
      <c r="AX268" t="inlineStr">
        <is>
          <t>Accumulation</t>
        </is>
      </c>
      <c r="AY268" t="inlineStr">
        <is>
          <t>Uptake</t>
        </is>
      </c>
      <c r="AZ268" t="inlineStr">
        <is>
          <t>LOEC</t>
        </is>
      </c>
      <c r="BA268" t="inlineStr">
        <is>
          <t>Liver</t>
        </is>
      </c>
      <c r="BB268"/>
      <c r="BC268" t="n">
        <v>30.0</v>
      </c>
      <c r="BD268"/>
      <c r="BE268"/>
      <c r="BF268"/>
      <c r="BG268"/>
      <c r="BH268" t="inlineStr">
        <is>
          <t>Day(s)</t>
        </is>
      </c>
      <c r="BI268"/>
      <c r="BJ268"/>
      <c r="BK268"/>
      <c r="BL268"/>
      <c r="BM268"/>
      <c r="BN268"/>
      <c r="BO268" t="inlineStr">
        <is>
          <t>--</t>
        </is>
      </c>
      <c r="BP268"/>
      <c r="BQ268"/>
      <c r="BR268"/>
      <c r="BS268"/>
      <c r="BT268"/>
      <c r="BU268"/>
      <c r="BV268"/>
      <c r="BW268"/>
      <c r="BX268"/>
      <c r="BY268"/>
      <c r="BZ268"/>
      <c r="CA268"/>
      <c r="CB268"/>
      <c r="CC268"/>
      <c r="CD268" t="inlineStr">
        <is>
          <t>Oh,J.H., H.B. Moon, and E.S. Choe</t>
        </is>
      </c>
      <c r="CE268" t="n">
        <v>175222.0</v>
      </c>
      <c r="CF268" t="inlineStr">
        <is>
          <t>Alterations in Differentially Expressed Genes After Repeated Exposure to Perfluorooctanoate and Perfluorooctanesulfonate in Liver of Oryzias latipes</t>
        </is>
      </c>
      <c r="CG268" t="inlineStr">
        <is>
          <t>Arch. Environ. Contam. Toxicol.64(3): 475-483</t>
        </is>
      </c>
      <c r="CH268" t="n">
        <v>2013.0</v>
      </c>
      <c r="CI268" t="inlineStr">
        <is>
          <t>Oh,J.H., H.B. Moon, and E.S. Choe (2013). Alterations in Differentially Expressed Genes After Repeated Exposure to Perfluorooctanoate and Perfluorooctanesulfonate in Liver of Oryzias latipes. Arch. Environ. Contam. Toxicol., 64, (3), 475-483. doi:10.1007/s00244-012-9840-x. ECOREF#:175222</t>
        </is>
      </c>
    </row>
    <row r="269">
      <c r="A269" t="n">
        <v>2795393.0</v>
      </c>
      <c r="B269" t="inlineStr">
        <is>
          <t>1,1,2,2,3,3,4,4,5,5,6,6,7,7,8,8,8-Heptadecafluoro-1-octanesulfonic acid potassium salt</t>
        </is>
      </c>
      <c r="C269"/>
      <c r="D269" t="inlineStr">
        <is>
          <t>Unmeasured</t>
        </is>
      </c>
      <c r="E269"/>
      <c r="F269" t="n">
        <v>98.0</v>
      </c>
      <c r="G269"/>
      <c r="H269"/>
      <c r="I269"/>
      <c r="J269"/>
      <c r="K269" t="inlineStr">
        <is>
          <t>Oryzias latipes</t>
        </is>
      </c>
      <c r="L269" t="inlineStr">
        <is>
          <t>Japanese Medaka</t>
        </is>
      </c>
      <c r="M269" t="inlineStr">
        <is>
          <t>Fish; Standard Test Species</t>
        </is>
      </c>
      <c r="N269"/>
      <c r="O269"/>
      <c r="P269" t="n">
        <v>3.0</v>
      </c>
      <c r="Q269"/>
      <c r="R269"/>
      <c r="S269"/>
      <c r="T269"/>
      <c r="U269" t="inlineStr">
        <is>
          <t>Generation</t>
        </is>
      </c>
      <c r="V269" t="inlineStr">
        <is>
          <t>Static</t>
        </is>
      </c>
      <c r="W269" t="inlineStr">
        <is>
          <t>Salt water</t>
        </is>
      </c>
      <c r="X269" t="inlineStr">
        <is>
          <t>Lab</t>
        </is>
      </c>
      <c r="Y269" t="n">
        <v>3.0</v>
      </c>
      <c r="Z269" t="inlineStr">
        <is>
          <t>Active ingredient</t>
        </is>
      </c>
      <c r="AA269"/>
      <c r="AB269" t="n">
        <v>1.0</v>
      </c>
      <c r="AC269"/>
      <c r="AD269"/>
      <c r="AE269"/>
      <c r="AF269"/>
      <c r="AG269" t="inlineStr">
        <is>
          <t>AI mg/L</t>
        </is>
      </c>
      <c r="AH269"/>
      <c r="AI269"/>
      <c r="AJ269"/>
      <c r="AK269"/>
      <c r="AL269"/>
      <c r="AM269"/>
      <c r="AN269"/>
      <c r="AO269"/>
      <c r="AP269"/>
      <c r="AQ269"/>
      <c r="AR269"/>
      <c r="AS269"/>
      <c r="AT269"/>
      <c r="AU269"/>
      <c r="AV269"/>
      <c r="AW269"/>
      <c r="AX269" t="inlineStr">
        <is>
          <t>Accumulation</t>
        </is>
      </c>
      <c r="AY269" t="inlineStr">
        <is>
          <t>Uptake</t>
        </is>
      </c>
      <c r="AZ269" t="inlineStr">
        <is>
          <t>LOEC</t>
        </is>
      </c>
      <c r="BA269" t="inlineStr">
        <is>
          <t>Liver</t>
        </is>
      </c>
      <c r="BB269"/>
      <c r="BC269" t="n">
        <v>15.0</v>
      </c>
      <c r="BD269"/>
      <c r="BE269"/>
      <c r="BF269"/>
      <c r="BG269"/>
      <c r="BH269" t="inlineStr">
        <is>
          <t>Day(s)</t>
        </is>
      </c>
      <c r="BI269"/>
      <c r="BJ269"/>
      <c r="BK269"/>
      <c r="BL269"/>
      <c r="BM269"/>
      <c r="BN269"/>
      <c r="BO269" t="inlineStr">
        <is>
          <t>--</t>
        </is>
      </c>
      <c r="BP269"/>
      <c r="BQ269"/>
      <c r="BR269"/>
      <c r="BS269"/>
      <c r="BT269"/>
      <c r="BU269"/>
      <c r="BV269"/>
      <c r="BW269"/>
      <c r="BX269"/>
      <c r="BY269"/>
      <c r="BZ269"/>
      <c r="CA269"/>
      <c r="CB269"/>
      <c r="CC269"/>
      <c r="CD269" t="inlineStr">
        <is>
          <t>Oh,J.H., H.B. Moon, and E.S. Choe</t>
        </is>
      </c>
      <c r="CE269" t="n">
        <v>175222.0</v>
      </c>
      <c r="CF269" t="inlineStr">
        <is>
          <t>Alterations in Differentially Expressed Genes After Repeated Exposure to Perfluorooctanoate and Perfluorooctanesulfonate in Liver of Oryzias latipes</t>
        </is>
      </c>
      <c r="CG269" t="inlineStr">
        <is>
          <t>Arch. Environ. Contam. Toxicol.64(3): 475-483</t>
        </is>
      </c>
      <c r="CH269" t="n">
        <v>2013.0</v>
      </c>
      <c r="CI269" t="inlineStr">
        <is>
          <t>Oh,J.H., H.B. Moon, and E.S. Choe (2013). Alterations in Differentially Expressed Genes After Repeated Exposure to Perfluorooctanoate and Perfluorooctanesulfonate in Liver of Oryzias latipes. Arch. Environ. Contam. Toxicol., 64, (3), 475-483. doi:10.1007/s00244-012-9840-x. ECOREF#:175222</t>
        </is>
      </c>
    </row>
    <row r="270">
      <c r="A270" t="n">
        <v>2795393.0</v>
      </c>
      <c r="B270" t="inlineStr">
        <is>
          <t>1,1,2,2,3,3,4,4,5,5,6,6,7,7,8,8,8-Heptadecafluoro-1-octanesulfonic acid potassium salt</t>
        </is>
      </c>
      <c r="C270"/>
      <c r="D270" t="inlineStr">
        <is>
          <t>Unmeasured</t>
        </is>
      </c>
      <c r="E270" t="inlineStr">
        <is>
          <t>&gt;=</t>
        </is>
      </c>
      <c r="F270" t="n">
        <v>98.0</v>
      </c>
      <c r="G270"/>
      <c r="H270"/>
      <c r="I270"/>
      <c r="J270"/>
      <c r="K270" t="inlineStr">
        <is>
          <t>Dicentrarchus labrax</t>
        </is>
      </c>
      <c r="L270" t="inlineStr">
        <is>
          <t>Sea Bass</t>
        </is>
      </c>
      <c r="M270" t="inlineStr">
        <is>
          <t>Fish; Standard Test Species</t>
        </is>
      </c>
      <c r="N270" t="inlineStr">
        <is>
          <t>Juvenile</t>
        </is>
      </c>
      <c r="O270"/>
      <c r="P270"/>
      <c r="Q270"/>
      <c r="R270"/>
      <c r="S270"/>
      <c r="T270"/>
      <c r="U270"/>
      <c r="V270" t="inlineStr">
        <is>
          <t>Food</t>
        </is>
      </c>
      <c r="W270" t="inlineStr">
        <is>
          <t>Salt water</t>
        </is>
      </c>
      <c r="X270" t="inlineStr">
        <is>
          <t>Lab</t>
        </is>
      </c>
      <c r="Y270" t="n">
        <v>2.0</v>
      </c>
      <c r="Z270" t="inlineStr">
        <is>
          <t>Active ingredient</t>
        </is>
      </c>
      <c r="AA270"/>
      <c r="AB270" t="n">
        <v>0.00483</v>
      </c>
      <c r="AC270"/>
      <c r="AD270"/>
      <c r="AE270"/>
      <c r="AF270"/>
      <c r="AG270" t="inlineStr">
        <is>
          <t>AI mg/kg food</t>
        </is>
      </c>
      <c r="AH270"/>
      <c r="AI270"/>
      <c r="AJ270"/>
      <c r="AK270"/>
      <c r="AL270"/>
      <c r="AM270"/>
      <c r="AN270"/>
      <c r="AO270"/>
      <c r="AP270"/>
      <c r="AQ270"/>
      <c r="AR270"/>
      <c r="AS270"/>
      <c r="AT270"/>
      <c r="AU270"/>
      <c r="AV270"/>
      <c r="AW270"/>
      <c r="AX270" t="inlineStr">
        <is>
          <t>Accumulation</t>
        </is>
      </c>
      <c r="AY270" t="inlineStr">
        <is>
          <t>Residue</t>
        </is>
      </c>
      <c r="AZ270" t="inlineStr">
        <is>
          <t>LOEC</t>
        </is>
      </c>
      <c r="BA270" t="inlineStr">
        <is>
          <t>Liver</t>
        </is>
      </c>
      <c r="BB270"/>
      <c r="BC270" t="n">
        <v>21.0</v>
      </c>
      <c r="BD270"/>
      <c r="BE270"/>
      <c r="BF270"/>
      <c r="BG270"/>
      <c r="BH270" t="inlineStr">
        <is>
          <t>Day(s)</t>
        </is>
      </c>
      <c r="BI270"/>
      <c r="BJ270"/>
      <c r="BK270"/>
      <c r="BL270"/>
      <c r="BM270"/>
      <c r="BN270"/>
      <c r="BO270" t="inlineStr">
        <is>
          <t>--</t>
        </is>
      </c>
      <c r="BP270"/>
      <c r="BQ270"/>
      <c r="BR270"/>
      <c r="BS270"/>
      <c r="BT270"/>
      <c r="BU270"/>
      <c r="BV270"/>
      <c r="BW270"/>
      <c r="BX270"/>
      <c r="BY270"/>
      <c r="BZ270"/>
      <c r="CA270"/>
      <c r="CB270"/>
      <c r="CC270"/>
      <c r="CD270" t="inlineStr">
        <is>
          <t>Espinosa-Ruiz,C., C. Gonzalez-Fernandez, B. Cormier, S.H. Keiter, L.R. Vieira, L. Guilhermino, C. Clerandeau, J. Cachot</t>
        </is>
      </c>
      <c r="CE270" t="n">
        <v>191228.0</v>
      </c>
      <c r="CF270" t="inlineStr">
        <is>
          <t>Immunotoxicological Effects of Perfluorooctanesulfonic Acid on European Seabass are Reduced by Polyethylene Microplastics</t>
        </is>
      </c>
      <c r="CG270" t="inlineStr">
        <is>
          <t>Fish Shellfish Immunol.137:10 p.</t>
        </is>
      </c>
      <c r="CH270" t="n">
        <v>2023.0</v>
      </c>
      <c r="CI270" t="inlineStr">
        <is>
          <t>Espinosa-Ruiz,C., C. Gonzalez-Fernandez, B. Cormier, S.H. Keiter, L.R. Vieira, L. Guilhermino, C. Clerandeau, J. Cachot (2023). Immunotoxicological Effects of Perfluorooctanesulfonic Acid on European Seabass are Reduced by Polyethylene Microplastics. Fish Shellfish Immunol., 137, 10 p. doi:10.1016/j.fsi.2023.108793. ECOREF#:191228</t>
        </is>
      </c>
    </row>
    <row r="271">
      <c r="A271" t="n">
        <v>2795393.0</v>
      </c>
      <c r="B271" t="inlineStr">
        <is>
          <t>1,1,2,2,3,3,4,4,5,5,6,6,7,7,8,8,8-Heptadecafluoro-1-octanesulfonic acid potassium salt</t>
        </is>
      </c>
      <c r="C271"/>
      <c r="D271" t="inlineStr">
        <is>
          <t>Measured</t>
        </is>
      </c>
      <c r="E271" t="inlineStr">
        <is>
          <t>&gt;=</t>
        </is>
      </c>
      <c r="F271" t="n">
        <v>98.0</v>
      </c>
      <c r="G271"/>
      <c r="H271"/>
      <c r="I271"/>
      <c r="J271"/>
      <c r="K271" t="inlineStr">
        <is>
          <t>Pimephales promelas</t>
        </is>
      </c>
      <c r="L271" t="inlineStr">
        <is>
          <t>Fathead Minnow</t>
        </is>
      </c>
      <c r="M271" t="inlineStr">
        <is>
          <t>Fish; Standard Test Species</t>
        </is>
      </c>
      <c r="N271" t="inlineStr">
        <is>
          <t>Sexually mature</t>
        </is>
      </c>
      <c r="O271"/>
      <c r="P271" t="n">
        <v>5.0</v>
      </c>
      <c r="Q271"/>
      <c r="R271"/>
      <c r="S271"/>
      <c r="T271"/>
      <c r="U271" t="inlineStr">
        <is>
          <t>Month(s)</t>
        </is>
      </c>
      <c r="V271" t="inlineStr">
        <is>
          <t>Renewal</t>
        </is>
      </c>
      <c r="W271" t="inlineStr">
        <is>
          <t>Fresh water</t>
        </is>
      </c>
      <c r="X271" t="inlineStr">
        <is>
          <t>Lab</t>
        </is>
      </c>
      <c r="Y271" t="n">
        <v>5.0</v>
      </c>
      <c r="Z271" t="inlineStr">
        <is>
          <t>Active ingredient</t>
        </is>
      </c>
      <c r="AA271"/>
      <c r="AB271" t="n">
        <v>0.14</v>
      </c>
      <c r="AC271"/>
      <c r="AD271"/>
      <c r="AE271"/>
      <c r="AF271"/>
      <c r="AG271" t="inlineStr">
        <is>
          <t>AI mg/L</t>
        </is>
      </c>
      <c r="AH271"/>
      <c r="AI271"/>
      <c r="AJ271"/>
      <c r="AK271"/>
      <c r="AL271"/>
      <c r="AM271"/>
      <c r="AN271"/>
      <c r="AO271"/>
      <c r="AP271"/>
      <c r="AQ271"/>
      <c r="AR271"/>
      <c r="AS271"/>
      <c r="AT271"/>
      <c r="AU271"/>
      <c r="AV271"/>
      <c r="AW271"/>
      <c r="AX271" t="inlineStr">
        <is>
          <t>Accumulation</t>
        </is>
      </c>
      <c r="AY271" t="inlineStr">
        <is>
          <t>Residue</t>
        </is>
      </c>
      <c r="AZ271" t="inlineStr">
        <is>
          <t>LOEC</t>
        </is>
      </c>
      <c r="BA271" t="inlineStr">
        <is>
          <t>Gonad(s)</t>
        </is>
      </c>
      <c r="BB271"/>
      <c r="BC271" t="n">
        <v>42.0</v>
      </c>
      <c r="BD271"/>
      <c r="BE271"/>
      <c r="BF271"/>
      <c r="BG271"/>
      <c r="BH271" t="inlineStr">
        <is>
          <t>Day(s)</t>
        </is>
      </c>
      <c r="BI271"/>
      <c r="BJ271"/>
      <c r="BK271"/>
      <c r="BL271"/>
      <c r="BM271"/>
      <c r="BN271"/>
      <c r="BO271" t="inlineStr">
        <is>
          <t>--</t>
        </is>
      </c>
      <c r="BP271"/>
      <c r="BQ271"/>
      <c r="BR271"/>
      <c r="BS271"/>
      <c r="BT271"/>
      <c r="BU271"/>
      <c r="BV271"/>
      <c r="BW271"/>
      <c r="BX271"/>
      <c r="BY271"/>
      <c r="BZ271"/>
      <c r="CA271"/>
      <c r="CB271"/>
      <c r="CC271"/>
      <c r="CD271" t="inlineStr">
        <is>
          <t>Suski,J.G., C.J. Salice, M.K. Chanov, J. Ayers, J. Rewerts, and J. Field</t>
        </is>
      </c>
      <c r="CE271" t="n">
        <v>185548.0</v>
      </c>
      <c r="CF271" t="inlineStr">
        <is>
          <t>Sensitivity and Accumulation of Perfluorooctanesulfonate and Perfluorohexanesulfonic Acid in Fathead Minnows (Pimephales promelas) Exposed over Critical Life Stages of Reproduction and Development</t>
        </is>
      </c>
      <c r="CG271" t="inlineStr">
        <is>
          <t>Environ. Toxicol. Chem.40(3): 811-819</t>
        </is>
      </c>
      <c r="CH271" t="n">
        <v>2021.0</v>
      </c>
      <c r="CI271"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272">
      <c r="A272" t="n">
        <v>2795393.0</v>
      </c>
      <c r="B272" t="inlineStr">
        <is>
          <t>1,1,2,2,3,3,4,4,5,5,6,6,7,7,8,8,8-Heptadecafluoro-1-octanesulfonic acid potassium salt</t>
        </is>
      </c>
      <c r="C272"/>
      <c r="D272" t="inlineStr">
        <is>
          <t>Unmeasured</t>
        </is>
      </c>
      <c r="E272" t="inlineStr">
        <is>
          <t>&gt;=</t>
        </is>
      </c>
      <c r="F272" t="n">
        <v>98.0</v>
      </c>
      <c r="G272"/>
      <c r="H272"/>
      <c r="I272"/>
      <c r="J272"/>
      <c r="K272" t="inlineStr">
        <is>
          <t>Danio rerio</t>
        </is>
      </c>
      <c r="L272" t="inlineStr">
        <is>
          <t>Zebra Danio</t>
        </is>
      </c>
      <c r="M272" t="inlineStr">
        <is>
          <t>Fish; Standard Test Species</t>
        </is>
      </c>
      <c r="N272" t="inlineStr">
        <is>
          <t>Adult</t>
        </is>
      </c>
      <c r="O272"/>
      <c r="P272"/>
      <c r="Q272"/>
      <c r="R272"/>
      <c r="S272"/>
      <c r="T272"/>
      <c r="U272"/>
      <c r="V272" t="inlineStr">
        <is>
          <t>Renewal</t>
        </is>
      </c>
      <c r="W272" t="inlineStr">
        <is>
          <t>Fresh water</t>
        </is>
      </c>
      <c r="X272" t="inlineStr">
        <is>
          <t>Lab</t>
        </is>
      </c>
      <c r="Y272" t="n">
        <v>4.0</v>
      </c>
      <c r="Z272" t="inlineStr">
        <is>
          <t>Active ingredient</t>
        </is>
      </c>
      <c r="AA272"/>
      <c r="AB272" t="n">
        <v>0.02</v>
      </c>
      <c r="AC272"/>
      <c r="AD272"/>
      <c r="AE272"/>
      <c r="AF272"/>
      <c r="AG272" t="inlineStr">
        <is>
          <t>AI mg/L</t>
        </is>
      </c>
      <c r="AH272"/>
      <c r="AI272"/>
      <c r="AJ272"/>
      <c r="AK272"/>
      <c r="AL272"/>
      <c r="AM272"/>
      <c r="AN272"/>
      <c r="AO272"/>
      <c r="AP272"/>
      <c r="AQ272"/>
      <c r="AR272"/>
      <c r="AS272"/>
      <c r="AT272"/>
      <c r="AU272"/>
      <c r="AV272"/>
      <c r="AW272"/>
      <c r="AX272" t="inlineStr">
        <is>
          <t>Accumulation</t>
        </is>
      </c>
      <c r="AY272" t="inlineStr">
        <is>
          <t>Residue</t>
        </is>
      </c>
      <c r="AZ272" t="inlineStr">
        <is>
          <t>LOEC</t>
        </is>
      </c>
      <c r="BA272" t="inlineStr">
        <is>
          <t>Whole organism</t>
        </is>
      </c>
      <c r="BB272"/>
      <c r="BC272" t="n">
        <v>0.125</v>
      </c>
      <c r="BD272"/>
      <c r="BE272"/>
      <c r="BF272"/>
      <c r="BG272"/>
      <c r="BH272" t="inlineStr">
        <is>
          <t>Day(s) post-fertilization</t>
        </is>
      </c>
      <c r="BI272"/>
      <c r="BJ272"/>
      <c r="BK272"/>
      <c r="BL272"/>
      <c r="BM272"/>
      <c r="BN272"/>
      <c r="BO272" t="inlineStr">
        <is>
          <t>--</t>
        </is>
      </c>
      <c r="BP272"/>
      <c r="BQ272"/>
      <c r="BR272"/>
      <c r="BS272"/>
      <c r="BT272"/>
      <c r="BU272"/>
      <c r="BV272"/>
      <c r="BW272"/>
      <c r="BX272"/>
      <c r="BY272"/>
      <c r="BZ272"/>
      <c r="CA272"/>
      <c r="CB272"/>
      <c r="CC272"/>
      <c r="CD272" t="inlineStr">
        <is>
          <t xml:space="preserve">Marin,M., K.M. Annunziato, M.C. Tompach, W. Liang, S.M. Zahn, S. Li, J. Doherty, J. Lee, J.M. Clark, Y. Park, and A.R. </t>
        </is>
      </c>
      <c r="CE272" t="n">
        <v>193712.0</v>
      </c>
      <c r="CF272" t="inlineStr">
        <is>
          <t>Maternal PFOS Exposure Affects Offspring Development in Nrf2-Dependent and Independent Ways in Zebrafish (Danio rerio)</t>
        </is>
      </c>
      <c r="CG272" t="inlineStr">
        <is>
          <t>Aquat. Toxicol.271:10 p.</t>
        </is>
      </c>
      <c r="CH272" t="n">
        <v>2024.0</v>
      </c>
      <c r="CI272" t="inlineStr">
        <is>
          <t>Marin,M., K.M. Annunziato, M.C. Tompach, W. Liang, S.M. Zahn, S. Li, J. Doherty, J. Lee, J.M. Clark, Y. Park, and A.R.  (2024). Maternal PFOS Exposure Affects Offspring Development in Nrf2-Dependent and Independent Ways in Zebrafish (Danio rerio). Aquat. Toxicol., 271, 10 p. doi:10.1016/j.aquatox.2024.106923. ECOREF#:193712</t>
        </is>
      </c>
    </row>
    <row r="273">
      <c r="A273" t="n">
        <v>2795393.0</v>
      </c>
      <c r="B273" t="inlineStr">
        <is>
          <t>1,1,2,2,3,3,4,4,5,5,6,6,7,7,8,8,8-Heptadecafluoro-1-octanesulfonic acid potassium salt</t>
        </is>
      </c>
      <c r="C273"/>
      <c r="D273" t="inlineStr">
        <is>
          <t>Measured</t>
        </is>
      </c>
      <c r="E273"/>
      <c r="F273" t="n">
        <v>98.0</v>
      </c>
      <c r="G273"/>
      <c r="H273"/>
      <c r="I273"/>
      <c r="J273"/>
      <c r="K273" t="inlineStr">
        <is>
          <t>Danio rerio</t>
        </is>
      </c>
      <c r="L273" t="inlineStr">
        <is>
          <t>Zebra Danio</t>
        </is>
      </c>
      <c r="M273" t="inlineStr">
        <is>
          <t>Fish; Standard Test Species</t>
        </is>
      </c>
      <c r="N273"/>
      <c r="O273"/>
      <c r="P273"/>
      <c r="Q273"/>
      <c r="R273"/>
      <c r="S273"/>
      <c r="T273"/>
      <c r="U273"/>
      <c r="V273" t="inlineStr">
        <is>
          <t>Renewal</t>
        </is>
      </c>
      <c r="W273" t="inlineStr">
        <is>
          <t>Fresh water</t>
        </is>
      </c>
      <c r="X273" t="inlineStr">
        <is>
          <t>Lab</t>
        </is>
      </c>
      <c r="Y273" t="n">
        <v>2.0</v>
      </c>
      <c r="Z273" t="inlineStr">
        <is>
          <t>Active ingredient</t>
        </is>
      </c>
      <c r="AA273"/>
      <c r="AB273"/>
      <c r="AC273"/>
      <c r="AD273" t="n">
        <v>3.0E-4</v>
      </c>
      <c r="AE273"/>
      <c r="AF273" t="n">
        <v>4.0E-4</v>
      </c>
      <c r="AG273" t="inlineStr">
        <is>
          <t>AI mg/L</t>
        </is>
      </c>
      <c r="AH273"/>
      <c r="AI273"/>
      <c r="AJ273"/>
      <c r="AK273"/>
      <c r="AL273"/>
      <c r="AM273"/>
      <c r="AN273"/>
      <c r="AO273"/>
      <c r="AP273"/>
      <c r="AQ273"/>
      <c r="AR273"/>
      <c r="AS273"/>
      <c r="AT273"/>
      <c r="AU273"/>
      <c r="AV273"/>
      <c r="AW273"/>
      <c r="AX273" t="inlineStr">
        <is>
          <t>Accumulation</t>
        </is>
      </c>
      <c r="AY273" t="inlineStr">
        <is>
          <t>Residue</t>
        </is>
      </c>
      <c r="AZ273" t="inlineStr">
        <is>
          <t>LOEC</t>
        </is>
      </c>
      <c r="BA273" t="inlineStr">
        <is>
          <t>Gill(s)</t>
        </is>
      </c>
      <c r="BB273"/>
      <c r="BC273" t="n">
        <v>58.0</v>
      </c>
      <c r="BD273"/>
      <c r="BE273"/>
      <c r="BF273"/>
      <c r="BG273"/>
      <c r="BH273" t="inlineStr">
        <is>
          <t>Day(s)</t>
        </is>
      </c>
      <c r="BI273"/>
      <c r="BJ273"/>
      <c r="BK273"/>
      <c r="BL273"/>
      <c r="BM273"/>
      <c r="BN273"/>
      <c r="BO273" t="inlineStr">
        <is>
          <t>--</t>
        </is>
      </c>
      <c r="BP273"/>
      <c r="BQ273"/>
      <c r="BR273"/>
      <c r="BS273"/>
      <c r="BT273"/>
      <c r="BU273"/>
      <c r="BV273"/>
      <c r="BW273"/>
      <c r="BX273"/>
      <c r="BY273"/>
      <c r="BZ273"/>
      <c r="CA273"/>
      <c r="CB273"/>
      <c r="CC273"/>
      <c r="CD273" t="inlineStr">
        <is>
          <t>Qiang,L., X. Pan, L. Zhu, S. Fang, and S. Tian</t>
        </is>
      </c>
      <c r="CE273" t="n">
        <v>177094.0</v>
      </c>
      <c r="CF273" t="inlineStr">
        <is>
          <t>Effects of Nano-TiO2 on Perfluorooctanesulfonate Bioaccumulation in Fishes Living in Different Water Layers: Implications for Enhanced Risk of Perfluorooctanesulfonate</t>
        </is>
      </c>
      <c r="CG273" t="inlineStr">
        <is>
          <t>Nanotoxicology10(4): 471-479</t>
        </is>
      </c>
      <c r="CH273" t="n">
        <v>2016.0</v>
      </c>
      <c r="CI273"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274">
      <c r="A274" t="n">
        <v>2795393.0</v>
      </c>
      <c r="B274" t="inlineStr">
        <is>
          <t>1,1,2,2,3,3,4,4,5,5,6,6,7,7,8,8,8-Heptadecafluoro-1-octanesulfonic acid potassium salt</t>
        </is>
      </c>
      <c r="C274"/>
      <c r="D274" t="inlineStr">
        <is>
          <t>Measured</t>
        </is>
      </c>
      <c r="E274"/>
      <c r="F274" t="n">
        <v>98.0</v>
      </c>
      <c r="G274"/>
      <c r="H274"/>
      <c r="I274"/>
      <c r="J274"/>
      <c r="K274" t="inlineStr">
        <is>
          <t>Danio rerio</t>
        </is>
      </c>
      <c r="L274" t="inlineStr">
        <is>
          <t>Zebra Danio</t>
        </is>
      </c>
      <c r="M274" t="inlineStr">
        <is>
          <t>Fish; Standard Test Species</t>
        </is>
      </c>
      <c r="N274"/>
      <c r="O274"/>
      <c r="P274"/>
      <c r="Q274"/>
      <c r="R274"/>
      <c r="S274"/>
      <c r="T274"/>
      <c r="U274"/>
      <c r="V274" t="inlineStr">
        <is>
          <t>Renewal</t>
        </is>
      </c>
      <c r="W274" t="inlineStr">
        <is>
          <t>Fresh water</t>
        </is>
      </c>
      <c r="X274" t="inlineStr">
        <is>
          <t>Lab</t>
        </is>
      </c>
      <c r="Y274" t="n">
        <v>2.0</v>
      </c>
      <c r="Z274" t="inlineStr">
        <is>
          <t>Active ingredient</t>
        </is>
      </c>
      <c r="AA274"/>
      <c r="AB274"/>
      <c r="AC274"/>
      <c r="AD274" t="n">
        <v>3.0E-4</v>
      </c>
      <c r="AE274"/>
      <c r="AF274" t="n">
        <v>4.0E-4</v>
      </c>
      <c r="AG274" t="inlineStr">
        <is>
          <t>AI mg/L</t>
        </is>
      </c>
      <c r="AH274"/>
      <c r="AI274"/>
      <c r="AJ274"/>
      <c r="AK274"/>
      <c r="AL274"/>
      <c r="AM274"/>
      <c r="AN274"/>
      <c r="AO274"/>
      <c r="AP274"/>
      <c r="AQ274"/>
      <c r="AR274"/>
      <c r="AS274"/>
      <c r="AT274"/>
      <c r="AU274"/>
      <c r="AV274"/>
      <c r="AW274"/>
      <c r="AX274" t="inlineStr">
        <is>
          <t>Accumulation</t>
        </is>
      </c>
      <c r="AY274" t="inlineStr">
        <is>
          <t>Residue</t>
        </is>
      </c>
      <c r="AZ274" t="inlineStr">
        <is>
          <t>LOEC</t>
        </is>
      </c>
      <c r="BA274" t="inlineStr">
        <is>
          <t>Organ</t>
        </is>
      </c>
      <c r="BB274"/>
      <c r="BC274" t="n">
        <v>58.0</v>
      </c>
      <c r="BD274"/>
      <c r="BE274"/>
      <c r="BF274"/>
      <c r="BG274"/>
      <c r="BH274" t="inlineStr">
        <is>
          <t>Day(s)</t>
        </is>
      </c>
      <c r="BI274"/>
      <c r="BJ274"/>
      <c r="BK274"/>
      <c r="BL274"/>
      <c r="BM274"/>
      <c r="BN274"/>
      <c r="BO274" t="inlineStr">
        <is>
          <t>--</t>
        </is>
      </c>
      <c r="BP274"/>
      <c r="BQ274"/>
      <c r="BR274"/>
      <c r="BS274"/>
      <c r="BT274"/>
      <c r="BU274"/>
      <c r="BV274"/>
      <c r="BW274"/>
      <c r="BX274"/>
      <c r="BY274"/>
      <c r="BZ274"/>
      <c r="CA274"/>
      <c r="CB274"/>
      <c r="CC274"/>
      <c r="CD274" t="inlineStr">
        <is>
          <t>Qiang,L., X. Pan, L. Zhu, S. Fang, and S. Tian</t>
        </is>
      </c>
      <c r="CE274" t="n">
        <v>177094.0</v>
      </c>
      <c r="CF274" t="inlineStr">
        <is>
          <t>Effects of Nano-TiO2 on Perfluorooctanesulfonate Bioaccumulation in Fishes Living in Different Water Layers: Implications for Enhanced Risk of Perfluorooctanesulfonate</t>
        </is>
      </c>
      <c r="CG274" t="inlineStr">
        <is>
          <t>Nanotoxicology10(4): 471-479</t>
        </is>
      </c>
      <c r="CH274" t="n">
        <v>2016.0</v>
      </c>
      <c r="CI274"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275">
      <c r="A275" t="n">
        <v>2795393.0</v>
      </c>
      <c r="B275" t="inlineStr">
        <is>
          <t>1,1,2,2,3,3,4,4,5,5,6,6,7,7,8,8,8-Heptadecafluoro-1-octanesulfonic acid potassium salt</t>
        </is>
      </c>
      <c r="C275"/>
      <c r="D275" t="inlineStr">
        <is>
          <t>Measured</t>
        </is>
      </c>
      <c r="E275"/>
      <c r="F275" t="n">
        <v>98.0</v>
      </c>
      <c r="G275"/>
      <c r="H275"/>
      <c r="I275"/>
      <c r="J275"/>
      <c r="K275" t="inlineStr">
        <is>
          <t>Danio rerio</t>
        </is>
      </c>
      <c r="L275" t="inlineStr">
        <is>
          <t>Zebra Danio</t>
        </is>
      </c>
      <c r="M275" t="inlineStr">
        <is>
          <t>Fish; Standard Test Species</t>
        </is>
      </c>
      <c r="N275"/>
      <c r="O275"/>
      <c r="P275"/>
      <c r="Q275"/>
      <c r="R275"/>
      <c r="S275"/>
      <c r="T275"/>
      <c r="U275"/>
      <c r="V275" t="inlineStr">
        <is>
          <t>Renewal</t>
        </is>
      </c>
      <c r="W275" t="inlineStr">
        <is>
          <t>Fresh water</t>
        </is>
      </c>
      <c r="X275" t="inlineStr">
        <is>
          <t>Lab</t>
        </is>
      </c>
      <c r="Y275" t="n">
        <v>2.0</v>
      </c>
      <c r="Z275" t="inlineStr">
        <is>
          <t>Active ingredient</t>
        </is>
      </c>
      <c r="AA275"/>
      <c r="AB275"/>
      <c r="AC275"/>
      <c r="AD275" t="n">
        <v>3.0E-4</v>
      </c>
      <c r="AE275"/>
      <c r="AF275" t="n">
        <v>4.0E-4</v>
      </c>
      <c r="AG275" t="inlineStr">
        <is>
          <t>AI mg/L</t>
        </is>
      </c>
      <c r="AH275"/>
      <c r="AI275"/>
      <c r="AJ275"/>
      <c r="AK275"/>
      <c r="AL275"/>
      <c r="AM275"/>
      <c r="AN275"/>
      <c r="AO275"/>
      <c r="AP275"/>
      <c r="AQ275"/>
      <c r="AR275"/>
      <c r="AS275"/>
      <c r="AT275"/>
      <c r="AU275"/>
      <c r="AV275"/>
      <c r="AW275"/>
      <c r="AX275" t="inlineStr">
        <is>
          <t>Accumulation</t>
        </is>
      </c>
      <c r="AY275" t="inlineStr">
        <is>
          <t>Residue</t>
        </is>
      </c>
      <c r="AZ275" t="inlineStr">
        <is>
          <t>LOEC</t>
        </is>
      </c>
      <c r="BA275" t="inlineStr">
        <is>
          <t>Scale</t>
        </is>
      </c>
      <c r="BB275"/>
      <c r="BC275" t="n">
        <v>58.0</v>
      </c>
      <c r="BD275"/>
      <c r="BE275"/>
      <c r="BF275"/>
      <c r="BG275"/>
      <c r="BH275" t="inlineStr">
        <is>
          <t>Day(s)</t>
        </is>
      </c>
      <c r="BI275"/>
      <c r="BJ275"/>
      <c r="BK275"/>
      <c r="BL275"/>
      <c r="BM275"/>
      <c r="BN275"/>
      <c r="BO275" t="inlineStr">
        <is>
          <t>--</t>
        </is>
      </c>
      <c r="BP275"/>
      <c r="BQ275"/>
      <c r="BR275"/>
      <c r="BS275"/>
      <c r="BT275"/>
      <c r="BU275"/>
      <c r="BV275"/>
      <c r="BW275"/>
      <c r="BX275"/>
      <c r="BY275"/>
      <c r="BZ275"/>
      <c r="CA275"/>
      <c r="CB275"/>
      <c r="CC275"/>
      <c r="CD275" t="inlineStr">
        <is>
          <t>Qiang,L., X. Pan, L. Zhu, S. Fang, and S. Tian</t>
        </is>
      </c>
      <c r="CE275" t="n">
        <v>177094.0</v>
      </c>
      <c r="CF275" t="inlineStr">
        <is>
          <t>Effects of Nano-TiO2 on Perfluorooctanesulfonate Bioaccumulation in Fishes Living in Different Water Layers: Implications for Enhanced Risk of Perfluorooctanesulfonate</t>
        </is>
      </c>
      <c r="CG275" t="inlineStr">
        <is>
          <t>Nanotoxicology10(4): 471-479</t>
        </is>
      </c>
      <c r="CH275" t="n">
        <v>2016.0</v>
      </c>
      <c r="CI275"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276">
      <c r="A276" t="n">
        <v>2795393.0</v>
      </c>
      <c r="B276" t="inlineStr">
        <is>
          <t>1,1,2,2,3,3,4,4,5,5,6,6,7,7,8,8,8-Heptadecafluoro-1-octanesulfonic acid potassium salt</t>
        </is>
      </c>
      <c r="C276"/>
      <c r="D276" t="inlineStr">
        <is>
          <t>Measured</t>
        </is>
      </c>
      <c r="E276"/>
      <c r="F276" t="n">
        <v>98.0</v>
      </c>
      <c r="G276"/>
      <c r="H276"/>
      <c r="I276"/>
      <c r="J276"/>
      <c r="K276" t="inlineStr">
        <is>
          <t>Danio rerio</t>
        </is>
      </c>
      <c r="L276" t="inlineStr">
        <is>
          <t>Zebra Danio</t>
        </is>
      </c>
      <c r="M276" t="inlineStr">
        <is>
          <t>Fish; Standard Test Species</t>
        </is>
      </c>
      <c r="N276"/>
      <c r="O276"/>
      <c r="P276"/>
      <c r="Q276"/>
      <c r="R276"/>
      <c r="S276"/>
      <c r="T276"/>
      <c r="U276"/>
      <c r="V276" t="inlineStr">
        <is>
          <t>Renewal</t>
        </is>
      </c>
      <c r="W276" t="inlineStr">
        <is>
          <t>Fresh water</t>
        </is>
      </c>
      <c r="X276" t="inlineStr">
        <is>
          <t>Lab</t>
        </is>
      </c>
      <c r="Y276" t="n">
        <v>2.0</v>
      </c>
      <c r="Z276" t="inlineStr">
        <is>
          <t>Active ingredient</t>
        </is>
      </c>
      <c r="AA276"/>
      <c r="AB276"/>
      <c r="AC276"/>
      <c r="AD276" t="n">
        <v>3.0E-4</v>
      </c>
      <c r="AE276"/>
      <c r="AF276" t="n">
        <v>4.0E-4</v>
      </c>
      <c r="AG276" t="inlineStr">
        <is>
          <t>AI mg/L</t>
        </is>
      </c>
      <c r="AH276"/>
      <c r="AI276"/>
      <c r="AJ276"/>
      <c r="AK276"/>
      <c r="AL276"/>
      <c r="AM276"/>
      <c r="AN276"/>
      <c r="AO276"/>
      <c r="AP276"/>
      <c r="AQ276"/>
      <c r="AR276"/>
      <c r="AS276"/>
      <c r="AT276"/>
      <c r="AU276"/>
      <c r="AV276"/>
      <c r="AW276"/>
      <c r="AX276" t="inlineStr">
        <is>
          <t>Accumulation</t>
        </is>
      </c>
      <c r="AY276" t="inlineStr">
        <is>
          <t>Residue</t>
        </is>
      </c>
      <c r="AZ276" t="inlineStr">
        <is>
          <t>LOEC</t>
        </is>
      </c>
      <c r="BA276" t="inlineStr">
        <is>
          <t>Muscle</t>
        </is>
      </c>
      <c r="BB276"/>
      <c r="BC276" t="n">
        <v>58.0</v>
      </c>
      <c r="BD276"/>
      <c r="BE276"/>
      <c r="BF276"/>
      <c r="BG276"/>
      <c r="BH276" t="inlineStr">
        <is>
          <t>Day(s)</t>
        </is>
      </c>
      <c r="BI276"/>
      <c r="BJ276"/>
      <c r="BK276"/>
      <c r="BL276"/>
      <c r="BM276"/>
      <c r="BN276"/>
      <c r="BO276" t="inlineStr">
        <is>
          <t>--</t>
        </is>
      </c>
      <c r="BP276"/>
      <c r="BQ276"/>
      <c r="BR276"/>
      <c r="BS276"/>
      <c r="BT276"/>
      <c r="BU276"/>
      <c r="BV276"/>
      <c r="BW276"/>
      <c r="BX276"/>
      <c r="BY276"/>
      <c r="BZ276"/>
      <c r="CA276"/>
      <c r="CB276"/>
      <c r="CC276"/>
      <c r="CD276" t="inlineStr">
        <is>
          <t>Qiang,L., X. Pan, L. Zhu, S. Fang, and S. Tian</t>
        </is>
      </c>
      <c r="CE276" t="n">
        <v>177094.0</v>
      </c>
      <c r="CF276" t="inlineStr">
        <is>
          <t>Effects of Nano-TiO2 on Perfluorooctanesulfonate Bioaccumulation in Fishes Living in Different Water Layers: Implications for Enhanced Risk of Perfluorooctanesulfonate</t>
        </is>
      </c>
      <c r="CG276" t="inlineStr">
        <is>
          <t>Nanotoxicology10(4): 471-479</t>
        </is>
      </c>
      <c r="CH276" t="n">
        <v>2016.0</v>
      </c>
      <c r="CI276"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277">
      <c r="A277" t="n">
        <v>2795393.0</v>
      </c>
      <c r="B277" t="inlineStr">
        <is>
          <t>1,1,2,2,3,3,4,4,5,5,6,6,7,7,8,8,8-Heptadecafluoro-1-octanesulfonic acid potassium salt</t>
        </is>
      </c>
      <c r="C277"/>
      <c r="D277" t="inlineStr">
        <is>
          <t>Measured</t>
        </is>
      </c>
      <c r="E277"/>
      <c r="F277" t="n">
        <v>98.0</v>
      </c>
      <c r="G277"/>
      <c r="H277"/>
      <c r="I277"/>
      <c r="J277"/>
      <c r="K277" t="inlineStr">
        <is>
          <t>Danio rerio</t>
        </is>
      </c>
      <c r="L277" t="inlineStr">
        <is>
          <t>Zebra Danio</t>
        </is>
      </c>
      <c r="M277" t="inlineStr">
        <is>
          <t>Fish; Standard Test Species</t>
        </is>
      </c>
      <c r="N277"/>
      <c r="O277"/>
      <c r="P277"/>
      <c r="Q277"/>
      <c r="R277"/>
      <c r="S277"/>
      <c r="T277"/>
      <c r="U277"/>
      <c r="V277" t="inlineStr">
        <is>
          <t>Renewal</t>
        </is>
      </c>
      <c r="W277" t="inlineStr">
        <is>
          <t>Fresh water</t>
        </is>
      </c>
      <c r="X277" t="inlineStr">
        <is>
          <t>Lab</t>
        </is>
      </c>
      <c r="Y277" t="n">
        <v>2.0</v>
      </c>
      <c r="Z277" t="inlineStr">
        <is>
          <t>Active ingredient</t>
        </is>
      </c>
      <c r="AA277"/>
      <c r="AB277"/>
      <c r="AC277"/>
      <c r="AD277" t="n">
        <v>3.0E-4</v>
      </c>
      <c r="AE277"/>
      <c r="AF277" t="n">
        <v>4.0E-4</v>
      </c>
      <c r="AG277" t="inlineStr">
        <is>
          <t>AI mg/L</t>
        </is>
      </c>
      <c r="AH277"/>
      <c r="AI277"/>
      <c r="AJ277"/>
      <c r="AK277"/>
      <c r="AL277"/>
      <c r="AM277"/>
      <c r="AN277"/>
      <c r="AO277"/>
      <c r="AP277"/>
      <c r="AQ277"/>
      <c r="AR277"/>
      <c r="AS277"/>
      <c r="AT277"/>
      <c r="AU277"/>
      <c r="AV277"/>
      <c r="AW277"/>
      <c r="AX277" t="inlineStr">
        <is>
          <t>Accumulation</t>
        </is>
      </c>
      <c r="AY277" t="inlineStr">
        <is>
          <t>Residue</t>
        </is>
      </c>
      <c r="AZ277" t="inlineStr">
        <is>
          <t>LOEC</t>
        </is>
      </c>
      <c r="BA277" t="inlineStr">
        <is>
          <t>Head</t>
        </is>
      </c>
      <c r="BB277"/>
      <c r="BC277" t="n">
        <v>58.0</v>
      </c>
      <c r="BD277"/>
      <c r="BE277"/>
      <c r="BF277"/>
      <c r="BG277"/>
      <c r="BH277" t="inlineStr">
        <is>
          <t>Day(s)</t>
        </is>
      </c>
      <c r="BI277"/>
      <c r="BJ277"/>
      <c r="BK277"/>
      <c r="BL277"/>
      <c r="BM277"/>
      <c r="BN277"/>
      <c r="BO277" t="inlineStr">
        <is>
          <t>--</t>
        </is>
      </c>
      <c r="BP277"/>
      <c r="BQ277"/>
      <c r="BR277"/>
      <c r="BS277"/>
      <c r="BT277"/>
      <c r="BU277"/>
      <c r="BV277"/>
      <c r="BW277"/>
      <c r="BX277"/>
      <c r="BY277"/>
      <c r="BZ277"/>
      <c r="CA277"/>
      <c r="CB277"/>
      <c r="CC277"/>
      <c r="CD277" t="inlineStr">
        <is>
          <t>Qiang,L., X. Pan, L. Zhu, S. Fang, and S. Tian</t>
        </is>
      </c>
      <c r="CE277" t="n">
        <v>177094.0</v>
      </c>
      <c r="CF277" t="inlineStr">
        <is>
          <t>Effects of Nano-TiO2 on Perfluorooctanesulfonate Bioaccumulation in Fishes Living in Different Water Layers: Implications for Enhanced Risk of Perfluorooctanesulfonate</t>
        </is>
      </c>
      <c r="CG277" t="inlineStr">
        <is>
          <t>Nanotoxicology10(4): 471-479</t>
        </is>
      </c>
      <c r="CH277" t="n">
        <v>2016.0</v>
      </c>
      <c r="CI277"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278">
      <c r="A278" t="n">
        <v>2795393.0</v>
      </c>
      <c r="B278" t="inlineStr">
        <is>
          <t>1,1,2,2,3,3,4,4,5,5,6,6,7,7,8,8,8-Heptadecafluoro-1-octanesulfonic acid potassium salt</t>
        </is>
      </c>
      <c r="C278"/>
      <c r="D278" t="inlineStr">
        <is>
          <t>Unmeasured</t>
        </is>
      </c>
      <c r="E278" t="inlineStr">
        <is>
          <t>&gt;=</t>
        </is>
      </c>
      <c r="F278" t="n">
        <v>98.0</v>
      </c>
      <c r="G278"/>
      <c r="H278"/>
      <c r="I278"/>
      <c r="J278"/>
      <c r="K278" t="inlineStr">
        <is>
          <t>Danio rerio</t>
        </is>
      </c>
      <c r="L278" t="inlineStr">
        <is>
          <t>Zebra Danio</t>
        </is>
      </c>
      <c r="M278" t="inlineStr">
        <is>
          <t>Fish; Standard Test Species</t>
        </is>
      </c>
      <c r="N278" t="inlineStr">
        <is>
          <t>Adult</t>
        </is>
      </c>
      <c r="O278"/>
      <c r="P278"/>
      <c r="Q278"/>
      <c r="R278"/>
      <c r="S278"/>
      <c r="T278"/>
      <c r="U278"/>
      <c r="V278" t="inlineStr">
        <is>
          <t>Renewal</t>
        </is>
      </c>
      <c r="W278" t="inlineStr">
        <is>
          <t>Fresh water</t>
        </is>
      </c>
      <c r="X278" t="inlineStr">
        <is>
          <t>Lab</t>
        </is>
      </c>
      <c r="Y278" t="n">
        <v>4.0</v>
      </c>
      <c r="Z278" t="inlineStr">
        <is>
          <t>Active ingredient</t>
        </is>
      </c>
      <c r="AA278"/>
      <c r="AB278" t="n">
        <v>0.02</v>
      </c>
      <c r="AC278"/>
      <c r="AD278"/>
      <c r="AE278"/>
      <c r="AF278"/>
      <c r="AG278" t="inlineStr">
        <is>
          <t>AI mg/L</t>
        </is>
      </c>
      <c r="AH278"/>
      <c r="AI278"/>
      <c r="AJ278"/>
      <c r="AK278"/>
      <c r="AL278"/>
      <c r="AM278"/>
      <c r="AN278"/>
      <c r="AO278"/>
      <c r="AP278"/>
      <c r="AQ278"/>
      <c r="AR278"/>
      <c r="AS278"/>
      <c r="AT278"/>
      <c r="AU278"/>
      <c r="AV278"/>
      <c r="AW278"/>
      <c r="AX278" t="inlineStr">
        <is>
          <t>Accumulation</t>
        </is>
      </c>
      <c r="AY278" t="inlineStr">
        <is>
          <t>Residue</t>
        </is>
      </c>
      <c r="AZ278" t="inlineStr">
        <is>
          <t>LOEC</t>
        </is>
      </c>
      <c r="BA278" t="inlineStr">
        <is>
          <t>Whole organism</t>
        </is>
      </c>
      <c r="BB278"/>
      <c r="BC278" t="n">
        <v>0.125</v>
      </c>
      <c r="BD278"/>
      <c r="BE278"/>
      <c r="BF278"/>
      <c r="BG278"/>
      <c r="BH278" t="inlineStr">
        <is>
          <t>Day(s) post-fertilization</t>
        </is>
      </c>
      <c r="BI278"/>
      <c r="BJ278"/>
      <c r="BK278"/>
      <c r="BL278"/>
      <c r="BM278"/>
      <c r="BN278"/>
      <c r="BO278" t="inlineStr">
        <is>
          <t>--</t>
        </is>
      </c>
      <c r="BP278"/>
      <c r="BQ278"/>
      <c r="BR278"/>
      <c r="BS278"/>
      <c r="BT278"/>
      <c r="BU278"/>
      <c r="BV278"/>
      <c r="BW278"/>
      <c r="BX278"/>
      <c r="BY278"/>
      <c r="BZ278"/>
      <c r="CA278"/>
      <c r="CB278"/>
      <c r="CC278"/>
      <c r="CD278" t="inlineStr">
        <is>
          <t xml:space="preserve">Marin,M., K.M. Annunziato, M.C. Tompach, W. Liang, S.M. Zahn, S. Li, J. Doherty, J. Lee, J.M. Clark, Y. Park, and A.R. </t>
        </is>
      </c>
      <c r="CE278" t="n">
        <v>193712.0</v>
      </c>
      <c r="CF278" t="inlineStr">
        <is>
          <t>Maternal PFOS Exposure Affects Offspring Development in Nrf2-Dependent and Independent Ways in Zebrafish (Danio rerio)</t>
        </is>
      </c>
      <c r="CG278" t="inlineStr">
        <is>
          <t>Aquat. Toxicol.271:10 p.</t>
        </is>
      </c>
      <c r="CH278" t="n">
        <v>2024.0</v>
      </c>
      <c r="CI278" t="inlineStr">
        <is>
          <t>Marin,M., K.M. Annunziato, M.C. Tompach, W. Liang, S.M. Zahn, S. Li, J. Doherty, J. Lee, J.M. Clark, Y. Park, and A.R.  (2024). Maternal PFOS Exposure Affects Offspring Development in Nrf2-Dependent and Independent Ways in Zebrafish (Danio rerio). Aquat. Toxicol., 271, 10 p. doi:10.1016/j.aquatox.2024.106923. ECOREF#:193712</t>
        </is>
      </c>
    </row>
    <row r="279">
      <c r="A279" t="n">
        <v>2795393.0</v>
      </c>
      <c r="B279" t="inlineStr">
        <is>
          <t>1,1,2,2,3,3,4,4,5,5,6,6,7,7,8,8,8-Heptadecafluoro-1-octanesulfonic acid potassium salt</t>
        </is>
      </c>
      <c r="C279"/>
      <c r="D279" t="inlineStr">
        <is>
          <t>Measured</t>
        </is>
      </c>
      <c r="E279" t="inlineStr">
        <is>
          <t>&gt;=</t>
        </is>
      </c>
      <c r="F279" t="n">
        <v>98.0</v>
      </c>
      <c r="G279"/>
      <c r="H279"/>
      <c r="I279"/>
      <c r="J279"/>
      <c r="K279" t="inlineStr">
        <is>
          <t>Pimephales promelas</t>
        </is>
      </c>
      <c r="L279" t="inlineStr">
        <is>
          <t>Fathead Minnow</t>
        </is>
      </c>
      <c r="M279" t="inlineStr">
        <is>
          <t>Fish; Standard Test Species</t>
        </is>
      </c>
      <c r="N279" t="inlineStr">
        <is>
          <t>Sexually mature</t>
        </is>
      </c>
      <c r="O279"/>
      <c r="P279" t="n">
        <v>5.0</v>
      </c>
      <c r="Q279"/>
      <c r="R279"/>
      <c r="S279"/>
      <c r="T279"/>
      <c r="U279" t="inlineStr">
        <is>
          <t>Month(s)</t>
        </is>
      </c>
      <c r="V279" t="inlineStr">
        <is>
          <t>Renewal</t>
        </is>
      </c>
      <c r="W279" t="inlineStr">
        <is>
          <t>Fresh water</t>
        </is>
      </c>
      <c r="X279" t="inlineStr">
        <is>
          <t>Lab</t>
        </is>
      </c>
      <c r="Y279" t="n">
        <v>5.0</v>
      </c>
      <c r="Z279" t="inlineStr">
        <is>
          <t>Active ingredient</t>
        </is>
      </c>
      <c r="AA279"/>
      <c r="AB279" t="n">
        <v>0.088</v>
      </c>
      <c r="AC279"/>
      <c r="AD279"/>
      <c r="AE279"/>
      <c r="AF279"/>
      <c r="AG279" t="inlineStr">
        <is>
          <t>AI mg/L</t>
        </is>
      </c>
      <c r="AH279"/>
      <c r="AI279"/>
      <c r="AJ279"/>
      <c r="AK279"/>
      <c r="AL279"/>
      <c r="AM279"/>
      <c r="AN279"/>
      <c r="AO279"/>
      <c r="AP279"/>
      <c r="AQ279"/>
      <c r="AR279"/>
      <c r="AS279"/>
      <c r="AT279"/>
      <c r="AU279"/>
      <c r="AV279"/>
      <c r="AW279"/>
      <c r="AX279" t="inlineStr">
        <is>
          <t>Accumulation</t>
        </is>
      </c>
      <c r="AY279" t="inlineStr">
        <is>
          <t>Residue</t>
        </is>
      </c>
      <c r="AZ279" t="inlineStr">
        <is>
          <t>NOEC</t>
        </is>
      </c>
      <c r="BA279" t="inlineStr">
        <is>
          <t>Gonad(s)</t>
        </is>
      </c>
      <c r="BB279"/>
      <c r="BC279" t="n">
        <v>42.0</v>
      </c>
      <c r="BD279"/>
      <c r="BE279"/>
      <c r="BF279"/>
      <c r="BG279"/>
      <c r="BH279" t="inlineStr">
        <is>
          <t>Day(s)</t>
        </is>
      </c>
      <c r="BI279"/>
      <c r="BJ279"/>
      <c r="BK279"/>
      <c r="BL279"/>
      <c r="BM279"/>
      <c r="BN279"/>
      <c r="BO279" t="inlineStr">
        <is>
          <t>--</t>
        </is>
      </c>
      <c r="BP279"/>
      <c r="BQ279"/>
      <c r="BR279"/>
      <c r="BS279"/>
      <c r="BT279"/>
      <c r="BU279"/>
      <c r="BV279"/>
      <c r="BW279"/>
      <c r="BX279"/>
      <c r="BY279"/>
      <c r="BZ279"/>
      <c r="CA279"/>
      <c r="CB279"/>
      <c r="CC279"/>
      <c r="CD279" t="inlineStr">
        <is>
          <t>Suski,J.G., C.J. Salice, M.K. Chanov, J. Ayers, J. Rewerts, and J. Field</t>
        </is>
      </c>
      <c r="CE279" t="n">
        <v>185548.0</v>
      </c>
      <c r="CF279" t="inlineStr">
        <is>
          <t>Sensitivity and Accumulation of Perfluorooctanesulfonate and Perfluorohexanesulfonic Acid in Fathead Minnows (Pimephales promelas) Exposed over Critical Life Stages of Reproduction and Development</t>
        </is>
      </c>
      <c r="CG279" t="inlineStr">
        <is>
          <t>Environ. Toxicol. Chem.40(3): 811-819</t>
        </is>
      </c>
      <c r="CH279" t="n">
        <v>2021.0</v>
      </c>
      <c r="CI279"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280">
      <c r="A280" t="n">
        <v>2795393.0</v>
      </c>
      <c r="B280" t="inlineStr">
        <is>
          <t>1,1,2,2,3,3,4,4,5,5,6,6,7,7,8,8,8-Heptadecafluoro-1-octanesulfonic acid potassium salt</t>
        </is>
      </c>
      <c r="C280"/>
      <c r="D280" t="inlineStr">
        <is>
          <t>Measured</t>
        </is>
      </c>
      <c r="E280" t="inlineStr">
        <is>
          <t>&gt;=</t>
        </is>
      </c>
      <c r="F280" t="n">
        <v>98.0</v>
      </c>
      <c r="G280"/>
      <c r="H280"/>
      <c r="I280"/>
      <c r="J280"/>
      <c r="K280" t="inlineStr">
        <is>
          <t>Danio rerio</t>
        </is>
      </c>
      <c r="L280" t="inlineStr">
        <is>
          <t>Zebra Danio</t>
        </is>
      </c>
      <c r="M280" t="inlineStr">
        <is>
          <t>Fish; Standard Test Species</t>
        </is>
      </c>
      <c r="N280" t="inlineStr">
        <is>
          <t>Adult</t>
        </is>
      </c>
      <c r="O280"/>
      <c r="P280"/>
      <c r="Q280"/>
      <c r="R280" t="n">
        <v>5.0</v>
      </c>
      <c r="S280"/>
      <c r="T280" t="n">
        <v>6.0</v>
      </c>
      <c r="U280" t="inlineStr">
        <is>
          <t>Month(s)</t>
        </is>
      </c>
      <c r="V280" t="inlineStr">
        <is>
          <t>Renewal</t>
        </is>
      </c>
      <c r="W280" t="inlineStr">
        <is>
          <t>Fresh water</t>
        </is>
      </c>
      <c r="X280" t="inlineStr">
        <is>
          <t>Lab</t>
        </is>
      </c>
      <c r="Y280" t="n">
        <v>2.0</v>
      </c>
      <c r="Z280" t="inlineStr">
        <is>
          <t>Active ingredient</t>
        </is>
      </c>
      <c r="AA280"/>
      <c r="AB280"/>
      <c r="AC280"/>
      <c r="AD280" t="n">
        <v>0.0097</v>
      </c>
      <c r="AE280"/>
      <c r="AF280" t="n">
        <v>0.01026</v>
      </c>
      <c r="AG280" t="inlineStr">
        <is>
          <t>AI mg/L</t>
        </is>
      </c>
      <c r="AH280"/>
      <c r="AI280"/>
      <c r="AJ280"/>
      <c r="AK280"/>
      <c r="AL280"/>
      <c r="AM280"/>
      <c r="AN280"/>
      <c r="AO280"/>
      <c r="AP280"/>
      <c r="AQ280"/>
      <c r="AR280"/>
      <c r="AS280"/>
      <c r="AT280"/>
      <c r="AU280"/>
      <c r="AV280"/>
      <c r="AW280"/>
      <c r="AX280" t="inlineStr">
        <is>
          <t>Accumulation</t>
        </is>
      </c>
      <c r="AY280" t="inlineStr">
        <is>
          <t>Residue</t>
        </is>
      </c>
      <c r="AZ280"/>
      <c r="BA280" t="inlineStr">
        <is>
          <t>Multiple entries</t>
        </is>
      </c>
      <c r="BB280"/>
      <c r="BC280" t="n">
        <v>14.0</v>
      </c>
      <c r="BD280"/>
      <c r="BE280"/>
      <c r="BF280"/>
      <c r="BG280"/>
      <c r="BH280" t="inlineStr">
        <is>
          <t>Day(s)</t>
        </is>
      </c>
      <c r="BI280"/>
      <c r="BJ280"/>
      <c r="BK280"/>
      <c r="BL280"/>
      <c r="BM280"/>
      <c r="BN280"/>
      <c r="BO280" t="inlineStr">
        <is>
          <t>--</t>
        </is>
      </c>
      <c r="BP280"/>
      <c r="BQ280"/>
      <c r="BR280"/>
      <c r="BS280"/>
      <c r="BT280"/>
      <c r="BU280"/>
      <c r="BV280"/>
      <c r="BW280"/>
      <c r="BX280"/>
      <c r="BY280"/>
      <c r="BZ280"/>
      <c r="CA280"/>
      <c r="CB280"/>
      <c r="CC280"/>
      <c r="CD280" t="inlineStr">
        <is>
          <t>Jian,M., X. Chen, S. Liu, Y. Liu, Y. Liu, Q. Wang, and W. Tu</t>
        </is>
      </c>
      <c r="CE280" t="n">
        <v>193621.0</v>
      </c>
      <c r="CF280" t="inlineStr">
        <is>
          <t>Combined Exposure with Microplastics Increases the Toxic Effects of PFOS and Its Alternative F-53B in Adult Zebrafish</t>
        </is>
      </c>
      <c r="CG280" t="inlineStr">
        <is>
          <t>Sci. Total Environ.920:11 p.</t>
        </is>
      </c>
      <c r="CH280" t="n">
        <v>2024.0</v>
      </c>
      <c r="CI280" t="inlineStr">
        <is>
          <t>Jian,M., X. Chen, S. Liu, Y. Liu, Y. Liu, Q. Wang, and W. Tu (2024). Combined Exposure with Microplastics Increases the Toxic Effects of PFOS and Its Alternative F-53B in Adult Zebrafish. Sci. Total Environ., 920, 11 p. doi:10.1016/j.scitotenv.2024.170948. ECOREF#:193621</t>
        </is>
      </c>
    </row>
    <row r="281">
      <c r="A281" t="n">
        <v>2795393.0</v>
      </c>
      <c r="B281" t="inlineStr">
        <is>
          <t>1,1,2,2,3,3,4,4,5,5,6,6,7,7,8,8,8-Heptadecafluoro-1-octanesulfonic acid potassium salt</t>
        </is>
      </c>
      <c r="C281" t="inlineStr">
        <is>
          <t>Technical grade, technical product, technical formulation</t>
        </is>
      </c>
      <c r="D281" t="inlineStr">
        <is>
          <t>Unmeasured</t>
        </is>
      </c>
      <c r="E281"/>
      <c r="F281" t="n">
        <v>98.0</v>
      </c>
      <c r="G281"/>
      <c r="H281"/>
      <c r="I281"/>
      <c r="J281"/>
      <c r="K281" t="inlineStr">
        <is>
          <t>Danio rerio</t>
        </is>
      </c>
      <c r="L281" t="inlineStr">
        <is>
          <t>Zebra Danio</t>
        </is>
      </c>
      <c r="M281" t="inlineStr">
        <is>
          <t>Fish; Standard Test Species</t>
        </is>
      </c>
      <c r="N281" t="inlineStr">
        <is>
          <t>Parr</t>
        </is>
      </c>
      <c r="O281"/>
      <c r="P281"/>
      <c r="Q281"/>
      <c r="R281"/>
      <c r="S281"/>
      <c r="T281"/>
      <c r="U281"/>
      <c r="V281" t="inlineStr">
        <is>
          <t>Renewal</t>
        </is>
      </c>
      <c r="W281" t="inlineStr">
        <is>
          <t>Fresh water</t>
        </is>
      </c>
      <c r="X281" t="inlineStr">
        <is>
          <t>Lab</t>
        </is>
      </c>
      <c r="Y281" t="n">
        <v>3.0</v>
      </c>
      <c r="Z281" t="inlineStr">
        <is>
          <t>Active ingredient</t>
        </is>
      </c>
      <c r="AA281"/>
      <c r="AB281" t="n">
        <v>0.5</v>
      </c>
      <c r="AC281"/>
      <c r="AD281"/>
      <c r="AE281"/>
      <c r="AF281"/>
      <c r="AG281" t="inlineStr">
        <is>
          <t>AI mg/L</t>
        </is>
      </c>
      <c r="AH281"/>
      <c r="AI281"/>
      <c r="AJ281"/>
      <c r="AK281"/>
      <c r="AL281"/>
      <c r="AM281"/>
      <c r="AN281"/>
      <c r="AO281"/>
      <c r="AP281"/>
      <c r="AQ281"/>
      <c r="AR281"/>
      <c r="AS281"/>
      <c r="AT281"/>
      <c r="AU281"/>
      <c r="AV281"/>
      <c r="AW281"/>
      <c r="AX281" t="inlineStr">
        <is>
          <t>Accumulation</t>
        </is>
      </c>
      <c r="AY281" t="inlineStr">
        <is>
          <t>Multiple measurement terms entered</t>
        </is>
      </c>
      <c r="AZ281"/>
      <c r="BA281" t="inlineStr">
        <is>
          <t>Multiple entries</t>
        </is>
      </c>
      <c r="BB281"/>
      <c r="BC281" t="n">
        <v>2.0</v>
      </c>
      <c r="BD281"/>
      <c r="BE281"/>
      <c r="BF281"/>
      <c r="BG281"/>
      <c r="BH281" t="inlineStr">
        <is>
          <t>Day(s)</t>
        </is>
      </c>
      <c r="BI281"/>
      <c r="BJ281"/>
      <c r="BK281"/>
      <c r="BL281"/>
      <c r="BM281"/>
      <c r="BN281"/>
      <c r="BO281" t="inlineStr">
        <is>
          <t>--</t>
        </is>
      </c>
      <c r="BP281"/>
      <c r="BQ281"/>
      <c r="BR281"/>
      <c r="BS281"/>
      <c r="BT281"/>
      <c r="BU281"/>
      <c r="BV281"/>
      <c r="BW281"/>
      <c r="BX281"/>
      <c r="BY281"/>
      <c r="BZ281"/>
      <c r="CA281"/>
      <c r="CB281"/>
      <c r="CC281"/>
      <c r="CD281" t="inlineStr">
        <is>
          <t>Sharpe,R.L., J.P. Benskin, A.H. Laarman, S.L. MacLeod, J.W. Martin, C.S. Wong, and G.G. Goss</t>
        </is>
      </c>
      <c r="CE281" t="n">
        <v>151619.0</v>
      </c>
      <c r="CF281" t="inlineStr">
        <is>
          <t>Perfluorooctane Sulfonate Toxicity, Isomer-Specific Accumulation, and Maternal Transfer in Zebrafish (Danio rerio) and Rainbow Trout (Oncorhynchus mykiss)</t>
        </is>
      </c>
      <c r="CG281" t="inlineStr">
        <is>
          <t>Environ. Toxicol. Chem.29(9): 1957-1966</t>
        </is>
      </c>
      <c r="CH281" t="n">
        <v>2010.0</v>
      </c>
      <c r="CI281" t="inlineStr">
        <is>
          <t>Sharpe,R.L., J.P. Benskin, A.H. Laarman, S.L. MacLeod, J.W. Martin, C.S. Wong, and G.G. Goss (2010). Perfluorooctane Sulfonate Toxicity, Isomer-Specific Accumulation, and Maternal Transfer in Zebrafish (Danio rerio) and Rainbow Trout (Oncorhynchus mykiss). Environ. Toxicol. Chem., 29, (9), 1957-1966. doi:10.1002/etc.257. ECOREF#:151619</t>
        </is>
      </c>
    </row>
    <row r="282">
      <c r="A282" t="n">
        <v>2795393.0</v>
      </c>
      <c r="B282" t="inlineStr">
        <is>
          <t>1,1,2,2,3,3,4,4,5,5,6,6,7,7,8,8,8-Heptadecafluoro-1-octanesulfonic acid potassium salt</t>
        </is>
      </c>
      <c r="C282"/>
      <c r="D282" t="inlineStr">
        <is>
          <t>Unmeasured</t>
        </is>
      </c>
      <c r="E282"/>
      <c r="F282"/>
      <c r="G282"/>
      <c r="H282"/>
      <c r="I282"/>
      <c r="J282"/>
      <c r="K282" t="inlineStr">
        <is>
          <t>Danio rerio</t>
        </is>
      </c>
      <c r="L282" t="inlineStr">
        <is>
          <t>Zebra Danio</t>
        </is>
      </c>
      <c r="M282" t="inlineStr">
        <is>
          <t>Fish; Standard Test Species</t>
        </is>
      </c>
      <c r="N282" t="inlineStr">
        <is>
          <t>Embryo</t>
        </is>
      </c>
      <c r="O282"/>
      <c r="P282" t="n">
        <v>6.0</v>
      </c>
      <c r="Q282"/>
      <c r="R282"/>
      <c r="S282"/>
      <c r="T282"/>
      <c r="U282" t="inlineStr">
        <is>
          <t>Hours post fertilization</t>
        </is>
      </c>
      <c r="V282" t="inlineStr">
        <is>
          <t>Static</t>
        </is>
      </c>
      <c r="W282" t="inlineStr">
        <is>
          <t>Fresh water</t>
        </is>
      </c>
      <c r="X282" t="inlineStr">
        <is>
          <t>Lab</t>
        </is>
      </c>
      <c r="Y282" t="n">
        <v>2.0</v>
      </c>
      <c r="Z282" t="inlineStr">
        <is>
          <t>Formulation</t>
        </is>
      </c>
      <c r="AA282"/>
      <c r="AB282" t="n">
        <v>2.95500856653</v>
      </c>
      <c r="AC282"/>
      <c r="AD282"/>
      <c r="AE282"/>
      <c r="AF282"/>
      <c r="AG282" t="inlineStr">
        <is>
          <t>AI mg/L</t>
        </is>
      </c>
      <c r="AH282"/>
      <c r="AI282"/>
      <c r="AJ282"/>
      <c r="AK282"/>
      <c r="AL282"/>
      <c r="AM282"/>
      <c r="AN282"/>
      <c r="AO282"/>
      <c r="AP282"/>
      <c r="AQ282"/>
      <c r="AR282"/>
      <c r="AS282"/>
      <c r="AT282"/>
      <c r="AU282"/>
      <c r="AV282"/>
      <c r="AW282"/>
      <c r="AX282" t="inlineStr">
        <is>
          <t>Accumulation</t>
        </is>
      </c>
      <c r="AY282" t="inlineStr">
        <is>
          <t>Uptake</t>
        </is>
      </c>
      <c r="AZ282"/>
      <c r="BA282"/>
      <c r="BB282"/>
      <c r="BC282" t="n">
        <v>3.75</v>
      </c>
      <c r="BD282"/>
      <c r="BE282"/>
      <c r="BF282"/>
      <c r="BG282"/>
      <c r="BH282" t="inlineStr">
        <is>
          <t>Day(s)</t>
        </is>
      </c>
      <c r="BI282"/>
      <c r="BJ282"/>
      <c r="BK282"/>
      <c r="BL282"/>
      <c r="BM282"/>
      <c r="BN282"/>
      <c r="BO282" t="inlineStr">
        <is>
          <t>--</t>
        </is>
      </c>
      <c r="BP282"/>
      <c r="BQ282"/>
      <c r="BR282"/>
      <c r="BS282"/>
      <c r="BT282"/>
      <c r="BU282"/>
      <c r="BV282"/>
      <c r="BW282"/>
      <c r="BX282"/>
      <c r="BY282"/>
      <c r="BZ282"/>
      <c r="CA282"/>
      <c r="CB282"/>
      <c r="CC282"/>
      <c r="CD282" t="inlineStr">
        <is>
          <t>Khezri,A., T.W.K. Fraser, R. Nourizadeh-Lillabadi, J.H. Kamstra, V. Berg, K.E. Zimmer, and E. Ropstad</t>
        </is>
      </c>
      <c r="CE282" t="n">
        <v>184767.0</v>
      </c>
      <c r="CF282" t="inlineStr">
        <is>
          <t>A Mixture of Persistent Organic Pollutants and Perfluorooctanesulfonic Acid Induces Similar Behavioural Responses, but Different Gene Expression Profiles in Zebrafish Larvae</t>
        </is>
      </c>
      <c r="CG282" t="inlineStr">
        <is>
          <t>Int. J. Mol. Sci.18(291): 17 p.</t>
        </is>
      </c>
      <c r="CH282" t="n">
        <v>2017.0</v>
      </c>
      <c r="CI282" t="inlineStr">
        <is>
          <t>Khezri,A., T.W.K. Fraser, R. Nourizadeh-Lillabadi, J.H. Kamstra, V. Berg, K.E. Zimmer, and E. Ropstad (2017). A Mixture of Persistent Organic Pollutants and Perfluorooctanesulfonic Acid Induces Similar Behavioural Responses, but Different Gene Expression Profiles in Zebrafish Larvae. Int. J. Mol. Sci., 18, (291), 17 p. doi:10.3390/ijms18020291. ECOREF#:184767</t>
        </is>
      </c>
    </row>
    <row r="283">
      <c r="A283" t="n">
        <v>2795393.0</v>
      </c>
      <c r="B283" t="inlineStr">
        <is>
          <t>1,1,2,2,3,3,4,4,5,5,6,6,7,7,8,8,8-Heptadecafluoro-1-octanesulfonic acid potassium salt</t>
        </is>
      </c>
      <c r="C283"/>
      <c r="D283" t="inlineStr">
        <is>
          <t>Measured</t>
        </is>
      </c>
      <c r="E283"/>
      <c r="F283" t="n">
        <v>98.0</v>
      </c>
      <c r="G283"/>
      <c r="H283"/>
      <c r="I283"/>
      <c r="J283"/>
      <c r="K283" t="inlineStr">
        <is>
          <t>Danio rerio</t>
        </is>
      </c>
      <c r="L283" t="inlineStr">
        <is>
          <t>Zebra Danio</t>
        </is>
      </c>
      <c r="M283" t="inlineStr">
        <is>
          <t>Fish; Standard Test Species</t>
        </is>
      </c>
      <c r="N283"/>
      <c r="O283" t="inlineStr">
        <is>
          <t>&gt;=</t>
        </is>
      </c>
      <c r="P283" t="n">
        <v>4.0</v>
      </c>
      <c r="Q283"/>
      <c r="R283"/>
      <c r="S283"/>
      <c r="T283"/>
      <c r="U283" t="inlineStr">
        <is>
          <t>Month(s)</t>
        </is>
      </c>
      <c r="V283" t="inlineStr">
        <is>
          <t>Renewal</t>
        </is>
      </c>
      <c r="W283" t="inlineStr">
        <is>
          <t>Fresh water</t>
        </is>
      </c>
      <c r="X283" t="inlineStr">
        <is>
          <t>Lab</t>
        </is>
      </c>
      <c r="Y283" t="n">
        <v>2.0</v>
      </c>
      <c r="Z283" t="inlineStr">
        <is>
          <t>Active ingredient</t>
        </is>
      </c>
      <c r="AA283"/>
      <c r="AB283" t="n">
        <v>6.09E-4</v>
      </c>
      <c r="AC283"/>
      <c r="AD283"/>
      <c r="AE283"/>
      <c r="AF283"/>
      <c r="AG283" t="inlineStr">
        <is>
          <t>AI mg/L</t>
        </is>
      </c>
      <c r="AH283"/>
      <c r="AI283"/>
      <c r="AJ283"/>
      <c r="AK283"/>
      <c r="AL283"/>
      <c r="AM283"/>
      <c r="AN283"/>
      <c r="AO283"/>
      <c r="AP283"/>
      <c r="AQ283"/>
      <c r="AR283"/>
      <c r="AS283"/>
      <c r="AT283"/>
      <c r="AU283"/>
      <c r="AV283"/>
      <c r="AW283"/>
      <c r="AX283" t="inlineStr">
        <is>
          <t>Accumulation</t>
        </is>
      </c>
      <c r="AY283" t="inlineStr">
        <is>
          <t>Residue</t>
        </is>
      </c>
      <c r="AZ283"/>
      <c r="BA283" t="inlineStr">
        <is>
          <t>Multiple entries</t>
        </is>
      </c>
      <c r="BB283" t="inlineStr">
        <is>
          <t>&lt;=</t>
        </is>
      </c>
      <c r="BC283" t="n">
        <v>58.0</v>
      </c>
      <c r="BD283"/>
      <c r="BE283"/>
      <c r="BF283"/>
      <c r="BG283"/>
      <c r="BH283" t="inlineStr">
        <is>
          <t>Day(s)</t>
        </is>
      </c>
      <c r="BI283"/>
      <c r="BJ283"/>
      <c r="BK283"/>
      <c r="BL283"/>
      <c r="BM283"/>
      <c r="BN283"/>
      <c r="BO283" t="inlineStr">
        <is>
          <t>--</t>
        </is>
      </c>
      <c r="BP283"/>
      <c r="BQ283"/>
      <c r="BR283"/>
      <c r="BS283"/>
      <c r="BT283"/>
      <c r="BU283"/>
      <c r="BV283"/>
      <c r="BW283"/>
      <c r="BX283"/>
      <c r="BY283"/>
      <c r="BZ283"/>
      <c r="CA283"/>
      <c r="CB283"/>
      <c r="CC283"/>
      <c r="CD283" t="inlineStr">
        <is>
          <t>Qiang,L., X. Shi, X. Pan, L. Zhu, M. Chen, and Y. Han</t>
        </is>
      </c>
      <c r="CE283" t="n">
        <v>175667.0</v>
      </c>
      <c r="CF283" t="inlineStr">
        <is>
          <t>Facilitated Bioaccumulation of Perfluorooctanesulfonate in Zebrafish by Nano-TiO2 in Two Crystalline Phases</t>
        </is>
      </c>
      <c r="CG283" t="inlineStr">
        <is>
          <t>Environ. Pollut.206:644-651</t>
        </is>
      </c>
      <c r="CH283" t="n">
        <v>2015.0</v>
      </c>
      <c r="CI283" t="inlineStr">
        <is>
          <t>Qiang,L., X. Shi, X. Pan, L. Zhu, M. Chen, and Y. Han (2015). Facilitated Bioaccumulation of Perfluorooctanesulfonate in Zebrafish by Nano-TiO2 in Two Crystalline Phases. Environ. Pollut., 206, 644-651. doi:10.1016/j.envpol.2015.08.032. ECOREF#:175667</t>
        </is>
      </c>
    </row>
    <row r="284">
      <c r="A284" t="n">
        <v>2795393.0</v>
      </c>
      <c r="B284" t="inlineStr">
        <is>
          <t>1,1,2,2,3,3,4,4,5,5,6,6,7,7,8,8,8-Heptadecafluoro-1-octanesulfonic acid potassium salt</t>
        </is>
      </c>
      <c r="C284"/>
      <c r="D284" t="inlineStr">
        <is>
          <t>Measured</t>
        </is>
      </c>
      <c r="E284" t="inlineStr">
        <is>
          <t>&gt;=</t>
        </is>
      </c>
      <c r="F284" t="n">
        <v>98.0</v>
      </c>
      <c r="G284"/>
      <c r="H284"/>
      <c r="I284"/>
      <c r="J284"/>
      <c r="K284" t="inlineStr">
        <is>
          <t>Danio rerio</t>
        </is>
      </c>
      <c r="L284" t="inlineStr">
        <is>
          <t>Zebra Danio</t>
        </is>
      </c>
      <c r="M284" t="inlineStr">
        <is>
          <t>Fish; Standard Test Species</t>
        </is>
      </c>
      <c r="N284" t="inlineStr">
        <is>
          <t>Embryo</t>
        </is>
      </c>
      <c r="O284"/>
      <c r="P284" t="n">
        <v>2.0</v>
      </c>
      <c r="Q284"/>
      <c r="R284"/>
      <c r="S284"/>
      <c r="T284"/>
      <c r="U284" t="inlineStr">
        <is>
          <t>Hours post fertilization</t>
        </is>
      </c>
      <c r="V284" t="inlineStr">
        <is>
          <t>Renewal</t>
        </is>
      </c>
      <c r="W284" t="inlineStr">
        <is>
          <t>Culture</t>
        </is>
      </c>
      <c r="X284" t="inlineStr">
        <is>
          <t>Lab</t>
        </is>
      </c>
      <c r="Y284" t="n">
        <v>4.0</v>
      </c>
      <c r="Z284" t="inlineStr">
        <is>
          <t>Active ingredient</t>
        </is>
      </c>
      <c r="AA284"/>
      <c r="AB284"/>
      <c r="AC284"/>
      <c r="AD284" t="n">
        <v>0.01774</v>
      </c>
      <c r="AE284"/>
      <c r="AF284" t="n">
        <v>2.4709</v>
      </c>
      <c r="AG284" t="inlineStr">
        <is>
          <t>AI mg/L</t>
        </is>
      </c>
      <c r="AH284"/>
      <c r="AI284"/>
      <c r="AJ284"/>
      <c r="AK284"/>
      <c r="AL284"/>
      <c r="AM284"/>
      <c r="AN284"/>
      <c r="AO284"/>
      <c r="AP284"/>
      <c r="AQ284"/>
      <c r="AR284"/>
      <c r="AS284"/>
      <c r="AT284"/>
      <c r="AU284"/>
      <c r="AV284"/>
      <c r="AW284"/>
      <c r="AX284" t="inlineStr">
        <is>
          <t>Accumulation</t>
        </is>
      </c>
      <c r="AY284" t="inlineStr">
        <is>
          <t>Residue</t>
        </is>
      </c>
      <c r="AZ284"/>
      <c r="BA284" t="inlineStr">
        <is>
          <t>Eye</t>
        </is>
      </c>
      <c r="BB284"/>
      <c r="BC284" t="n">
        <v>3.9167</v>
      </c>
      <c r="BD284"/>
      <c r="BE284"/>
      <c r="BF284"/>
      <c r="BG284"/>
      <c r="BH284" t="inlineStr">
        <is>
          <t>Day(s)</t>
        </is>
      </c>
      <c r="BI284"/>
      <c r="BJ284"/>
      <c r="BK284"/>
      <c r="BL284"/>
      <c r="BM284"/>
      <c r="BN284"/>
      <c r="BO284" t="inlineStr">
        <is>
          <t>--</t>
        </is>
      </c>
      <c r="BP284"/>
      <c r="BQ284"/>
      <c r="BR284"/>
      <c r="BS284"/>
      <c r="BT284"/>
      <c r="BU284"/>
      <c r="BV284"/>
      <c r="BW284"/>
      <c r="BX284"/>
      <c r="BY284"/>
      <c r="BZ284"/>
      <c r="CA284"/>
      <c r="CB284"/>
      <c r="CC284"/>
      <c r="CD284" t="inlineStr">
        <is>
          <t>Wu,L.Y., J.L. Zhang, M. Zeeshan, Y. Zhou, Y.T. Zhang, W.T. He, N. Jin, Y. Dai, W. Chi, Z. Ou, G.H. Dong, and L.Z. Lin</t>
        </is>
      </c>
      <c r="CE284" t="n">
        <v>193362.0</v>
      </c>
      <c r="CF284" t="inlineStr">
        <is>
          <t>Caspase-8 Promotes NLRP3 Inflammasome Activation Mediates Eye Development Defects in Zebrafish Larvae Exposed to Perfluorooctane Sulfonate (PFOS)</t>
        </is>
      </c>
      <c r="CG284" t="inlineStr">
        <is>
          <t>Environ. Pollut.356:11 p.</t>
        </is>
      </c>
      <c r="CH284" t="n">
        <v>2024.0</v>
      </c>
      <c r="CI284" t="inlineStr">
        <is>
          <t>Wu,L.Y., J.L. Zhang, M. Zeeshan, Y. Zhou, Y.T. Zhang, W.T. He, N. Jin, Y. Dai, W. Chi, Z. Ou, G.H. Dong, and L.Z. Lin (2024). Caspase-8 Promotes NLRP3 Inflammasome Activation Mediates Eye Development Defects in Zebrafish Larvae Exposed to Perfluorooctane Sulfonate (PFOS). Environ. Pollut., 356, 11 p. ECOREF#:193362</t>
        </is>
      </c>
    </row>
    <row r="285">
      <c r="A285" t="n">
        <v>2795393.0</v>
      </c>
      <c r="B285" t="inlineStr">
        <is>
          <t>1,1,2,2,3,3,4,4,5,5,6,6,7,7,8,8,8-Heptadecafluoro-1-octanesulfonic acid potassium salt</t>
        </is>
      </c>
      <c r="C285"/>
      <c r="D285" t="inlineStr">
        <is>
          <t>Unmeasured</t>
        </is>
      </c>
      <c r="E285" t="inlineStr">
        <is>
          <t>&gt;</t>
        </is>
      </c>
      <c r="F285" t="n">
        <v>98.0</v>
      </c>
      <c r="G285"/>
      <c r="H285"/>
      <c r="I285"/>
      <c r="J285"/>
      <c r="K285" t="inlineStr">
        <is>
          <t>Danio rerio</t>
        </is>
      </c>
      <c r="L285" t="inlineStr">
        <is>
          <t>Zebra Danio</t>
        </is>
      </c>
      <c r="M285" t="inlineStr">
        <is>
          <t>Fish; Standard Test Species</t>
        </is>
      </c>
      <c r="N285" t="inlineStr">
        <is>
          <t>Embryo</t>
        </is>
      </c>
      <c r="O285" t="inlineStr">
        <is>
          <t>~</t>
        </is>
      </c>
      <c r="P285" t="n">
        <v>2.0</v>
      </c>
      <c r="Q285"/>
      <c r="R285"/>
      <c r="S285"/>
      <c r="T285"/>
      <c r="U285" t="inlineStr">
        <is>
          <t>Hours post fertilization</t>
        </is>
      </c>
      <c r="V285" t="inlineStr">
        <is>
          <t>Static</t>
        </is>
      </c>
      <c r="W285" t="inlineStr">
        <is>
          <t>Fresh water</t>
        </is>
      </c>
      <c r="X285" t="inlineStr">
        <is>
          <t>Lab</t>
        </is>
      </c>
      <c r="Y285" t="n">
        <v>3.0</v>
      </c>
      <c r="Z285" t="inlineStr">
        <is>
          <t>Active ingredient</t>
        </is>
      </c>
      <c r="AA285"/>
      <c r="AB285"/>
      <c r="AC285"/>
      <c r="AD285" t="n">
        <v>0.1</v>
      </c>
      <c r="AE285"/>
      <c r="AF285" t="n">
        <v>1.0</v>
      </c>
      <c r="AG285" t="inlineStr">
        <is>
          <t>AI mg/L</t>
        </is>
      </c>
      <c r="AH285"/>
      <c r="AI285"/>
      <c r="AJ285"/>
      <c r="AK285"/>
      <c r="AL285"/>
      <c r="AM285"/>
      <c r="AN285"/>
      <c r="AO285"/>
      <c r="AP285"/>
      <c r="AQ285"/>
      <c r="AR285"/>
      <c r="AS285"/>
      <c r="AT285"/>
      <c r="AU285"/>
      <c r="AV285"/>
      <c r="AW285"/>
      <c r="AX285" t="inlineStr">
        <is>
          <t>Accumulation</t>
        </is>
      </c>
      <c r="AY285" t="inlineStr">
        <is>
          <t>Residue</t>
        </is>
      </c>
      <c r="AZ285"/>
      <c r="BA285" t="inlineStr">
        <is>
          <t>Whole organism</t>
        </is>
      </c>
      <c r="BB285"/>
      <c r="BC285" t="n">
        <v>6.0</v>
      </c>
      <c r="BD285"/>
      <c r="BE285"/>
      <c r="BF285"/>
      <c r="BG285"/>
      <c r="BH285" t="inlineStr">
        <is>
          <t>Day(s) post-fertilization</t>
        </is>
      </c>
      <c r="BI285"/>
      <c r="BJ285"/>
      <c r="BK285"/>
      <c r="BL285"/>
      <c r="BM285"/>
      <c r="BN285"/>
      <c r="BO285" t="inlineStr">
        <is>
          <t>--</t>
        </is>
      </c>
      <c r="BP285"/>
      <c r="BQ285"/>
      <c r="BR285"/>
      <c r="BS285"/>
      <c r="BT285"/>
      <c r="BU285"/>
      <c r="BV285"/>
      <c r="BW285"/>
      <c r="BX285"/>
      <c r="BY285"/>
      <c r="BZ285"/>
      <c r="CA285"/>
      <c r="CB285"/>
      <c r="CC285"/>
      <c r="CD285" t="inlineStr">
        <is>
          <t>Spulber,S., P. Kilian, W.N.W. Ibrahim, N. Onishchenko, M. Ulhaq, L. Norrgren, S. Negri, M. Di Tuccio, and S. Ceccatelli</t>
        </is>
      </c>
      <c r="CE285" t="n">
        <v>181476.0</v>
      </c>
      <c r="CF285" t="inlineStr">
        <is>
          <t>PFOS Induces Behavioral Alterations, Including Spontaneous Hyperactivity that is Corrected by Dexamfetamine in Zebrafish Larvae</t>
        </is>
      </c>
      <c r="CG285" t="inlineStr">
        <is>
          <t>PLoS One9(4): 13 p.</t>
        </is>
      </c>
      <c r="CH285" t="n">
        <v>2014.0</v>
      </c>
      <c r="CI285" t="inlineStr">
        <is>
          <t>Spulber,S., P. Kilian, W.N.W. Ibrahim, N. Onishchenko, M. Ulhaq, L. Norrgren, S. Negri, M. Di Tuccio, and S. Ceccatelli (2014). PFOS Induces Behavioral Alterations, Including Spontaneous Hyperactivity that is Corrected by Dexamfetamine in Zebrafish Larvae. PLoS One, 9, (4), 13 p. doi:10.1371/journal.pone.0094227. ECOREF#:181476</t>
        </is>
      </c>
    </row>
    <row r="286">
      <c r="A286" t="n">
        <v>2795393.0</v>
      </c>
      <c r="B286" t="inlineStr">
        <is>
          <t>1,1,2,2,3,3,4,4,5,5,6,6,7,7,8,8,8-Heptadecafluoro-1-octanesulfonic acid potassium salt</t>
        </is>
      </c>
      <c r="C286" t="inlineStr">
        <is>
          <t>Technical grade, technical product, technical formulation</t>
        </is>
      </c>
      <c r="D286" t="inlineStr">
        <is>
          <t>Unmeasured</t>
        </is>
      </c>
      <c r="E286"/>
      <c r="F286" t="n">
        <v>98.0</v>
      </c>
      <c r="G286"/>
      <c r="H286"/>
      <c r="I286"/>
      <c r="J286"/>
      <c r="K286" t="inlineStr">
        <is>
          <t>Danio rerio</t>
        </is>
      </c>
      <c r="L286" t="inlineStr">
        <is>
          <t>Zebra Danio</t>
        </is>
      </c>
      <c r="M286" t="inlineStr">
        <is>
          <t>Fish; Standard Test Species</t>
        </is>
      </c>
      <c r="N286" t="inlineStr">
        <is>
          <t>Adult</t>
        </is>
      </c>
      <c r="O286"/>
      <c r="P286"/>
      <c r="Q286"/>
      <c r="R286"/>
      <c r="S286"/>
      <c r="T286"/>
      <c r="U286"/>
      <c r="V286" t="inlineStr">
        <is>
          <t>Renewal</t>
        </is>
      </c>
      <c r="W286" t="inlineStr">
        <is>
          <t>Fresh water</t>
        </is>
      </c>
      <c r="X286" t="inlineStr">
        <is>
          <t>Lab</t>
        </is>
      </c>
      <c r="Y286" t="n">
        <v>3.0</v>
      </c>
      <c r="Z286" t="inlineStr">
        <is>
          <t>Active ingredient</t>
        </is>
      </c>
      <c r="AA286"/>
      <c r="AB286" t="n">
        <v>2.0</v>
      </c>
      <c r="AC286"/>
      <c r="AD286"/>
      <c r="AE286"/>
      <c r="AF286"/>
      <c r="AG286" t="inlineStr">
        <is>
          <t>AI mg/L</t>
        </is>
      </c>
      <c r="AH286"/>
      <c r="AI286"/>
      <c r="AJ286"/>
      <c r="AK286"/>
      <c r="AL286"/>
      <c r="AM286"/>
      <c r="AN286"/>
      <c r="AO286"/>
      <c r="AP286"/>
      <c r="AQ286"/>
      <c r="AR286"/>
      <c r="AS286"/>
      <c r="AT286"/>
      <c r="AU286"/>
      <c r="AV286"/>
      <c r="AW286"/>
      <c r="AX286" t="inlineStr">
        <is>
          <t>Accumulation</t>
        </is>
      </c>
      <c r="AY286" t="inlineStr">
        <is>
          <t>Multiple measurement terms entered</t>
        </is>
      </c>
      <c r="AZ286"/>
      <c r="BA286" t="inlineStr">
        <is>
          <t>Multiple entries</t>
        </is>
      </c>
      <c r="BB286"/>
      <c r="BC286" t="n">
        <v>14.0</v>
      </c>
      <c r="BD286"/>
      <c r="BE286"/>
      <c r="BF286"/>
      <c r="BG286"/>
      <c r="BH286" t="inlineStr">
        <is>
          <t>Day(s)</t>
        </is>
      </c>
      <c r="BI286"/>
      <c r="BJ286"/>
      <c r="BK286"/>
      <c r="BL286"/>
      <c r="BM286"/>
      <c r="BN286"/>
      <c r="BO286" t="inlineStr">
        <is>
          <t>--</t>
        </is>
      </c>
      <c r="BP286"/>
      <c r="BQ286"/>
      <c r="BR286"/>
      <c r="BS286"/>
      <c r="BT286"/>
      <c r="BU286"/>
      <c r="BV286"/>
      <c r="BW286"/>
      <c r="BX286"/>
      <c r="BY286"/>
      <c r="BZ286"/>
      <c r="CA286"/>
      <c r="CB286"/>
      <c r="CC286"/>
      <c r="CD286" t="inlineStr">
        <is>
          <t>Sharpe,R.L., J.P. Benskin, A.H. Laarman, S.L. MacLeod, J.W. Martin, C.S. Wong, and G.G. Goss</t>
        </is>
      </c>
      <c r="CE286" t="n">
        <v>151619.0</v>
      </c>
      <c r="CF286" t="inlineStr">
        <is>
          <t>Perfluorooctane Sulfonate Toxicity, Isomer-Specific Accumulation, and Maternal Transfer in Zebrafish (Danio rerio) and Rainbow Trout (Oncorhynchus mykiss)</t>
        </is>
      </c>
      <c r="CG286" t="inlineStr">
        <is>
          <t>Environ. Toxicol. Chem.29(9): 1957-1966</t>
        </is>
      </c>
      <c r="CH286" t="n">
        <v>2010.0</v>
      </c>
      <c r="CI286" t="inlineStr">
        <is>
          <t>Sharpe,R.L., J.P. Benskin, A.H. Laarman, S.L. MacLeod, J.W. Martin, C.S. Wong, and G.G. Goss (2010). Perfluorooctane Sulfonate Toxicity, Isomer-Specific Accumulation, and Maternal Transfer in Zebrafish (Danio rerio) and Rainbow Trout (Oncorhynchus mykiss). Environ. Toxicol. Chem., 29, (9), 1957-1966. doi:10.1002/etc.257. ECOREF#:151619</t>
        </is>
      </c>
    </row>
    <row r="287">
      <c r="A287" t="n">
        <v>2795393.0</v>
      </c>
      <c r="B287" t="inlineStr">
        <is>
          <t>1,1,2,2,3,3,4,4,5,5,6,6,7,7,8,8,8-Heptadecafluoro-1-octanesulfonic acid potassium salt</t>
        </is>
      </c>
      <c r="C287"/>
      <c r="D287" t="inlineStr">
        <is>
          <t>Measured</t>
        </is>
      </c>
      <c r="E287" t="inlineStr">
        <is>
          <t>&gt;=</t>
        </is>
      </c>
      <c r="F287" t="n">
        <v>98.0</v>
      </c>
      <c r="G287"/>
      <c r="H287"/>
      <c r="I287"/>
      <c r="J287"/>
      <c r="K287" t="inlineStr">
        <is>
          <t>Pimephales promelas</t>
        </is>
      </c>
      <c r="L287" t="inlineStr">
        <is>
          <t>Fathead Minnow</t>
        </is>
      </c>
      <c r="M287" t="inlineStr">
        <is>
          <t>Fish; Standard Test Species</t>
        </is>
      </c>
      <c r="N287" t="inlineStr">
        <is>
          <t>Sexually mature</t>
        </is>
      </c>
      <c r="O287"/>
      <c r="P287" t="n">
        <v>5.0</v>
      </c>
      <c r="Q287"/>
      <c r="R287"/>
      <c r="S287"/>
      <c r="T287"/>
      <c r="U287" t="inlineStr">
        <is>
          <t>Month(s)</t>
        </is>
      </c>
      <c r="V287" t="inlineStr">
        <is>
          <t>Renewal</t>
        </is>
      </c>
      <c r="W287" t="inlineStr">
        <is>
          <t>Fresh water</t>
        </is>
      </c>
      <c r="X287" t="inlineStr">
        <is>
          <t>Lab</t>
        </is>
      </c>
      <c r="Y287" t="n">
        <v>5.0</v>
      </c>
      <c r="Z287" t="inlineStr">
        <is>
          <t>Active ingredient</t>
        </is>
      </c>
      <c r="AA287"/>
      <c r="AB287"/>
      <c r="AC287"/>
      <c r="AD287" t="n">
        <v>0.044</v>
      </c>
      <c r="AE287"/>
      <c r="AF287" t="n">
        <v>0.231</v>
      </c>
      <c r="AG287" t="inlineStr">
        <is>
          <t>AI mg/L</t>
        </is>
      </c>
      <c r="AH287"/>
      <c r="AI287"/>
      <c r="AJ287"/>
      <c r="AK287"/>
      <c r="AL287"/>
      <c r="AM287"/>
      <c r="AN287"/>
      <c r="AO287"/>
      <c r="AP287"/>
      <c r="AQ287"/>
      <c r="AR287"/>
      <c r="AS287"/>
      <c r="AT287"/>
      <c r="AU287"/>
      <c r="AV287"/>
      <c r="AW287"/>
      <c r="AX287" t="inlineStr">
        <is>
          <t>Accumulation</t>
        </is>
      </c>
      <c r="AY287" t="inlineStr">
        <is>
          <t>Residue</t>
        </is>
      </c>
      <c r="AZ287"/>
      <c r="BA287" t="inlineStr">
        <is>
          <t>Multiple entries</t>
        </is>
      </c>
      <c r="BB287"/>
      <c r="BC287" t="n">
        <v>42.0</v>
      </c>
      <c r="BD287"/>
      <c r="BE287"/>
      <c r="BF287"/>
      <c r="BG287"/>
      <c r="BH287" t="inlineStr">
        <is>
          <t>Day(s)</t>
        </is>
      </c>
      <c r="BI287"/>
      <c r="BJ287"/>
      <c r="BK287"/>
      <c r="BL287"/>
      <c r="BM287"/>
      <c r="BN287"/>
      <c r="BO287" t="inlineStr">
        <is>
          <t>--</t>
        </is>
      </c>
      <c r="BP287"/>
      <c r="BQ287"/>
      <c r="BR287"/>
      <c r="BS287"/>
      <c r="BT287"/>
      <c r="BU287"/>
      <c r="BV287"/>
      <c r="BW287"/>
      <c r="BX287"/>
      <c r="BY287"/>
      <c r="BZ287"/>
      <c r="CA287"/>
      <c r="CB287"/>
      <c r="CC287"/>
      <c r="CD287" t="inlineStr">
        <is>
          <t>Suski,J.G., C.J. Salice, M.K. Chanov, J. Ayers, J. Rewerts, and J. Field</t>
        </is>
      </c>
      <c r="CE287" t="n">
        <v>185548.0</v>
      </c>
      <c r="CF287" t="inlineStr">
        <is>
          <t>Sensitivity and Accumulation of Perfluorooctanesulfonate and Perfluorohexanesulfonic Acid in Fathead Minnows (Pimephales promelas) Exposed over Critical Life Stages of Reproduction and Development</t>
        </is>
      </c>
      <c r="CG287" t="inlineStr">
        <is>
          <t>Environ. Toxicol. Chem.40(3): 811-819</t>
        </is>
      </c>
      <c r="CH287" t="n">
        <v>2021.0</v>
      </c>
      <c r="CI287"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288">
      <c r="A288" t="n">
        <v>2795393.0</v>
      </c>
      <c r="B288" t="inlineStr">
        <is>
          <t>1,1,2,2,3,3,4,4,5,5,6,6,7,7,8,8,8-Heptadecafluoro-1-octanesulfonic acid potassium salt</t>
        </is>
      </c>
      <c r="C288"/>
      <c r="D288" t="inlineStr">
        <is>
          <t>Measured</t>
        </is>
      </c>
      <c r="E288" t="inlineStr">
        <is>
          <t>&gt;=</t>
        </is>
      </c>
      <c r="F288" t="n">
        <v>98.0</v>
      </c>
      <c r="G288"/>
      <c r="H288"/>
      <c r="I288"/>
      <c r="J288"/>
      <c r="K288" t="inlineStr">
        <is>
          <t>Pimephales promelas</t>
        </is>
      </c>
      <c r="L288" t="inlineStr">
        <is>
          <t>Fathead Minnow</t>
        </is>
      </c>
      <c r="M288" t="inlineStr">
        <is>
          <t>Fish; Standard Test Species</t>
        </is>
      </c>
      <c r="N288" t="inlineStr">
        <is>
          <t>Sexually mature</t>
        </is>
      </c>
      <c r="O288"/>
      <c r="P288" t="n">
        <v>5.0</v>
      </c>
      <c r="Q288"/>
      <c r="R288"/>
      <c r="S288"/>
      <c r="T288"/>
      <c r="U288" t="inlineStr">
        <is>
          <t>Month(s)</t>
        </is>
      </c>
      <c r="V288" t="inlineStr">
        <is>
          <t>Renewal</t>
        </is>
      </c>
      <c r="W288" t="inlineStr">
        <is>
          <t>Fresh water</t>
        </is>
      </c>
      <c r="X288" t="inlineStr">
        <is>
          <t>Lab</t>
        </is>
      </c>
      <c r="Y288" t="n">
        <v>5.0</v>
      </c>
      <c r="Z288" t="inlineStr">
        <is>
          <t>Active ingredient</t>
        </is>
      </c>
      <c r="AA288"/>
      <c r="AB288"/>
      <c r="AC288"/>
      <c r="AD288" t="n">
        <v>0.044</v>
      </c>
      <c r="AE288"/>
      <c r="AF288" t="n">
        <v>0.231</v>
      </c>
      <c r="AG288" t="inlineStr">
        <is>
          <t>AI mg/L</t>
        </is>
      </c>
      <c r="AH288"/>
      <c r="AI288"/>
      <c r="AJ288"/>
      <c r="AK288"/>
      <c r="AL288"/>
      <c r="AM288"/>
      <c r="AN288"/>
      <c r="AO288"/>
      <c r="AP288"/>
      <c r="AQ288"/>
      <c r="AR288"/>
      <c r="AS288"/>
      <c r="AT288"/>
      <c r="AU288"/>
      <c r="AV288"/>
      <c r="AW288"/>
      <c r="AX288" t="inlineStr">
        <is>
          <t>Accumulation</t>
        </is>
      </c>
      <c r="AY288" t="inlineStr">
        <is>
          <t>Residue</t>
        </is>
      </c>
      <c r="AZ288"/>
      <c r="BA288" t="inlineStr">
        <is>
          <t>Liver</t>
        </is>
      </c>
      <c r="BB288"/>
      <c r="BC288" t="n">
        <v>42.0</v>
      </c>
      <c r="BD288"/>
      <c r="BE288"/>
      <c r="BF288"/>
      <c r="BG288"/>
      <c r="BH288" t="inlineStr">
        <is>
          <t>Day(s)</t>
        </is>
      </c>
      <c r="BI288"/>
      <c r="BJ288"/>
      <c r="BK288"/>
      <c r="BL288"/>
      <c r="BM288"/>
      <c r="BN288"/>
      <c r="BO288" t="inlineStr">
        <is>
          <t>--</t>
        </is>
      </c>
      <c r="BP288"/>
      <c r="BQ288"/>
      <c r="BR288"/>
      <c r="BS288"/>
      <c r="BT288"/>
      <c r="BU288"/>
      <c r="BV288"/>
      <c r="BW288"/>
      <c r="BX288"/>
      <c r="BY288"/>
      <c r="BZ288"/>
      <c r="CA288"/>
      <c r="CB288"/>
      <c r="CC288"/>
      <c r="CD288" t="inlineStr">
        <is>
          <t>Suski,J.G., C.J. Salice, M.K. Chanov, J. Ayers, J. Rewerts, and J. Field</t>
        </is>
      </c>
      <c r="CE288" t="n">
        <v>185548.0</v>
      </c>
      <c r="CF288" t="inlineStr">
        <is>
          <t>Sensitivity and Accumulation of Perfluorooctanesulfonate and Perfluorohexanesulfonic Acid in Fathead Minnows (Pimephales promelas) Exposed over Critical Life Stages of Reproduction and Development</t>
        </is>
      </c>
      <c r="CG288" t="inlineStr">
        <is>
          <t>Environ. Toxicol. Chem.40(3): 811-819</t>
        </is>
      </c>
      <c r="CH288" t="n">
        <v>2021.0</v>
      </c>
      <c r="CI288"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289">
      <c r="A289" t="n">
        <v>2795393.0</v>
      </c>
      <c r="B289" t="inlineStr">
        <is>
          <t>1,1,2,2,3,3,4,4,5,5,6,6,7,7,8,8,8-Heptadecafluoro-1-octanesulfonic acid potassium salt</t>
        </is>
      </c>
      <c r="C289" t="inlineStr">
        <is>
          <t>Analytical grade</t>
        </is>
      </c>
      <c r="D289" t="inlineStr">
        <is>
          <t>Measured</t>
        </is>
      </c>
      <c r="E289" t="inlineStr">
        <is>
          <t>&gt;</t>
        </is>
      </c>
      <c r="F289" t="n">
        <v>99.0</v>
      </c>
      <c r="G289"/>
      <c r="H289"/>
      <c r="I289"/>
      <c r="J289"/>
      <c r="K289" t="inlineStr">
        <is>
          <t>Cyprinodon variegatus</t>
        </is>
      </c>
      <c r="L289" t="inlineStr">
        <is>
          <t>Sheepshead Minnow</t>
        </is>
      </c>
      <c r="M289" t="inlineStr">
        <is>
          <t>Fish; Standard Test Species</t>
        </is>
      </c>
      <c r="N289" t="inlineStr">
        <is>
          <t>Larva</t>
        </is>
      </c>
      <c r="O289"/>
      <c r="P289"/>
      <c r="Q289"/>
      <c r="R289"/>
      <c r="S289"/>
      <c r="T289"/>
      <c r="U289"/>
      <c r="V289" t="inlineStr">
        <is>
          <t>Static</t>
        </is>
      </c>
      <c r="W289" t="inlineStr">
        <is>
          <t>Salt water</t>
        </is>
      </c>
      <c r="X289" t="inlineStr">
        <is>
          <t>Lab</t>
        </is>
      </c>
      <c r="Y289" t="n">
        <v>6.0</v>
      </c>
      <c r="Z289" t="inlineStr">
        <is>
          <t>Active ingredient</t>
        </is>
      </c>
      <c r="AA289"/>
      <c r="AB289"/>
      <c r="AC289"/>
      <c r="AD289" t="n">
        <v>0.06237</v>
      </c>
      <c r="AE289"/>
      <c r="AF289" t="n">
        <v>7.80577</v>
      </c>
      <c r="AG289" t="inlineStr">
        <is>
          <t>AI mg/L</t>
        </is>
      </c>
      <c r="AH289"/>
      <c r="AI289"/>
      <c r="AJ289"/>
      <c r="AK289"/>
      <c r="AL289"/>
      <c r="AM289"/>
      <c r="AN289"/>
      <c r="AO289"/>
      <c r="AP289"/>
      <c r="AQ289"/>
      <c r="AR289"/>
      <c r="AS289"/>
      <c r="AT289"/>
      <c r="AU289"/>
      <c r="AV289"/>
      <c r="AW289"/>
      <c r="AX289" t="inlineStr">
        <is>
          <t>Accumulation</t>
        </is>
      </c>
      <c r="AY289" t="inlineStr">
        <is>
          <t>Residue</t>
        </is>
      </c>
      <c r="AZ289"/>
      <c r="BA289" t="inlineStr">
        <is>
          <t>Whole organism</t>
        </is>
      </c>
      <c r="BB289"/>
      <c r="BC289" t="n">
        <v>4.0</v>
      </c>
      <c r="BD289"/>
      <c r="BE289"/>
      <c r="BF289"/>
      <c r="BG289"/>
      <c r="BH289" t="inlineStr">
        <is>
          <t>Day(s)</t>
        </is>
      </c>
      <c r="BI289"/>
      <c r="BJ289"/>
      <c r="BK289"/>
      <c r="BL289"/>
      <c r="BM289"/>
      <c r="BN289"/>
      <c r="BO289" t="inlineStr">
        <is>
          <t>--</t>
        </is>
      </c>
      <c r="BP289"/>
      <c r="BQ289"/>
      <c r="BR289"/>
      <c r="BS289"/>
      <c r="BT289"/>
      <c r="BU289"/>
      <c r="BV289"/>
      <c r="BW289"/>
      <c r="BX289"/>
      <c r="BY289"/>
      <c r="BZ289"/>
      <c r="CA289"/>
      <c r="CB289"/>
      <c r="CC289"/>
      <c r="CD289" t="inlineStr">
        <is>
          <t>Burcham,L.E., T.D. Hoskins, E.B. Allmon, M.N. Scherer, A.G. Bushong, M.T. Hamilton, S. Macheri, G.S. Coogan, Y.J. Choi,</t>
        </is>
      </c>
      <c r="CE289" t="n">
        <v>193776.0</v>
      </c>
      <c r="CF289" t="inlineStr">
        <is>
          <t>Does Salinity Mediate the Toxicity of Perfluorooctanesulfonic Acid (PFOS) in an Estuarine Fish?</t>
        </is>
      </c>
      <c r="CG289" t="inlineStr">
        <is>
          <t>Mar. Pollut. Bull.203:7 p.</t>
        </is>
      </c>
      <c r="CH289" t="n">
        <v>2024.0</v>
      </c>
      <c r="CI289" t="inlineStr">
        <is>
          <t>Burcham,L.E., T.D. Hoskins, E.B. Allmon, M.N. Scherer, A.G. Bushong, M.T. Hamilton, S. Macheri, G.S. Coogan, Y.J. Choi, (2024). Does Salinity Mediate the Toxicity of Perfluorooctanesulfonic Acid (PFOS) in an Estuarine Fish?. Mar. Pollut. Bull., 203, 7 p. doi:10.1016/j.marpolbul.2024.116446. ECOREF#:193776</t>
        </is>
      </c>
    </row>
    <row r="290">
      <c r="A290" t="n">
        <v>2795393.0</v>
      </c>
      <c r="B290" t="inlineStr">
        <is>
          <t>1,1,2,2,3,3,4,4,5,5,6,6,7,7,8,8,8-Heptadecafluoro-1-octanesulfonic acid potassium salt</t>
        </is>
      </c>
      <c r="C290"/>
      <c r="D290" t="inlineStr">
        <is>
          <t>Unmeasured</t>
        </is>
      </c>
      <c r="E290"/>
      <c r="F290"/>
      <c r="G290"/>
      <c r="H290"/>
      <c r="I290"/>
      <c r="J290"/>
      <c r="K290" t="inlineStr">
        <is>
          <t>Danio rerio</t>
        </is>
      </c>
      <c r="L290" t="inlineStr">
        <is>
          <t>Zebra Danio</t>
        </is>
      </c>
      <c r="M290" t="inlineStr">
        <is>
          <t>Fish; Standard Test Species</t>
        </is>
      </c>
      <c r="N290" t="inlineStr">
        <is>
          <t>Embryo</t>
        </is>
      </c>
      <c r="O290"/>
      <c r="P290" t="n">
        <v>3.0</v>
      </c>
      <c r="Q290"/>
      <c r="R290"/>
      <c r="S290"/>
      <c r="T290"/>
      <c r="U290" t="inlineStr">
        <is>
          <t>Hours post fertilization</t>
        </is>
      </c>
      <c r="V290" t="inlineStr">
        <is>
          <t>Renewal</t>
        </is>
      </c>
      <c r="W290" t="inlineStr">
        <is>
          <t>Culture</t>
        </is>
      </c>
      <c r="X290" t="inlineStr">
        <is>
          <t>Lab</t>
        </is>
      </c>
      <c r="Y290" t="n">
        <v>3.0</v>
      </c>
      <c r="Z290" t="inlineStr">
        <is>
          <t>Formulation</t>
        </is>
      </c>
      <c r="AA290"/>
      <c r="AB290"/>
      <c r="AC290"/>
      <c r="AD290" t="n">
        <v>0.5392253</v>
      </c>
      <c r="AE290"/>
      <c r="AF290" t="n">
        <v>1.0784506</v>
      </c>
      <c r="AG290" t="inlineStr">
        <is>
          <t>AI mg/L</t>
        </is>
      </c>
      <c r="AH290"/>
      <c r="AI290"/>
      <c r="AJ290"/>
      <c r="AK290"/>
      <c r="AL290"/>
      <c r="AM290"/>
      <c r="AN290"/>
      <c r="AO290"/>
      <c r="AP290"/>
      <c r="AQ290"/>
      <c r="AR290"/>
      <c r="AS290"/>
      <c r="AT290"/>
      <c r="AU290"/>
      <c r="AV290"/>
      <c r="AW290"/>
      <c r="AX290" t="inlineStr">
        <is>
          <t>Accumulation</t>
        </is>
      </c>
      <c r="AY290" t="inlineStr">
        <is>
          <t>Residue</t>
        </is>
      </c>
      <c r="AZ290"/>
      <c r="BA290" t="inlineStr">
        <is>
          <t>Whole organism</t>
        </is>
      </c>
      <c r="BB290"/>
      <c r="BC290"/>
      <c r="BD290"/>
      <c r="BE290" t="n">
        <v>3.875</v>
      </c>
      <c r="BF290"/>
      <c r="BG290" t="n">
        <v>8.875</v>
      </c>
      <c r="BH290" t="inlineStr">
        <is>
          <t>Day(s)</t>
        </is>
      </c>
      <c r="BI290"/>
      <c r="BJ290"/>
      <c r="BK290"/>
      <c r="BL290"/>
      <c r="BM290"/>
      <c r="BN290"/>
      <c r="BO290" t="inlineStr">
        <is>
          <t>--</t>
        </is>
      </c>
      <c r="BP290"/>
      <c r="BQ290"/>
      <c r="BR290"/>
      <c r="BS290"/>
      <c r="BT290"/>
      <c r="BU290"/>
      <c r="BV290"/>
      <c r="BW290"/>
      <c r="BX290"/>
      <c r="BY290"/>
      <c r="BZ290"/>
      <c r="CA290"/>
      <c r="CB290"/>
      <c r="CC290"/>
      <c r="CD290" t="inlineStr">
        <is>
          <t>Tompach,M.C., C.K. Gridley, M. Marin, P.F. Murphy, J. Lee, J.M. Clark, and A.R. Timme-Laragy</t>
        </is>
      </c>
      <c r="CE290" t="n">
        <v>195287.0</v>
      </c>
      <c r="CF290" t="inlineStr">
        <is>
          <t>Developmental Perfluorooctanesulfonic Acid Exposure Impairs Exocrine Pancreas Function in Zebrafish (Danio rerio)</t>
        </is>
      </c>
      <c r="CG290" t="inlineStr">
        <is>
          <t>Toxicol. Sci.206(1): 46-57</t>
        </is>
      </c>
      <c r="CH290" t="n">
        <v>2025.0</v>
      </c>
      <c r="CI290" t="inlineStr">
        <is>
          <t>Tompach,M.C., C.K. Gridley, M. Marin, P.F. Murphy, J. Lee, J.M. Clark, and A.R. Timme-Laragy (2025). Developmental Perfluorooctanesulfonic Acid Exposure Impairs Exocrine Pancreas Function in Zebrafish (Danio rerio). Toxicol. Sci., 206, (1), 46-57. ECOREF#:195287</t>
        </is>
      </c>
    </row>
    <row r="291">
      <c r="A291" t="n">
        <v>2795393.0</v>
      </c>
      <c r="B291" t="inlineStr">
        <is>
          <t>1,1,2,2,3,3,4,4,5,5,6,6,7,7,8,8,8-Heptadecafluoro-1-octanesulfonic acid potassium salt</t>
        </is>
      </c>
      <c r="C291"/>
      <c r="D291" t="inlineStr">
        <is>
          <t>Unmeasured</t>
        </is>
      </c>
      <c r="E291"/>
      <c r="F291" t="n">
        <v>86.0</v>
      </c>
      <c r="G291"/>
      <c r="H291"/>
      <c r="I291"/>
      <c r="J291"/>
      <c r="K291" t="inlineStr">
        <is>
          <t>Carassius auratus</t>
        </is>
      </c>
      <c r="L291" t="inlineStr">
        <is>
          <t>Goldfish</t>
        </is>
      </c>
      <c r="M291" t="inlineStr">
        <is>
          <t>Fish; Standard Test Species</t>
        </is>
      </c>
      <c r="N291"/>
      <c r="O291"/>
      <c r="P291"/>
      <c r="Q291"/>
      <c r="R291"/>
      <c r="S291"/>
      <c r="T291"/>
      <c r="U291"/>
      <c r="V291" t="inlineStr">
        <is>
          <t>Renewal</t>
        </is>
      </c>
      <c r="W291" t="inlineStr">
        <is>
          <t>Fresh water</t>
        </is>
      </c>
      <c r="X291" t="inlineStr">
        <is>
          <t>Lab</t>
        </is>
      </c>
      <c r="Y291" t="n">
        <v>5.0</v>
      </c>
      <c r="Z291" t="inlineStr">
        <is>
          <t>Active ingredient</t>
        </is>
      </c>
      <c r="AA291"/>
      <c r="AB291"/>
      <c r="AC291"/>
      <c r="AD291" t="n">
        <v>1.0</v>
      </c>
      <c r="AE291"/>
      <c r="AF291" t="n">
        <v>3.0</v>
      </c>
      <c r="AG291" t="inlineStr">
        <is>
          <t>AI mg/L</t>
        </is>
      </c>
      <c r="AH291"/>
      <c r="AI291"/>
      <c r="AJ291"/>
      <c r="AK291"/>
      <c r="AL291"/>
      <c r="AM291"/>
      <c r="AN291"/>
      <c r="AO291"/>
      <c r="AP291"/>
      <c r="AQ291"/>
      <c r="AR291"/>
      <c r="AS291"/>
      <c r="AT291"/>
      <c r="AU291"/>
      <c r="AV291"/>
      <c r="AW291"/>
      <c r="AX291" t="inlineStr">
        <is>
          <t>Accumulation</t>
        </is>
      </c>
      <c r="AY291" t="inlineStr">
        <is>
          <t>Residue</t>
        </is>
      </c>
      <c r="AZ291"/>
      <c r="BA291" t="inlineStr">
        <is>
          <t>Multiple entries</t>
        </is>
      </c>
      <c r="BB291" t="inlineStr">
        <is>
          <t>&lt;=</t>
        </is>
      </c>
      <c r="BC291" t="n">
        <v>12.0</v>
      </c>
      <c r="BD291"/>
      <c r="BE291"/>
      <c r="BF291"/>
      <c r="BG291"/>
      <c r="BH291" t="inlineStr">
        <is>
          <t>Day(s)</t>
        </is>
      </c>
      <c r="BI291"/>
      <c r="BJ291"/>
      <c r="BK291"/>
      <c r="BL291"/>
      <c r="BM291"/>
      <c r="BN291"/>
      <c r="BO291" t="inlineStr">
        <is>
          <t>--</t>
        </is>
      </c>
      <c r="BP291"/>
      <c r="BQ291"/>
      <c r="BR291"/>
      <c r="BS291"/>
      <c r="BT291"/>
      <c r="BU291"/>
      <c r="BV291"/>
      <c r="BW291"/>
      <c r="BX291"/>
      <c r="BY291"/>
      <c r="BZ291"/>
      <c r="CA291"/>
      <c r="CB291"/>
      <c r="CC291"/>
      <c r="CD291" t="inlineStr">
        <is>
          <t>Han,Z.X., C.X. Lv, and Z.R. Zheng</t>
        </is>
      </c>
      <c r="CE291" t="n">
        <v>181115.0</v>
      </c>
      <c r="CF291" t="inlineStr">
        <is>
          <t>Effects of Perfluorooctane Sulfonate on Carassius aurats and Kinetics Models</t>
        </is>
      </c>
      <c r="CG291" t="inlineStr">
        <is>
          <t>Int. J. Green Nanotech. Biomed.1(1): B60-B68</t>
        </is>
      </c>
      <c r="CH291" t="n">
        <v>2009.0</v>
      </c>
      <c r="CI291" t="inlineStr">
        <is>
          <t>Han,Z.X., C.X. Lv, and Z.R. Zheng (2009). Effects of Perfluorooctane Sulfonate on Carassius aurats and Kinetics Models. Int. J. Green Nanotech. Biomed., 1, (1), B60-B68. ECOREF#:181115</t>
        </is>
      </c>
    </row>
    <row r="292">
      <c r="A292" t="n">
        <v>2795393.0</v>
      </c>
      <c r="B292" t="inlineStr">
        <is>
          <t>1,1,2,2,3,3,4,4,5,5,6,6,7,7,8,8,8-Heptadecafluoro-1-octanesulfonic acid potassium salt</t>
        </is>
      </c>
      <c r="C292"/>
      <c r="D292" t="inlineStr">
        <is>
          <t>Measured</t>
        </is>
      </c>
      <c r="E292" t="inlineStr">
        <is>
          <t>&gt;=</t>
        </is>
      </c>
      <c r="F292" t="n">
        <v>98.0</v>
      </c>
      <c r="G292"/>
      <c r="H292"/>
      <c r="I292"/>
      <c r="J292"/>
      <c r="K292" t="inlineStr">
        <is>
          <t>Danio rerio</t>
        </is>
      </c>
      <c r="L292" t="inlineStr">
        <is>
          <t>Zebra Danio</t>
        </is>
      </c>
      <c r="M292" t="inlineStr">
        <is>
          <t>Fish; Standard Test Species</t>
        </is>
      </c>
      <c r="N292" t="inlineStr">
        <is>
          <t>Embryo</t>
        </is>
      </c>
      <c r="O292"/>
      <c r="P292" t="n">
        <v>2.0</v>
      </c>
      <c r="Q292"/>
      <c r="R292"/>
      <c r="S292"/>
      <c r="T292"/>
      <c r="U292" t="inlineStr">
        <is>
          <t>Hours post fertilization</t>
        </is>
      </c>
      <c r="V292" t="inlineStr">
        <is>
          <t>Renewal</t>
        </is>
      </c>
      <c r="W292" t="inlineStr">
        <is>
          <t>Fresh water</t>
        </is>
      </c>
      <c r="X292" t="inlineStr">
        <is>
          <t>Lab</t>
        </is>
      </c>
      <c r="Y292" t="n">
        <v>4.0</v>
      </c>
      <c r="Z292" t="inlineStr">
        <is>
          <t>Active ingredient</t>
        </is>
      </c>
      <c r="AA292"/>
      <c r="AB292"/>
      <c r="AC292"/>
      <c r="AD292" t="n">
        <v>0.01968</v>
      </c>
      <c r="AE292"/>
      <c r="AF292" t="n">
        <v>2.46563</v>
      </c>
      <c r="AG292" t="inlineStr">
        <is>
          <t>AI mg/L</t>
        </is>
      </c>
      <c r="AH292"/>
      <c r="AI292"/>
      <c r="AJ292"/>
      <c r="AK292"/>
      <c r="AL292"/>
      <c r="AM292"/>
      <c r="AN292"/>
      <c r="AO292"/>
      <c r="AP292"/>
      <c r="AQ292"/>
      <c r="AR292"/>
      <c r="AS292"/>
      <c r="AT292"/>
      <c r="AU292"/>
      <c r="AV292"/>
      <c r="AW292"/>
      <c r="AX292" t="inlineStr">
        <is>
          <t>Accumulation</t>
        </is>
      </c>
      <c r="AY292" t="inlineStr">
        <is>
          <t>Residue</t>
        </is>
      </c>
      <c r="AZ292"/>
      <c r="BA292" t="inlineStr">
        <is>
          <t>Whole organism</t>
        </is>
      </c>
      <c r="BB292"/>
      <c r="BC292" t="n">
        <v>4.9167</v>
      </c>
      <c r="BD292"/>
      <c r="BE292"/>
      <c r="BF292"/>
      <c r="BG292"/>
      <c r="BH292" t="inlineStr">
        <is>
          <t>Day(s)</t>
        </is>
      </c>
      <c r="BI292"/>
      <c r="BJ292"/>
      <c r="BK292"/>
      <c r="BL292"/>
      <c r="BM292"/>
      <c r="BN292"/>
      <c r="BO292" t="inlineStr">
        <is>
          <t>--</t>
        </is>
      </c>
      <c r="BP292"/>
      <c r="BQ292"/>
      <c r="BR292"/>
      <c r="BS292"/>
      <c r="BT292"/>
      <c r="BU292"/>
      <c r="BV292"/>
      <c r="BW292"/>
      <c r="BX292"/>
      <c r="BY292"/>
      <c r="BZ292"/>
      <c r="CA292"/>
      <c r="CB292"/>
      <c r="CC292"/>
      <c r="CD292" t="inlineStr">
        <is>
          <t>Wu,L.Y., Y. Dang, L.X. Liang, Y.C. Gong, M. Zeeshan, Z.M. Qian, S.D. Geiger, M.G. Vaughn, Y. Zhou, Q.Q. Li, C. Chu, Y.W</t>
        </is>
      </c>
      <c r="CE292" t="n">
        <v>188755.0</v>
      </c>
      <c r="CF292" t="inlineStr">
        <is>
          <t>Perfluorooctane Sulfonates Induces Neurobehavioral Changes and Increases Dopamine Neurotransmitter Levels in Zebrafish Larvae</t>
        </is>
      </c>
      <c r="CG292" t="inlineStr">
        <is>
          <t>Chemosphere297:9 p.</t>
        </is>
      </c>
      <c r="CH292" t="n">
        <v>2022.0</v>
      </c>
      <c r="CI292" t="inlineStr">
        <is>
          <t>Wu,L.Y., Y. Dang, L.X. Liang, Y.C. Gong, M. Zeeshan, Z.M. Qian, S.D. Geiger, M.G. Vaughn, Y. Zhou, Q.Q. Li, C. Chu, Y.W (2022). Perfluorooctane Sulfonates Induces Neurobehavioral Changes and Increases Dopamine Neurotransmitter Levels in Zebrafish Larvae. Chemosphere, 297, 9 p. doi:10.1016/j.chemosphere.2022.134234. ECOREF#:188755</t>
        </is>
      </c>
    </row>
    <row r="293">
      <c r="A293" t="n">
        <v>2795393.0</v>
      </c>
      <c r="B293" t="inlineStr">
        <is>
          <t>1,1,2,2,3,3,4,4,5,5,6,6,7,7,8,8,8-Heptadecafluoro-1-octanesulfonic acid potassium salt</t>
        </is>
      </c>
      <c r="C293"/>
      <c r="D293" t="inlineStr">
        <is>
          <t>Measured</t>
        </is>
      </c>
      <c r="E293" t="inlineStr">
        <is>
          <t>&gt;=</t>
        </is>
      </c>
      <c r="F293" t="n">
        <v>98.0</v>
      </c>
      <c r="G293"/>
      <c r="H293"/>
      <c r="I293"/>
      <c r="J293"/>
      <c r="K293" t="inlineStr">
        <is>
          <t>Danio rerio</t>
        </is>
      </c>
      <c r="L293" t="inlineStr">
        <is>
          <t>Zebra Danio</t>
        </is>
      </c>
      <c r="M293" t="inlineStr">
        <is>
          <t>Fish; Standard Test Species</t>
        </is>
      </c>
      <c r="N293" t="inlineStr">
        <is>
          <t>Adult</t>
        </is>
      </c>
      <c r="O293"/>
      <c r="P293"/>
      <c r="Q293"/>
      <c r="R293" t="n">
        <v>5.0</v>
      </c>
      <c r="S293"/>
      <c r="T293" t="n">
        <v>6.0</v>
      </c>
      <c r="U293" t="inlineStr">
        <is>
          <t>Month(s)</t>
        </is>
      </c>
      <c r="V293" t="inlineStr">
        <is>
          <t>Renewal</t>
        </is>
      </c>
      <c r="W293" t="inlineStr">
        <is>
          <t>Fresh water</t>
        </is>
      </c>
      <c r="X293" t="inlineStr">
        <is>
          <t>Lab</t>
        </is>
      </c>
      <c r="Y293" t="n">
        <v>2.0</v>
      </c>
      <c r="Z293" t="inlineStr">
        <is>
          <t>Active ingredient</t>
        </is>
      </c>
      <c r="AA293"/>
      <c r="AB293"/>
      <c r="AC293"/>
      <c r="AD293" t="n">
        <v>0.4292233388</v>
      </c>
      <c r="AE293"/>
      <c r="AF293" t="n">
        <v>0.4324586906</v>
      </c>
      <c r="AG293" t="inlineStr">
        <is>
          <t>AI mg/L</t>
        </is>
      </c>
      <c r="AH293"/>
      <c r="AI293"/>
      <c r="AJ293"/>
      <c r="AK293"/>
      <c r="AL293"/>
      <c r="AM293"/>
      <c r="AN293"/>
      <c r="AO293"/>
      <c r="AP293"/>
      <c r="AQ293"/>
      <c r="AR293"/>
      <c r="AS293"/>
      <c r="AT293"/>
      <c r="AU293"/>
      <c r="AV293"/>
      <c r="AW293"/>
      <c r="AX293" t="inlineStr">
        <is>
          <t>Accumulation</t>
        </is>
      </c>
      <c r="AY293" t="inlineStr">
        <is>
          <t>Residue</t>
        </is>
      </c>
      <c r="AZ293"/>
      <c r="BA293" t="inlineStr">
        <is>
          <t>Liver</t>
        </is>
      </c>
      <c r="BB293"/>
      <c r="BC293" t="n">
        <v>21.0</v>
      </c>
      <c r="BD293"/>
      <c r="BE293"/>
      <c r="BF293"/>
      <c r="BG293"/>
      <c r="BH293" t="inlineStr">
        <is>
          <t>Day(s)</t>
        </is>
      </c>
      <c r="BI293"/>
      <c r="BJ293"/>
      <c r="BK293"/>
      <c r="BL293"/>
      <c r="BM293"/>
      <c r="BN293"/>
      <c r="BO293" t="inlineStr">
        <is>
          <t>--</t>
        </is>
      </c>
      <c r="BP293"/>
      <c r="BQ293"/>
      <c r="BR293"/>
      <c r="BS293"/>
      <c r="BT293"/>
      <c r="BU293"/>
      <c r="BV293"/>
      <c r="BW293"/>
      <c r="BX293"/>
      <c r="BY293"/>
      <c r="BZ293"/>
      <c r="CA293"/>
      <c r="CB293"/>
      <c r="CC293"/>
      <c r="CD293" t="inlineStr">
        <is>
          <t>Wang,Q., J. Huang, S. Liu, C. Wang, Y. Jin, H. Lai, and W. Tu</t>
        </is>
      </c>
      <c r="CE293" t="n">
        <v>191253.0</v>
      </c>
      <c r="CF293" t="inlineStr">
        <is>
          <t>Aberrant Hepatic Lipid Metabolism Associated with Gut Microbiota Dysbiosis Triggers Hepatotoxicity of Novel PFOS Alternatives in Adult Zebrafish</t>
        </is>
      </c>
      <c r="CG293" t="inlineStr">
        <is>
          <t>Environ. Int.166:11 p.</t>
        </is>
      </c>
      <c r="CH293" t="n">
        <v>2022.0</v>
      </c>
      <c r="CI293" t="inlineStr">
        <is>
          <t>Wang,Q., J. Huang, S. Liu, C. Wang, Y. Jin, H. Lai, and W. Tu (2022). Aberrant Hepatic Lipid Metabolism Associated with Gut Microbiota Dysbiosis Triggers Hepatotoxicity of Novel PFOS Alternatives in Adult Zebrafish. Environ. Int., 166, 11 p. doi:10.1016/j.envint.2022.107351. ECOREF#:191253</t>
        </is>
      </c>
    </row>
    <row r="294">
      <c r="A294" t="n">
        <v>2795393.0</v>
      </c>
      <c r="B294" t="inlineStr">
        <is>
          <t>1,1,2,2,3,3,4,4,5,5,6,6,7,7,8,8,8-Heptadecafluoro-1-octanesulfonic acid potassium salt</t>
        </is>
      </c>
      <c r="C294"/>
      <c r="D294" t="inlineStr">
        <is>
          <t>Measured</t>
        </is>
      </c>
      <c r="E294" t="inlineStr">
        <is>
          <t>&gt;=</t>
        </is>
      </c>
      <c r="F294" t="n">
        <v>98.0</v>
      </c>
      <c r="G294"/>
      <c r="H294"/>
      <c r="I294"/>
      <c r="J294"/>
      <c r="K294" t="inlineStr">
        <is>
          <t>Danio rerio</t>
        </is>
      </c>
      <c r="L294" t="inlineStr">
        <is>
          <t>Zebra Danio</t>
        </is>
      </c>
      <c r="M294" t="inlineStr">
        <is>
          <t>Fish; Standard Test Species</t>
        </is>
      </c>
      <c r="N294" t="inlineStr">
        <is>
          <t>Mature</t>
        </is>
      </c>
      <c r="O294"/>
      <c r="P294"/>
      <c r="Q294"/>
      <c r="R294"/>
      <c r="S294"/>
      <c r="T294"/>
      <c r="U294"/>
      <c r="V294" t="inlineStr">
        <is>
          <t>Static</t>
        </is>
      </c>
      <c r="W294" t="inlineStr">
        <is>
          <t>Fresh water</t>
        </is>
      </c>
      <c r="X294" t="inlineStr">
        <is>
          <t>Lab</t>
        </is>
      </c>
      <c r="Y294" t="n">
        <v>2.0</v>
      </c>
      <c r="Z294" t="inlineStr">
        <is>
          <t>Active ingredient</t>
        </is>
      </c>
      <c r="AA294"/>
      <c r="AB294" t="n">
        <v>0.20533</v>
      </c>
      <c r="AC294"/>
      <c r="AD294"/>
      <c r="AE294"/>
      <c r="AF294"/>
      <c r="AG294" t="inlineStr">
        <is>
          <t>AI mg/L</t>
        </is>
      </c>
      <c r="AH294"/>
      <c r="AI294"/>
      <c r="AJ294"/>
      <c r="AK294"/>
      <c r="AL294"/>
      <c r="AM294"/>
      <c r="AN294"/>
      <c r="AO294"/>
      <c r="AP294"/>
      <c r="AQ294"/>
      <c r="AR294"/>
      <c r="AS294"/>
      <c r="AT294"/>
      <c r="AU294"/>
      <c r="AV294"/>
      <c r="AW294"/>
      <c r="AX294" t="inlineStr">
        <is>
          <t>Accumulation</t>
        </is>
      </c>
      <c r="AY294" t="inlineStr">
        <is>
          <t>Residue</t>
        </is>
      </c>
      <c r="AZ294"/>
      <c r="BA294" t="inlineStr">
        <is>
          <t>Multiple entries</t>
        </is>
      </c>
      <c r="BB294"/>
      <c r="BC294"/>
      <c r="BD294"/>
      <c r="BE294" t="n">
        <v>1.0</v>
      </c>
      <c r="BF294"/>
      <c r="BG294" t="n">
        <v>4.0</v>
      </c>
      <c r="BH294" t="inlineStr">
        <is>
          <t>Day(s)</t>
        </is>
      </c>
      <c r="BI294"/>
      <c r="BJ294"/>
      <c r="BK294"/>
      <c r="BL294"/>
      <c r="BM294"/>
      <c r="BN294"/>
      <c r="BO294" t="inlineStr">
        <is>
          <t>--</t>
        </is>
      </c>
      <c r="BP294"/>
      <c r="BQ294"/>
      <c r="BR294"/>
      <c r="BS294"/>
      <c r="BT294"/>
      <c r="BU294"/>
      <c r="BV294"/>
      <c r="BW294"/>
      <c r="BX294"/>
      <c r="BY294"/>
      <c r="BZ294"/>
      <c r="CA294"/>
      <c r="CB294"/>
      <c r="CC294"/>
      <c r="CD294" t="inlineStr">
        <is>
          <t>Li,Y., B. Men, Y. He, H. Xu, M. Liu, and D. Wang</t>
        </is>
      </c>
      <c r="CE294" t="n">
        <v>177173.0</v>
      </c>
      <c r="CF294" t="inlineStr">
        <is>
          <t>Effect of Single-Wall Carbon Nanotubes on Bioconcentration and Toxicity of Perfluorooctane Sulfonate in Zebrafish (Danio rerio)</t>
        </is>
      </c>
      <c r="CG294" t="inlineStr">
        <is>
          <t>Sci. Total Environ.607/608:509-518</t>
        </is>
      </c>
      <c r="CH294" t="n">
        <v>2017.0</v>
      </c>
      <c r="CI294" t="inlineStr">
        <is>
          <t>Li,Y., B. Men, Y. He, H. Xu, M. Liu, and D. Wang (2017). Effect of Single-Wall Carbon Nanotubes on Bioconcentration and Toxicity of Perfluorooctane Sulfonate in Zebrafish (Danio rerio). Sci. Total Environ., 607/608, 509-518. doi:10.1016/j.scitotenv.2017.06.140. ECOREF#:177173</t>
        </is>
      </c>
    </row>
    <row r="295">
      <c r="A295" t="n">
        <v>2795393.0</v>
      </c>
      <c r="B295" t="inlineStr">
        <is>
          <t>1,1,2,2,3,3,4,4,5,5,6,6,7,7,8,8,8-Heptadecafluoro-1-octanesulfonic acid potassium salt</t>
        </is>
      </c>
      <c r="C295"/>
      <c r="D295" t="inlineStr">
        <is>
          <t>Measured</t>
        </is>
      </c>
      <c r="E295" t="inlineStr">
        <is>
          <t>&gt;=</t>
        </is>
      </c>
      <c r="F295" t="n">
        <v>98.0</v>
      </c>
      <c r="G295"/>
      <c r="H295"/>
      <c r="I295"/>
      <c r="J295"/>
      <c r="K295" t="inlineStr">
        <is>
          <t>Danio rerio</t>
        </is>
      </c>
      <c r="L295" t="inlineStr">
        <is>
          <t>Zebra Danio</t>
        </is>
      </c>
      <c r="M295" t="inlineStr">
        <is>
          <t>Fish; Standard Test Species</t>
        </is>
      </c>
      <c r="N295" t="inlineStr">
        <is>
          <t>Embryo</t>
        </is>
      </c>
      <c r="O295"/>
      <c r="P295" t="n">
        <v>6.0</v>
      </c>
      <c r="Q295"/>
      <c r="R295"/>
      <c r="S295"/>
      <c r="T295"/>
      <c r="U295" t="inlineStr">
        <is>
          <t>Hours post fertilization</t>
        </is>
      </c>
      <c r="V295" t="inlineStr">
        <is>
          <t>Static</t>
        </is>
      </c>
      <c r="W295" t="inlineStr">
        <is>
          <t>Fresh water</t>
        </is>
      </c>
      <c r="X295" t="inlineStr">
        <is>
          <t>Lab</t>
        </is>
      </c>
      <c r="Y295" t="n">
        <v>2.0</v>
      </c>
      <c r="Z295" t="inlineStr">
        <is>
          <t>Active ingredient</t>
        </is>
      </c>
      <c r="AA295"/>
      <c r="AB295" t="n">
        <v>0.0834712</v>
      </c>
      <c r="AC295"/>
      <c r="AD295"/>
      <c r="AE295"/>
      <c r="AF295"/>
      <c r="AG295" t="inlineStr">
        <is>
          <t>AI mg/L</t>
        </is>
      </c>
      <c r="AH295"/>
      <c r="AI295"/>
      <c r="AJ295"/>
      <c r="AK295"/>
      <c r="AL295"/>
      <c r="AM295"/>
      <c r="AN295"/>
      <c r="AO295"/>
      <c r="AP295"/>
      <c r="AQ295"/>
      <c r="AR295"/>
      <c r="AS295"/>
      <c r="AT295"/>
      <c r="AU295"/>
      <c r="AV295"/>
      <c r="AW295"/>
      <c r="AX295" t="inlineStr">
        <is>
          <t>Accumulation</t>
        </is>
      </c>
      <c r="AY295" t="inlineStr">
        <is>
          <t>Uptake</t>
        </is>
      </c>
      <c r="AZ295"/>
      <c r="BA295" t="inlineStr">
        <is>
          <t>Whole organism</t>
        </is>
      </c>
      <c r="BB295"/>
      <c r="BC295" t="n">
        <v>3.75</v>
      </c>
      <c r="BD295"/>
      <c r="BE295"/>
      <c r="BF295"/>
      <c r="BG295"/>
      <c r="BH295" t="inlineStr">
        <is>
          <t>Day(s)</t>
        </is>
      </c>
      <c r="BI295"/>
      <c r="BJ295"/>
      <c r="BK295"/>
      <c r="BL295"/>
      <c r="BM295"/>
      <c r="BN295"/>
      <c r="BO295" t="inlineStr">
        <is>
          <t>--</t>
        </is>
      </c>
      <c r="BP295"/>
      <c r="BQ295"/>
      <c r="BR295"/>
      <c r="BS295"/>
      <c r="BT295"/>
      <c r="BU295"/>
      <c r="BV295"/>
      <c r="BW295"/>
      <c r="BX295"/>
      <c r="BY295"/>
      <c r="BZ295"/>
      <c r="CA295"/>
      <c r="CB295"/>
      <c r="CC295"/>
      <c r="CD295" t="inlineStr">
        <is>
          <t>Christou,M., T.W.K. Fraser, V. Berg, E. Ropstad, and J.H. Kamstra</t>
        </is>
      </c>
      <c r="CE295" t="n">
        <v>184736.0</v>
      </c>
      <c r="CF295" t="inlineStr">
        <is>
          <t>Calcium Signaling as a Possible Mechanism Behind Increased Locomotor Response in Zebrafish Larvae Exposed to a Human Relevant Persistent Organic Pollutant Mixture or PFOS</t>
        </is>
      </c>
      <c r="CG295" t="inlineStr">
        <is>
          <t>Environ. Res.187:11 p.</t>
        </is>
      </c>
      <c r="CH295" t="n">
        <v>2020.0</v>
      </c>
      <c r="CI295" t="inlineStr">
        <is>
          <t>Christou,M., T.W.K. Fraser, V. Berg, E. Ropstad, and J.H. Kamstra (2020). Calcium Signaling as a Possible Mechanism Behind Increased Locomotor Response in Zebrafish Larvae Exposed to a Human Relevant Persistent Organic Pollutant Mixture or PFOS. Environ. Res., 187, 11 p. doi:10.1016/j.envres.2020.109702. ECOREF#:184736</t>
        </is>
      </c>
    </row>
    <row r="296">
      <c r="A296" t="n">
        <v>2795393.0</v>
      </c>
      <c r="B296" t="inlineStr">
        <is>
          <t>1,1,2,2,3,3,4,4,5,5,6,6,7,7,8,8,8-Heptadecafluoro-1-octanesulfonic acid potassium salt</t>
        </is>
      </c>
      <c r="C296" t="inlineStr">
        <is>
          <t>Technical grade, technical product, technical formulation</t>
        </is>
      </c>
      <c r="D296" t="inlineStr">
        <is>
          <t>Unmeasured</t>
        </is>
      </c>
      <c r="E296"/>
      <c r="F296" t="n">
        <v>98.0</v>
      </c>
      <c r="G296"/>
      <c r="H296"/>
      <c r="I296"/>
      <c r="J296"/>
      <c r="K296" t="inlineStr">
        <is>
          <t>Danio rerio</t>
        </is>
      </c>
      <c r="L296" t="inlineStr">
        <is>
          <t>Zebra Danio</t>
        </is>
      </c>
      <c r="M296" t="inlineStr">
        <is>
          <t>Fish; Standard Test Species</t>
        </is>
      </c>
      <c r="N296" t="inlineStr">
        <is>
          <t>Parr</t>
        </is>
      </c>
      <c r="O296"/>
      <c r="P296"/>
      <c r="Q296"/>
      <c r="R296"/>
      <c r="S296"/>
      <c r="T296"/>
      <c r="U296"/>
      <c r="V296" t="inlineStr">
        <is>
          <t>Renewal</t>
        </is>
      </c>
      <c r="W296" t="inlineStr">
        <is>
          <t>Fresh water</t>
        </is>
      </c>
      <c r="X296" t="inlineStr">
        <is>
          <t>Lab</t>
        </is>
      </c>
      <c r="Y296" t="n">
        <v>3.0</v>
      </c>
      <c r="Z296" t="inlineStr">
        <is>
          <t>Active ingredient</t>
        </is>
      </c>
      <c r="AA296"/>
      <c r="AB296" t="n">
        <v>0.5</v>
      </c>
      <c r="AC296"/>
      <c r="AD296"/>
      <c r="AE296"/>
      <c r="AF296"/>
      <c r="AG296" t="inlineStr">
        <is>
          <t>AI mg/L</t>
        </is>
      </c>
      <c r="AH296"/>
      <c r="AI296"/>
      <c r="AJ296"/>
      <c r="AK296"/>
      <c r="AL296"/>
      <c r="AM296"/>
      <c r="AN296"/>
      <c r="AO296"/>
      <c r="AP296"/>
      <c r="AQ296"/>
      <c r="AR296"/>
      <c r="AS296"/>
      <c r="AT296"/>
      <c r="AU296"/>
      <c r="AV296"/>
      <c r="AW296"/>
      <c r="AX296" t="inlineStr">
        <is>
          <t>Accumulation</t>
        </is>
      </c>
      <c r="AY296" t="inlineStr">
        <is>
          <t>Multiple measurement terms entered</t>
        </is>
      </c>
      <c r="AZ296"/>
      <c r="BA296" t="inlineStr">
        <is>
          <t>Multiple entries</t>
        </is>
      </c>
      <c r="BB296"/>
      <c r="BC296" t="n">
        <v>2.0</v>
      </c>
      <c r="BD296"/>
      <c r="BE296"/>
      <c r="BF296"/>
      <c r="BG296"/>
      <c r="BH296" t="inlineStr">
        <is>
          <t>Day(s)</t>
        </is>
      </c>
      <c r="BI296"/>
      <c r="BJ296"/>
      <c r="BK296"/>
      <c r="BL296"/>
      <c r="BM296"/>
      <c r="BN296"/>
      <c r="BO296" t="inlineStr">
        <is>
          <t>--</t>
        </is>
      </c>
      <c r="BP296"/>
      <c r="BQ296"/>
      <c r="BR296"/>
      <c r="BS296"/>
      <c r="BT296"/>
      <c r="BU296"/>
      <c r="BV296"/>
      <c r="BW296"/>
      <c r="BX296"/>
      <c r="BY296"/>
      <c r="BZ296"/>
      <c r="CA296"/>
      <c r="CB296"/>
      <c r="CC296"/>
      <c r="CD296" t="inlineStr">
        <is>
          <t>Sharpe,R.L., J.P. Benskin, A.H. Laarman, S.L. MacLeod, J.W. Martin, C.S. Wong, and G.G. Goss</t>
        </is>
      </c>
      <c r="CE296" t="n">
        <v>151619.0</v>
      </c>
      <c r="CF296" t="inlineStr">
        <is>
          <t>Perfluorooctane Sulfonate Toxicity, Isomer-Specific Accumulation, and Maternal Transfer in Zebrafish (Danio rerio) and Rainbow Trout (Oncorhynchus mykiss)</t>
        </is>
      </c>
      <c r="CG296" t="inlineStr">
        <is>
          <t>Environ. Toxicol. Chem.29(9): 1957-1966</t>
        </is>
      </c>
      <c r="CH296" t="n">
        <v>2010.0</v>
      </c>
      <c r="CI296" t="inlineStr">
        <is>
          <t>Sharpe,R.L., J.P. Benskin, A.H. Laarman, S.L. MacLeod, J.W. Martin, C.S. Wong, and G.G. Goss (2010). Perfluorooctane Sulfonate Toxicity, Isomer-Specific Accumulation, and Maternal Transfer in Zebrafish (Danio rerio) and Rainbow Trout (Oncorhynchus mykiss). Environ. Toxicol. Chem., 29, (9), 1957-1966. doi:10.1002/etc.257. ECOREF#:151619</t>
        </is>
      </c>
    </row>
    <row r="297">
      <c r="A297" t="n">
        <v>2795393.0</v>
      </c>
      <c r="B297" t="inlineStr">
        <is>
          <t>1,1,2,2,3,3,4,4,5,5,6,6,7,7,8,8,8-Heptadecafluoro-1-octanesulfonic acid potassium salt</t>
        </is>
      </c>
      <c r="C297"/>
      <c r="D297" t="inlineStr">
        <is>
          <t>Measured</t>
        </is>
      </c>
      <c r="E297" t="inlineStr">
        <is>
          <t>&gt;</t>
        </is>
      </c>
      <c r="F297" t="n">
        <v>98.0</v>
      </c>
      <c r="G297"/>
      <c r="H297"/>
      <c r="I297"/>
      <c r="J297"/>
      <c r="K297" t="inlineStr">
        <is>
          <t>Pimephales promelas</t>
        </is>
      </c>
      <c r="L297" t="inlineStr">
        <is>
          <t>Fathead Minnow</t>
        </is>
      </c>
      <c r="M297" t="inlineStr">
        <is>
          <t>Fish; Standard Test Species</t>
        </is>
      </c>
      <c r="N297" t="inlineStr">
        <is>
          <t>Adult</t>
        </is>
      </c>
      <c r="O297"/>
      <c r="P297"/>
      <c r="Q297"/>
      <c r="R297" t="n">
        <v>6.0</v>
      </c>
      <c r="S297"/>
      <c r="T297" t="n">
        <v>7.0</v>
      </c>
      <c r="U297" t="inlineStr">
        <is>
          <t>Month(s)</t>
        </is>
      </c>
      <c r="V297" t="inlineStr">
        <is>
          <t>Flow-through</t>
        </is>
      </c>
      <c r="W297" t="inlineStr">
        <is>
          <t>Fresh water</t>
        </is>
      </c>
      <c r="X297" t="inlineStr">
        <is>
          <t>Lab</t>
        </is>
      </c>
      <c r="Y297" t="n">
        <v>5.0</v>
      </c>
      <c r="Z297" t="inlineStr">
        <is>
          <t>Active ingredient</t>
        </is>
      </c>
      <c r="AA297"/>
      <c r="AB297"/>
      <c r="AC297"/>
      <c r="AD297" t="n">
        <v>0.0276</v>
      </c>
      <c r="AE297"/>
      <c r="AF297" t="n">
        <v>0.281</v>
      </c>
      <c r="AG297" t="inlineStr">
        <is>
          <t>AI mg/L</t>
        </is>
      </c>
      <c r="AH297"/>
      <c r="AI297"/>
      <c r="AJ297"/>
      <c r="AK297"/>
      <c r="AL297"/>
      <c r="AM297"/>
      <c r="AN297"/>
      <c r="AO297"/>
      <c r="AP297"/>
      <c r="AQ297"/>
      <c r="AR297"/>
      <c r="AS297"/>
      <c r="AT297"/>
      <c r="AU297"/>
      <c r="AV297"/>
      <c r="AW297"/>
      <c r="AX297" t="inlineStr">
        <is>
          <t>Accumulation</t>
        </is>
      </c>
      <c r="AY297" t="inlineStr">
        <is>
          <t>Residue</t>
        </is>
      </c>
      <c r="AZ297"/>
      <c r="BA297" t="inlineStr">
        <is>
          <t>Embryo</t>
        </is>
      </c>
      <c r="BB297"/>
      <c r="BC297"/>
      <c r="BD297"/>
      <c r="BE297" t="n">
        <v>18.0</v>
      </c>
      <c r="BF297"/>
      <c r="BG297" t="n">
        <v>50.0</v>
      </c>
      <c r="BH297" t="inlineStr">
        <is>
          <t>Day(s)</t>
        </is>
      </c>
      <c r="BI297"/>
      <c r="BJ297"/>
      <c r="BK297"/>
      <c r="BL297"/>
      <c r="BM297"/>
      <c r="BN297"/>
      <c r="BO297" t="inlineStr">
        <is>
          <t>--</t>
        </is>
      </c>
      <c r="BP297"/>
      <c r="BQ297"/>
      <c r="BR297"/>
      <c r="BS297"/>
      <c r="BT297"/>
      <c r="BU297"/>
      <c r="BV297"/>
      <c r="BW297"/>
      <c r="BX297"/>
      <c r="BY297"/>
      <c r="BZ297"/>
      <c r="CA297"/>
      <c r="CB297"/>
      <c r="CC297"/>
      <c r="CD297" t="inlineStr">
        <is>
          <t>Ankley,G.T., D.W. Kuehl, M.D. Kahl, K.M. Jensen, A. Linnum, R.L. Leino, and D.A. Villeneuve</t>
        </is>
      </c>
      <c r="CE297" t="n">
        <v>81515.0</v>
      </c>
      <c r="CF297" t="inlineStr">
        <is>
          <t>Reproductive and Developmental Toxicity and Bioconcentration of Perfluorooctanesulfonate in a Partial Life-Cycle Test with the Fathead Minnow (Pimephales promelas)</t>
        </is>
      </c>
      <c r="CG297" t="inlineStr">
        <is>
          <t>Environ. Toxicol. Chem.24(9): 2316-2324</t>
        </is>
      </c>
      <c r="CH297" t="n">
        <v>2005.0</v>
      </c>
      <c r="CI297" t="inlineStr">
        <is>
          <t>Ankley,G.T., D.W. Kuehl, M.D. Kahl, K.M. Jensen, A. Linnum, R.L. Leino, and D.A. Villeneuve (2005). Reproductive and Developmental Toxicity and Bioconcentration of Perfluorooctanesulfonate in a Partial Life-Cycle Test with the Fathead Minnow (Pimephales promelas). Environ. Toxicol. Chem., 24, (9), 2316-2324. doi:10.1897/04-634R.1. ECOREF#:81515</t>
        </is>
      </c>
    </row>
    <row r="298">
      <c r="A298" t="n">
        <v>2795393.0</v>
      </c>
      <c r="B298" t="inlineStr">
        <is>
          <t>1,1,2,2,3,3,4,4,5,5,6,6,7,7,8,8,8-Heptadecafluoro-1-octanesulfonic acid potassium salt</t>
        </is>
      </c>
      <c r="C298"/>
      <c r="D298" t="inlineStr">
        <is>
          <t>Measured</t>
        </is>
      </c>
      <c r="E298" t="inlineStr">
        <is>
          <t>&gt;</t>
        </is>
      </c>
      <c r="F298" t="n">
        <v>98.0</v>
      </c>
      <c r="G298"/>
      <c r="H298"/>
      <c r="I298"/>
      <c r="J298"/>
      <c r="K298" t="inlineStr">
        <is>
          <t>Pimephales promelas</t>
        </is>
      </c>
      <c r="L298" t="inlineStr">
        <is>
          <t>Fathead Minnow</t>
        </is>
      </c>
      <c r="M298" t="inlineStr">
        <is>
          <t>Fish; Standard Test Species</t>
        </is>
      </c>
      <c r="N298" t="inlineStr">
        <is>
          <t>Adult</t>
        </is>
      </c>
      <c r="O298"/>
      <c r="P298"/>
      <c r="Q298"/>
      <c r="R298" t="n">
        <v>6.0</v>
      </c>
      <c r="S298"/>
      <c r="T298" t="n">
        <v>7.0</v>
      </c>
      <c r="U298" t="inlineStr">
        <is>
          <t>Month(s)</t>
        </is>
      </c>
      <c r="V298" t="inlineStr">
        <is>
          <t>Flow-through</t>
        </is>
      </c>
      <c r="W298" t="inlineStr">
        <is>
          <t>Fresh water</t>
        </is>
      </c>
      <c r="X298" t="inlineStr">
        <is>
          <t>Lab</t>
        </is>
      </c>
      <c r="Y298" t="n">
        <v>5.0</v>
      </c>
      <c r="Z298" t="inlineStr">
        <is>
          <t>Active ingredient</t>
        </is>
      </c>
      <c r="AA298"/>
      <c r="AB298"/>
      <c r="AC298"/>
      <c r="AD298" t="n">
        <v>0.0276</v>
      </c>
      <c r="AE298"/>
      <c r="AF298" t="n">
        <v>0.281</v>
      </c>
      <c r="AG298" t="inlineStr">
        <is>
          <t>AI mg/L</t>
        </is>
      </c>
      <c r="AH298"/>
      <c r="AI298"/>
      <c r="AJ298"/>
      <c r="AK298"/>
      <c r="AL298"/>
      <c r="AM298"/>
      <c r="AN298"/>
      <c r="AO298"/>
      <c r="AP298"/>
      <c r="AQ298"/>
      <c r="AR298"/>
      <c r="AS298"/>
      <c r="AT298"/>
      <c r="AU298"/>
      <c r="AV298"/>
      <c r="AW298"/>
      <c r="AX298" t="inlineStr">
        <is>
          <t>Accumulation</t>
        </is>
      </c>
      <c r="AY298" t="inlineStr">
        <is>
          <t>Residue</t>
        </is>
      </c>
      <c r="AZ298"/>
      <c r="BA298" t="inlineStr">
        <is>
          <t>Multiple entries</t>
        </is>
      </c>
      <c r="BB298"/>
      <c r="BC298" t="n">
        <v>21.0</v>
      </c>
      <c r="BD298"/>
      <c r="BE298"/>
      <c r="BF298"/>
      <c r="BG298"/>
      <c r="BH298" t="inlineStr">
        <is>
          <t>Day(s)</t>
        </is>
      </c>
      <c r="BI298"/>
      <c r="BJ298"/>
      <c r="BK298"/>
      <c r="BL298"/>
      <c r="BM298"/>
      <c r="BN298"/>
      <c r="BO298" t="inlineStr">
        <is>
          <t>--</t>
        </is>
      </c>
      <c r="BP298"/>
      <c r="BQ298"/>
      <c r="BR298"/>
      <c r="BS298"/>
      <c r="BT298"/>
      <c r="BU298"/>
      <c r="BV298"/>
      <c r="BW298"/>
      <c r="BX298"/>
      <c r="BY298"/>
      <c r="BZ298"/>
      <c r="CA298"/>
      <c r="CB298"/>
      <c r="CC298"/>
      <c r="CD298" t="inlineStr">
        <is>
          <t>Ankley,G.T., D.W. Kuehl, M.D. Kahl, K.M. Jensen, A. Linnum, R.L. Leino, and D.A. Villeneuve</t>
        </is>
      </c>
      <c r="CE298" t="n">
        <v>81515.0</v>
      </c>
      <c r="CF298" t="inlineStr">
        <is>
          <t>Reproductive and Developmental Toxicity and Bioconcentration of Perfluorooctanesulfonate in a Partial Life-Cycle Test with the Fathead Minnow (Pimephales promelas)</t>
        </is>
      </c>
      <c r="CG298" t="inlineStr">
        <is>
          <t>Environ. Toxicol. Chem.24(9): 2316-2324</t>
        </is>
      </c>
      <c r="CH298" t="n">
        <v>2005.0</v>
      </c>
      <c r="CI298" t="inlineStr">
        <is>
          <t>Ankley,G.T., D.W. Kuehl, M.D. Kahl, K.M. Jensen, A. Linnum, R.L. Leino, and D.A. Villeneuve (2005). Reproductive and Developmental Toxicity and Bioconcentration of Perfluorooctanesulfonate in a Partial Life-Cycle Test with the Fathead Minnow (Pimephales promelas). Environ. Toxicol. Chem., 24, (9), 2316-2324. doi:10.1897/04-634R.1. ECOREF#:81515</t>
        </is>
      </c>
    </row>
    <row r="299">
      <c r="A299" t="n">
        <v>2795393.0</v>
      </c>
      <c r="B299" t="inlineStr">
        <is>
          <t>1,1,2,2,3,3,4,4,5,5,6,6,7,7,8,8,8-Heptadecafluoro-1-octanesulfonic acid potassium salt</t>
        </is>
      </c>
      <c r="C299"/>
      <c r="D299" t="inlineStr">
        <is>
          <t>Measured</t>
        </is>
      </c>
      <c r="E299" t="inlineStr">
        <is>
          <t>&gt;</t>
        </is>
      </c>
      <c r="F299" t="n">
        <v>98.0</v>
      </c>
      <c r="G299"/>
      <c r="H299"/>
      <c r="I299"/>
      <c r="J299"/>
      <c r="K299" t="inlineStr">
        <is>
          <t>Pimephales promelas</t>
        </is>
      </c>
      <c r="L299" t="inlineStr">
        <is>
          <t>Fathead Minnow</t>
        </is>
      </c>
      <c r="M299" t="inlineStr">
        <is>
          <t>Fish; Standard Test Species</t>
        </is>
      </c>
      <c r="N299" t="inlineStr">
        <is>
          <t>Adult</t>
        </is>
      </c>
      <c r="O299"/>
      <c r="P299"/>
      <c r="Q299"/>
      <c r="R299" t="n">
        <v>6.0</v>
      </c>
      <c r="S299"/>
      <c r="T299" t="n">
        <v>7.0</v>
      </c>
      <c r="U299" t="inlineStr">
        <is>
          <t>Month(s)</t>
        </is>
      </c>
      <c r="V299" t="inlineStr">
        <is>
          <t>Flow-through</t>
        </is>
      </c>
      <c r="W299" t="inlineStr">
        <is>
          <t>Fresh water</t>
        </is>
      </c>
      <c r="X299" t="inlineStr">
        <is>
          <t>Lab</t>
        </is>
      </c>
      <c r="Y299" t="n">
        <v>5.0</v>
      </c>
      <c r="Z299" t="inlineStr">
        <is>
          <t>Active ingredient</t>
        </is>
      </c>
      <c r="AA299"/>
      <c r="AB299"/>
      <c r="AC299"/>
      <c r="AD299" t="n">
        <v>0.0276</v>
      </c>
      <c r="AE299"/>
      <c r="AF299" t="n">
        <v>0.281</v>
      </c>
      <c r="AG299" t="inlineStr">
        <is>
          <t>AI mg/L</t>
        </is>
      </c>
      <c r="AH299"/>
      <c r="AI299"/>
      <c r="AJ299"/>
      <c r="AK299"/>
      <c r="AL299"/>
      <c r="AM299"/>
      <c r="AN299"/>
      <c r="AO299"/>
      <c r="AP299"/>
      <c r="AQ299"/>
      <c r="AR299"/>
      <c r="AS299"/>
      <c r="AT299"/>
      <c r="AU299"/>
      <c r="AV299"/>
      <c r="AW299"/>
      <c r="AX299" t="inlineStr">
        <is>
          <t>Accumulation</t>
        </is>
      </c>
      <c r="AY299" t="inlineStr">
        <is>
          <t>Residue</t>
        </is>
      </c>
      <c r="AZ299"/>
      <c r="BA299" t="inlineStr">
        <is>
          <t>Multiple entries</t>
        </is>
      </c>
      <c r="BB299"/>
      <c r="BC299" t="n">
        <v>21.0</v>
      </c>
      <c r="BD299"/>
      <c r="BE299"/>
      <c r="BF299"/>
      <c r="BG299"/>
      <c r="BH299" t="inlineStr">
        <is>
          <t>Day(s)</t>
        </is>
      </c>
      <c r="BI299"/>
      <c r="BJ299"/>
      <c r="BK299"/>
      <c r="BL299"/>
      <c r="BM299"/>
      <c r="BN299"/>
      <c r="BO299" t="inlineStr">
        <is>
          <t>--</t>
        </is>
      </c>
      <c r="BP299"/>
      <c r="BQ299"/>
      <c r="BR299"/>
      <c r="BS299"/>
      <c r="BT299"/>
      <c r="BU299"/>
      <c r="BV299"/>
      <c r="BW299"/>
      <c r="BX299"/>
      <c r="BY299"/>
      <c r="BZ299"/>
      <c r="CA299"/>
      <c r="CB299"/>
      <c r="CC299"/>
      <c r="CD299" t="inlineStr">
        <is>
          <t>Ankley,G.T., D.W. Kuehl, M.D. Kahl, K.M. Jensen, A. Linnum, R.L. Leino, and D.A. Villeneuve</t>
        </is>
      </c>
      <c r="CE299" t="n">
        <v>81515.0</v>
      </c>
      <c r="CF299" t="inlineStr">
        <is>
          <t>Reproductive and Developmental Toxicity and Bioconcentration of Perfluorooctanesulfonate in a Partial Life-Cycle Test with the Fathead Minnow (Pimephales promelas)</t>
        </is>
      </c>
      <c r="CG299" t="inlineStr">
        <is>
          <t>Environ. Toxicol. Chem.24(9): 2316-2324</t>
        </is>
      </c>
      <c r="CH299" t="n">
        <v>2005.0</v>
      </c>
      <c r="CI299" t="inlineStr">
        <is>
          <t>Ankley,G.T., D.W. Kuehl, M.D. Kahl, K.M. Jensen, A. Linnum, R.L. Leino, and D.A. Villeneuve (2005). Reproductive and Developmental Toxicity and Bioconcentration of Perfluorooctanesulfonate in a Partial Life-Cycle Test with the Fathead Minnow (Pimephales promelas). Environ. Toxicol. Chem., 24, (9), 2316-2324. doi:10.1897/04-634R.1. ECOREF#:81515</t>
        </is>
      </c>
    </row>
    <row r="300">
      <c r="A300" t="n">
        <v>2795393.0</v>
      </c>
      <c r="B300" t="inlineStr">
        <is>
          <t>1,1,2,2,3,3,4,4,5,5,6,6,7,7,8,8,8-Heptadecafluoro-1-octanesulfonic acid potassium salt</t>
        </is>
      </c>
      <c r="C300" t="inlineStr">
        <is>
          <t>Analytical grade</t>
        </is>
      </c>
      <c r="D300" t="inlineStr">
        <is>
          <t>Unmeasured values (some measured values reported in article)</t>
        </is>
      </c>
      <c r="E300" t="inlineStr">
        <is>
          <t>&gt;</t>
        </is>
      </c>
      <c r="F300" t="n">
        <v>99.0</v>
      </c>
      <c r="G300"/>
      <c r="H300"/>
      <c r="I300"/>
      <c r="J300"/>
      <c r="K300" t="inlineStr">
        <is>
          <t>Cyprinodon variegatus</t>
        </is>
      </c>
      <c r="L300" t="inlineStr">
        <is>
          <t>Sheepshead Minnow</t>
        </is>
      </c>
      <c r="M300" t="inlineStr">
        <is>
          <t>Fish; Standard Test Species</t>
        </is>
      </c>
      <c r="N300" t="inlineStr">
        <is>
          <t>Larva</t>
        </is>
      </c>
      <c r="O300"/>
      <c r="P300"/>
      <c r="Q300"/>
      <c r="R300"/>
      <c r="S300"/>
      <c r="T300"/>
      <c r="U300"/>
      <c r="V300" t="inlineStr">
        <is>
          <t>Static</t>
        </is>
      </c>
      <c r="W300" t="inlineStr">
        <is>
          <t>Salt water</t>
        </is>
      </c>
      <c r="X300" t="inlineStr">
        <is>
          <t>Lab</t>
        </is>
      </c>
      <c r="Y300" t="n">
        <v>6.0</v>
      </c>
      <c r="Z300" t="inlineStr">
        <is>
          <t>Active ingredient</t>
        </is>
      </c>
      <c r="AA300"/>
      <c r="AB300"/>
      <c r="AC300"/>
      <c r="AD300" t="n">
        <v>0.001</v>
      </c>
      <c r="AE300"/>
      <c r="AF300" t="n">
        <v>9.87727</v>
      </c>
      <c r="AG300" t="inlineStr">
        <is>
          <t>AI mg/L</t>
        </is>
      </c>
      <c r="AH300"/>
      <c r="AI300"/>
      <c r="AJ300"/>
      <c r="AK300"/>
      <c r="AL300"/>
      <c r="AM300"/>
      <c r="AN300"/>
      <c r="AO300"/>
      <c r="AP300"/>
      <c r="AQ300"/>
      <c r="AR300"/>
      <c r="AS300"/>
      <c r="AT300"/>
      <c r="AU300"/>
      <c r="AV300"/>
      <c r="AW300"/>
      <c r="AX300" t="inlineStr">
        <is>
          <t>Accumulation</t>
        </is>
      </c>
      <c r="AY300" t="inlineStr">
        <is>
          <t>Residue</t>
        </is>
      </c>
      <c r="AZ300"/>
      <c r="BA300" t="inlineStr">
        <is>
          <t>Whole organism</t>
        </is>
      </c>
      <c r="BB300"/>
      <c r="BC300" t="n">
        <v>4.0</v>
      </c>
      <c r="BD300"/>
      <c r="BE300"/>
      <c r="BF300"/>
      <c r="BG300"/>
      <c r="BH300" t="inlineStr">
        <is>
          <t>Day(s)</t>
        </is>
      </c>
      <c r="BI300"/>
      <c r="BJ300"/>
      <c r="BK300"/>
      <c r="BL300"/>
      <c r="BM300"/>
      <c r="BN300"/>
      <c r="BO300" t="inlineStr">
        <is>
          <t>--</t>
        </is>
      </c>
      <c r="BP300"/>
      <c r="BQ300"/>
      <c r="BR300"/>
      <c r="BS300"/>
      <c r="BT300"/>
      <c r="BU300"/>
      <c r="BV300"/>
      <c r="BW300"/>
      <c r="BX300"/>
      <c r="BY300"/>
      <c r="BZ300"/>
      <c r="CA300"/>
      <c r="CB300"/>
      <c r="CC300"/>
      <c r="CD300" t="inlineStr">
        <is>
          <t>Burcham,L.E., T.D. Hoskins, E.B. Allmon, M.N. Scherer, A.G. Bushong, M.T. Hamilton, S. Macheri, G.S. Coogan, Y.J. Choi,</t>
        </is>
      </c>
      <c r="CE300" t="n">
        <v>193776.0</v>
      </c>
      <c r="CF300" t="inlineStr">
        <is>
          <t>Does Salinity Mediate the Toxicity of Perfluorooctanesulfonic Acid (PFOS) in an Estuarine Fish?</t>
        </is>
      </c>
      <c r="CG300" t="inlineStr">
        <is>
          <t>Mar. Pollut. Bull.203:7 p.</t>
        </is>
      </c>
      <c r="CH300" t="n">
        <v>2024.0</v>
      </c>
      <c r="CI300" t="inlineStr">
        <is>
          <t>Burcham,L.E., T.D. Hoskins, E.B. Allmon, M.N. Scherer, A.G. Bushong, M.T. Hamilton, S. Macheri, G.S. Coogan, Y.J. Choi, (2024). Does Salinity Mediate the Toxicity of Perfluorooctanesulfonic Acid (PFOS) in an Estuarine Fish?. Mar. Pollut. Bull., 203, 7 p. doi:10.1016/j.marpolbul.2024.116446. ECOREF#:193776</t>
        </is>
      </c>
    </row>
    <row r="301">
      <c r="A301" t="n">
        <v>2795393.0</v>
      </c>
      <c r="B301" t="inlineStr">
        <is>
          <t>1,1,2,2,3,3,4,4,5,5,6,6,7,7,8,8,8-Heptadecafluoro-1-octanesulfonic acid potassium salt</t>
        </is>
      </c>
      <c r="C301"/>
      <c r="D301" t="inlineStr">
        <is>
          <t>Measured</t>
        </is>
      </c>
      <c r="E301"/>
      <c r="F301" t="n">
        <v>98.0</v>
      </c>
      <c r="G301"/>
      <c r="H301"/>
      <c r="I301"/>
      <c r="J301"/>
      <c r="K301" t="inlineStr">
        <is>
          <t>Oncorhynchus mykiss</t>
        </is>
      </c>
      <c r="L301" t="inlineStr">
        <is>
          <t>Rainbow Trout</t>
        </is>
      </c>
      <c r="M301" t="inlineStr">
        <is>
          <t>Fish; Standard Test Species; U.S. Threatened and Endangered Species</t>
        </is>
      </c>
      <c r="N301" t="inlineStr">
        <is>
          <t>Juvenile</t>
        </is>
      </c>
      <c r="O301"/>
      <c r="P301"/>
      <c r="Q301" t="inlineStr">
        <is>
          <t>~</t>
        </is>
      </c>
      <c r="R301" t="n">
        <v>7.0</v>
      </c>
      <c r="S301" t="inlineStr">
        <is>
          <t>~</t>
        </is>
      </c>
      <c r="T301" t="n">
        <v>9.0</v>
      </c>
      <c r="U301" t="inlineStr">
        <is>
          <t>Month(s)</t>
        </is>
      </c>
      <c r="V301" t="inlineStr">
        <is>
          <t>Flow-through</t>
        </is>
      </c>
      <c r="W301" t="inlineStr">
        <is>
          <t>Fresh water</t>
        </is>
      </c>
      <c r="X301" t="inlineStr">
        <is>
          <t>Lab</t>
        </is>
      </c>
      <c r="Y301" t="n">
        <v>2.0</v>
      </c>
      <c r="Z301" t="inlineStr">
        <is>
          <t>Active ingredient</t>
        </is>
      </c>
      <c r="AA301"/>
      <c r="AB301" t="n">
        <v>0.006338</v>
      </c>
      <c r="AC301"/>
      <c r="AD301" t="n">
        <v>0.005302</v>
      </c>
      <c r="AE301"/>
      <c r="AF301" t="n">
        <v>0.007373</v>
      </c>
      <c r="AG301" t="inlineStr">
        <is>
          <t>AI mg/L</t>
        </is>
      </c>
      <c r="AH301"/>
      <c r="AI301"/>
      <c r="AJ301"/>
      <c r="AK301"/>
      <c r="AL301"/>
      <c r="AM301"/>
      <c r="AN301"/>
      <c r="AO301"/>
      <c r="AP301"/>
      <c r="AQ301"/>
      <c r="AR301"/>
      <c r="AS301"/>
      <c r="AT301"/>
      <c r="AU301"/>
      <c r="AV301"/>
      <c r="AW301"/>
      <c r="AX301" t="inlineStr">
        <is>
          <t>Accumulation</t>
        </is>
      </c>
      <c r="AY301" t="inlineStr">
        <is>
          <t>Residue</t>
        </is>
      </c>
      <c r="AZ301" t="inlineStr">
        <is>
          <t>BCF</t>
        </is>
      </c>
      <c r="BA301" t="inlineStr">
        <is>
          <t>Plasma</t>
        </is>
      </c>
      <c r="BB301"/>
      <c r="BC301" t="n">
        <v>21.0</v>
      </c>
      <c r="BD301"/>
      <c r="BE301"/>
      <c r="BF301"/>
      <c r="BG301"/>
      <c r="BH301" t="inlineStr">
        <is>
          <t>Day(s)</t>
        </is>
      </c>
      <c r="BI301"/>
      <c r="BJ301" t="n">
        <v>1771.7</v>
      </c>
      <c r="BK301"/>
      <c r="BL301"/>
      <c r="BM301"/>
      <c r="BN301"/>
      <c r="BO301" t="inlineStr">
        <is>
          <t>L/kg</t>
        </is>
      </c>
      <c r="BP301"/>
      <c r="BQ301"/>
      <c r="BR301"/>
      <c r="BS301"/>
      <c r="BT301"/>
      <c r="BU301"/>
      <c r="BV301"/>
      <c r="BW301"/>
      <c r="BX301"/>
      <c r="BY301"/>
      <c r="BZ301"/>
      <c r="CA301"/>
      <c r="CB301"/>
      <c r="CC301"/>
      <c r="CD301" t="inlineStr">
        <is>
          <t>Pollard,S., A.O. De Silva, and D.B.D. Simmons</t>
        </is>
      </c>
      <c r="CE301" t="n">
        <v>195401.0</v>
      </c>
      <c r="CF301" t="inlineStr">
        <is>
          <t>Metabolic, Neurotoxic and Immunotoxic Effects of PFAAs and Their Mixtures on the Proteome of the Head Kidney and Plasma from Rainbow Trout (Oncorhynchus mykiss)</t>
        </is>
      </c>
      <c r="CG301" t="inlineStr">
        <is>
          <t>Sci. Total Environ.928:12 p.</t>
        </is>
      </c>
      <c r="CH301" t="n">
        <v>2024.0</v>
      </c>
      <c r="CI301" t="inlineStr">
        <is>
          <t>Pollard,S., A.O. De Silva, and D.B.D. Simmons (2024). Metabolic, Neurotoxic and Immunotoxic Effects of PFAAs and Their Mixtures on the Proteome of the Head Kidney and Plasma from Rainbow Trout (Oncorhynchus mykiss). Sci. Total Environ., 928, 12 p. doi:10.1016/j.scitotenv.2024.172389. ECOREF#:195401</t>
        </is>
      </c>
    </row>
    <row r="302">
      <c r="A302" t="n">
        <v>2795393.0</v>
      </c>
      <c r="B302" t="inlineStr">
        <is>
          <t>1,1,2,2,3,3,4,4,5,5,6,6,7,7,8,8,8-Heptadecafluoro-1-octanesulfonic acid potassium salt</t>
        </is>
      </c>
      <c r="C302"/>
      <c r="D302" t="inlineStr">
        <is>
          <t>Measured</t>
        </is>
      </c>
      <c r="E302"/>
      <c r="F302" t="n">
        <v>98.0</v>
      </c>
      <c r="G302"/>
      <c r="H302"/>
      <c r="I302"/>
      <c r="J302"/>
      <c r="K302" t="inlineStr">
        <is>
          <t>Oncorhynchus mykiss</t>
        </is>
      </c>
      <c r="L302" t="inlineStr">
        <is>
          <t>Rainbow Trout</t>
        </is>
      </c>
      <c r="M302" t="inlineStr">
        <is>
          <t>Fish; Standard Test Species; U.S. Threatened and Endangered Species</t>
        </is>
      </c>
      <c r="N302" t="inlineStr">
        <is>
          <t>Juvenile</t>
        </is>
      </c>
      <c r="O302"/>
      <c r="P302"/>
      <c r="Q302" t="inlineStr">
        <is>
          <t>~</t>
        </is>
      </c>
      <c r="R302" t="n">
        <v>7.0</v>
      </c>
      <c r="S302" t="inlineStr">
        <is>
          <t>~</t>
        </is>
      </c>
      <c r="T302" t="n">
        <v>9.0</v>
      </c>
      <c r="U302" t="inlineStr">
        <is>
          <t>Month(s)</t>
        </is>
      </c>
      <c r="V302" t="inlineStr">
        <is>
          <t>Flow-through</t>
        </is>
      </c>
      <c r="W302" t="inlineStr">
        <is>
          <t>Fresh water</t>
        </is>
      </c>
      <c r="X302" t="inlineStr">
        <is>
          <t>Lab</t>
        </is>
      </c>
      <c r="Y302" t="n">
        <v>2.0</v>
      </c>
      <c r="Z302" t="inlineStr">
        <is>
          <t>Active ingredient</t>
        </is>
      </c>
      <c r="AA302"/>
      <c r="AB302" t="n">
        <v>0.003985</v>
      </c>
      <c r="AC302"/>
      <c r="AD302" t="n">
        <v>0.003379</v>
      </c>
      <c r="AE302"/>
      <c r="AF302" t="n">
        <v>0.00459</v>
      </c>
      <c r="AG302" t="inlineStr">
        <is>
          <t>AI mg/L</t>
        </is>
      </c>
      <c r="AH302"/>
      <c r="AI302"/>
      <c r="AJ302"/>
      <c r="AK302"/>
      <c r="AL302"/>
      <c r="AM302"/>
      <c r="AN302"/>
      <c r="AO302"/>
      <c r="AP302"/>
      <c r="AQ302"/>
      <c r="AR302"/>
      <c r="AS302"/>
      <c r="AT302"/>
      <c r="AU302"/>
      <c r="AV302"/>
      <c r="AW302"/>
      <c r="AX302" t="inlineStr">
        <is>
          <t>Accumulation</t>
        </is>
      </c>
      <c r="AY302" t="inlineStr">
        <is>
          <t>Residue</t>
        </is>
      </c>
      <c r="AZ302" t="inlineStr">
        <is>
          <t>BCF</t>
        </is>
      </c>
      <c r="BA302" t="inlineStr">
        <is>
          <t>Plasma</t>
        </is>
      </c>
      <c r="BB302"/>
      <c r="BC302" t="n">
        <v>21.0</v>
      </c>
      <c r="BD302"/>
      <c r="BE302"/>
      <c r="BF302"/>
      <c r="BG302"/>
      <c r="BH302" t="inlineStr">
        <is>
          <t>Day(s)</t>
        </is>
      </c>
      <c r="BI302"/>
      <c r="BJ302" t="n">
        <v>2277.6</v>
      </c>
      <c r="BK302"/>
      <c r="BL302"/>
      <c r="BM302"/>
      <c r="BN302"/>
      <c r="BO302" t="inlineStr">
        <is>
          <t>L/kg</t>
        </is>
      </c>
      <c r="BP302"/>
      <c r="BQ302"/>
      <c r="BR302"/>
      <c r="BS302"/>
      <c r="BT302"/>
      <c r="BU302"/>
      <c r="BV302"/>
      <c r="BW302"/>
      <c r="BX302"/>
      <c r="BY302"/>
      <c r="BZ302"/>
      <c r="CA302"/>
      <c r="CB302"/>
      <c r="CC302"/>
      <c r="CD302" t="inlineStr">
        <is>
          <t>Pollard,S., A.O. De Silva, and D.B.D. Simmons</t>
        </is>
      </c>
      <c r="CE302" t="n">
        <v>195401.0</v>
      </c>
      <c r="CF302" t="inlineStr">
        <is>
          <t>Metabolic, Neurotoxic and Immunotoxic Effects of PFAAs and Their Mixtures on the Proteome of the Head Kidney and Plasma from Rainbow Trout (Oncorhynchus mykiss)</t>
        </is>
      </c>
      <c r="CG302" t="inlineStr">
        <is>
          <t>Sci. Total Environ.928:12 p.</t>
        </is>
      </c>
      <c r="CH302" t="n">
        <v>2024.0</v>
      </c>
      <c r="CI302" t="inlineStr">
        <is>
          <t>Pollard,S., A.O. De Silva, and D.B.D. Simmons (2024). Metabolic, Neurotoxic and Immunotoxic Effects of PFAAs and Their Mixtures on the Proteome of the Head Kidney and Plasma from Rainbow Trout (Oncorhynchus mykiss). Sci. Total Environ., 928, 12 p. doi:10.1016/j.scitotenv.2024.172389. ECOREF#:195401</t>
        </is>
      </c>
    </row>
    <row r="303">
      <c r="A303" t="n">
        <v>2795393.0</v>
      </c>
      <c r="B303" t="inlineStr">
        <is>
          <t>1,1,2,2,3,3,4,4,5,5,6,6,7,7,8,8,8-Heptadecafluoro-1-octanesulfonic acid potassium salt</t>
        </is>
      </c>
      <c r="C303"/>
      <c r="D303" t="inlineStr">
        <is>
          <t>Measured</t>
        </is>
      </c>
      <c r="E303" t="inlineStr">
        <is>
          <t>&gt;=</t>
        </is>
      </c>
      <c r="F303" t="n">
        <v>98.0</v>
      </c>
      <c r="G303"/>
      <c r="H303"/>
      <c r="I303"/>
      <c r="J303"/>
      <c r="K303" t="inlineStr">
        <is>
          <t>Oncorhynchus mykiss</t>
        </is>
      </c>
      <c r="L303" t="inlineStr">
        <is>
          <t>Rainbow Trout</t>
        </is>
      </c>
      <c r="M303" t="inlineStr">
        <is>
          <t>Fish; Standard Test Species; U.S. Threatened and Endangered Species</t>
        </is>
      </c>
      <c r="N303" t="inlineStr">
        <is>
          <t>Adult</t>
        </is>
      </c>
      <c r="O303" t="inlineStr">
        <is>
          <t>&gt;</t>
        </is>
      </c>
      <c r="P303" t="n">
        <v>11.0</v>
      </c>
      <c r="Q303"/>
      <c r="R303"/>
      <c r="S303"/>
      <c r="T303"/>
      <c r="U303" t="inlineStr">
        <is>
          <t>Month(s)</t>
        </is>
      </c>
      <c r="V303" t="inlineStr">
        <is>
          <t>Food</t>
        </is>
      </c>
      <c r="W303" t="inlineStr">
        <is>
          <t>Fresh water</t>
        </is>
      </c>
      <c r="X303" t="inlineStr">
        <is>
          <t>Lab</t>
        </is>
      </c>
      <c r="Y303" t="n">
        <v>1.0</v>
      </c>
      <c r="Z303" t="inlineStr">
        <is>
          <t>Active ingredient</t>
        </is>
      </c>
      <c r="AA303"/>
      <c r="AB303" t="n">
        <v>0.172</v>
      </c>
      <c r="AC303"/>
      <c r="AD303"/>
      <c r="AE303"/>
      <c r="AF303"/>
      <c r="AG303" t="inlineStr">
        <is>
          <t>AI mg/kg food</t>
        </is>
      </c>
      <c r="AH303"/>
      <c r="AI303"/>
      <c r="AJ303"/>
      <c r="AK303"/>
      <c r="AL303"/>
      <c r="AM303"/>
      <c r="AN303"/>
      <c r="AO303"/>
      <c r="AP303"/>
      <c r="AQ303"/>
      <c r="AR303"/>
      <c r="AS303"/>
      <c r="AT303"/>
      <c r="AU303"/>
      <c r="AV303"/>
      <c r="AW303"/>
      <c r="AX303" t="inlineStr">
        <is>
          <t>Accumulation</t>
        </is>
      </c>
      <c r="AY303" t="inlineStr">
        <is>
          <t>Residue</t>
        </is>
      </c>
      <c r="AZ303" t="inlineStr">
        <is>
          <t>LOEC</t>
        </is>
      </c>
      <c r="BA303" t="inlineStr">
        <is>
          <t>Kidney</t>
        </is>
      </c>
      <c r="BB303" t="inlineStr">
        <is>
          <t>&lt;=</t>
        </is>
      </c>
      <c r="BC303" t="n">
        <v>28.0</v>
      </c>
      <c r="BD303"/>
      <c r="BE303"/>
      <c r="BF303"/>
      <c r="BG303"/>
      <c r="BH303" t="inlineStr">
        <is>
          <t>Day(s)</t>
        </is>
      </c>
      <c r="BI303"/>
      <c r="BJ303"/>
      <c r="BK303"/>
      <c r="BL303"/>
      <c r="BM303"/>
      <c r="BN303"/>
      <c r="BO303" t="inlineStr">
        <is>
          <t>--</t>
        </is>
      </c>
      <c r="BP303"/>
      <c r="BQ303"/>
      <c r="BR303"/>
      <c r="BS303"/>
      <c r="BT303"/>
      <c r="BU303"/>
      <c r="BV303"/>
      <c r="BW303"/>
      <c r="BX303"/>
      <c r="BY303"/>
      <c r="BZ303"/>
      <c r="CA303"/>
      <c r="CB303"/>
      <c r="CC303"/>
      <c r="CD303" t="inlineStr">
        <is>
          <t>Falk,S., K. Failing, S. Georgii, H. Brunn, and T. Stahl</t>
        </is>
      </c>
      <c r="CE303" t="n">
        <v>175197.0</v>
      </c>
      <c r="CF303" t="inlineStr">
        <is>
          <t>Tissue Specific Uptake and Elimination of Perfluoroalkyl Acids (PFAAS) in Adult Rainbow Trout (Oncorhynchus mykiss) After Dietary Exposure</t>
        </is>
      </c>
      <c r="CG303" t="inlineStr">
        <is>
          <t>Chemosphere129:150-156</t>
        </is>
      </c>
      <c r="CH303" t="n">
        <v>2015.0</v>
      </c>
      <c r="CI303"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304">
      <c r="A304" t="n">
        <v>2795393.0</v>
      </c>
      <c r="B304" t="inlineStr">
        <is>
          <t>1,1,2,2,3,3,4,4,5,5,6,6,7,7,8,8,8-Heptadecafluoro-1-octanesulfonic acid potassium salt</t>
        </is>
      </c>
      <c r="C304"/>
      <c r="D304" t="inlineStr">
        <is>
          <t>Measured</t>
        </is>
      </c>
      <c r="E304" t="inlineStr">
        <is>
          <t>&gt;=</t>
        </is>
      </c>
      <c r="F304" t="n">
        <v>98.0</v>
      </c>
      <c r="G304"/>
      <c r="H304"/>
      <c r="I304"/>
      <c r="J304"/>
      <c r="K304" t="inlineStr">
        <is>
          <t>Oncorhynchus mykiss</t>
        </is>
      </c>
      <c r="L304" t="inlineStr">
        <is>
          <t>Rainbow Trout</t>
        </is>
      </c>
      <c r="M304" t="inlineStr">
        <is>
          <t>Fish; Standard Test Species; U.S. Threatened and Endangered Species</t>
        </is>
      </c>
      <c r="N304" t="inlineStr">
        <is>
          <t>Adult</t>
        </is>
      </c>
      <c r="O304" t="inlineStr">
        <is>
          <t>&gt;</t>
        </is>
      </c>
      <c r="P304" t="n">
        <v>11.0</v>
      </c>
      <c r="Q304"/>
      <c r="R304"/>
      <c r="S304"/>
      <c r="T304"/>
      <c r="U304" t="inlineStr">
        <is>
          <t>Month(s)</t>
        </is>
      </c>
      <c r="V304" t="inlineStr">
        <is>
          <t>Food</t>
        </is>
      </c>
      <c r="W304" t="inlineStr">
        <is>
          <t>Fresh water</t>
        </is>
      </c>
      <c r="X304" t="inlineStr">
        <is>
          <t>Lab</t>
        </is>
      </c>
      <c r="Y304" t="n">
        <v>1.0</v>
      </c>
      <c r="Z304" t="inlineStr">
        <is>
          <t>Active ingredient</t>
        </is>
      </c>
      <c r="AA304"/>
      <c r="AB304" t="n">
        <v>0.172</v>
      </c>
      <c r="AC304"/>
      <c r="AD304"/>
      <c r="AE304"/>
      <c r="AF304"/>
      <c r="AG304" t="inlineStr">
        <is>
          <t>AI mg/kg food</t>
        </is>
      </c>
      <c r="AH304"/>
      <c r="AI304"/>
      <c r="AJ304"/>
      <c r="AK304"/>
      <c r="AL304"/>
      <c r="AM304"/>
      <c r="AN304"/>
      <c r="AO304"/>
      <c r="AP304"/>
      <c r="AQ304"/>
      <c r="AR304"/>
      <c r="AS304"/>
      <c r="AT304"/>
      <c r="AU304"/>
      <c r="AV304"/>
      <c r="AW304"/>
      <c r="AX304" t="inlineStr">
        <is>
          <t>Accumulation</t>
        </is>
      </c>
      <c r="AY304" t="inlineStr">
        <is>
          <t>Residue</t>
        </is>
      </c>
      <c r="AZ304" t="inlineStr">
        <is>
          <t>LOEC</t>
        </is>
      </c>
      <c r="BA304" t="inlineStr">
        <is>
          <t>Liver</t>
        </is>
      </c>
      <c r="BB304" t="inlineStr">
        <is>
          <t>&lt;=</t>
        </is>
      </c>
      <c r="BC304" t="n">
        <v>28.0</v>
      </c>
      <c r="BD304"/>
      <c r="BE304"/>
      <c r="BF304"/>
      <c r="BG304"/>
      <c r="BH304" t="inlineStr">
        <is>
          <t>Day(s)</t>
        </is>
      </c>
      <c r="BI304"/>
      <c r="BJ304"/>
      <c r="BK304"/>
      <c r="BL304"/>
      <c r="BM304"/>
      <c r="BN304"/>
      <c r="BO304" t="inlineStr">
        <is>
          <t>--</t>
        </is>
      </c>
      <c r="BP304"/>
      <c r="BQ304"/>
      <c r="BR304"/>
      <c r="BS304"/>
      <c r="BT304"/>
      <c r="BU304"/>
      <c r="BV304"/>
      <c r="BW304"/>
      <c r="BX304"/>
      <c r="BY304"/>
      <c r="BZ304"/>
      <c r="CA304"/>
      <c r="CB304"/>
      <c r="CC304"/>
      <c r="CD304" t="inlineStr">
        <is>
          <t>Falk,S., K. Failing, S. Georgii, H. Brunn, and T. Stahl</t>
        </is>
      </c>
      <c r="CE304" t="n">
        <v>175197.0</v>
      </c>
      <c r="CF304" t="inlineStr">
        <is>
          <t>Tissue Specific Uptake and Elimination of Perfluoroalkyl Acids (PFAAS) in Adult Rainbow Trout (Oncorhynchus mykiss) After Dietary Exposure</t>
        </is>
      </c>
      <c r="CG304" t="inlineStr">
        <is>
          <t>Chemosphere129:150-156</t>
        </is>
      </c>
      <c r="CH304" t="n">
        <v>2015.0</v>
      </c>
      <c r="CI304"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305">
      <c r="A305" t="n">
        <v>2795393.0</v>
      </c>
      <c r="B305" t="inlineStr">
        <is>
          <t>1,1,2,2,3,3,4,4,5,5,6,6,7,7,8,8,8-Heptadecafluoro-1-octanesulfonic acid potassium salt</t>
        </is>
      </c>
      <c r="C305"/>
      <c r="D305" t="inlineStr">
        <is>
          <t>Measured</t>
        </is>
      </c>
      <c r="E305" t="inlineStr">
        <is>
          <t>&gt;=</t>
        </is>
      </c>
      <c r="F305" t="n">
        <v>98.0</v>
      </c>
      <c r="G305"/>
      <c r="H305"/>
      <c r="I305"/>
      <c r="J305"/>
      <c r="K305" t="inlineStr">
        <is>
          <t>Oncorhynchus mykiss</t>
        </is>
      </c>
      <c r="L305" t="inlineStr">
        <is>
          <t>Rainbow Trout</t>
        </is>
      </c>
      <c r="M305" t="inlineStr">
        <is>
          <t>Fish; Standard Test Species; U.S. Threatened and Endangered Species</t>
        </is>
      </c>
      <c r="N305" t="inlineStr">
        <is>
          <t>Adult</t>
        </is>
      </c>
      <c r="O305" t="inlineStr">
        <is>
          <t>&gt;</t>
        </is>
      </c>
      <c r="P305" t="n">
        <v>11.0</v>
      </c>
      <c r="Q305"/>
      <c r="R305"/>
      <c r="S305"/>
      <c r="T305"/>
      <c r="U305" t="inlineStr">
        <is>
          <t>Month(s)</t>
        </is>
      </c>
      <c r="V305" t="inlineStr">
        <is>
          <t>Food</t>
        </is>
      </c>
      <c r="W305" t="inlineStr">
        <is>
          <t>Fresh water</t>
        </is>
      </c>
      <c r="X305" t="inlineStr">
        <is>
          <t>Lab</t>
        </is>
      </c>
      <c r="Y305" t="n">
        <v>1.0</v>
      </c>
      <c r="Z305" t="inlineStr">
        <is>
          <t>Active ingredient</t>
        </is>
      </c>
      <c r="AA305"/>
      <c r="AB305" t="n">
        <v>0.172</v>
      </c>
      <c r="AC305"/>
      <c r="AD305"/>
      <c r="AE305"/>
      <c r="AF305"/>
      <c r="AG305" t="inlineStr">
        <is>
          <t>AI mg/kg food</t>
        </is>
      </c>
      <c r="AH305"/>
      <c r="AI305"/>
      <c r="AJ305"/>
      <c r="AK305"/>
      <c r="AL305"/>
      <c r="AM305"/>
      <c r="AN305"/>
      <c r="AO305"/>
      <c r="AP305"/>
      <c r="AQ305"/>
      <c r="AR305"/>
      <c r="AS305"/>
      <c r="AT305"/>
      <c r="AU305"/>
      <c r="AV305"/>
      <c r="AW305"/>
      <c r="AX305" t="inlineStr">
        <is>
          <t>Accumulation</t>
        </is>
      </c>
      <c r="AY305" t="inlineStr">
        <is>
          <t>Residue</t>
        </is>
      </c>
      <c r="AZ305" t="inlineStr">
        <is>
          <t>LOEC</t>
        </is>
      </c>
      <c r="BA305" t="inlineStr">
        <is>
          <t>Blood</t>
        </is>
      </c>
      <c r="BB305" t="inlineStr">
        <is>
          <t>&lt;=</t>
        </is>
      </c>
      <c r="BC305" t="n">
        <v>28.0</v>
      </c>
      <c r="BD305"/>
      <c r="BE305"/>
      <c r="BF305"/>
      <c r="BG305"/>
      <c r="BH305" t="inlineStr">
        <is>
          <t>Day(s)</t>
        </is>
      </c>
      <c r="BI305"/>
      <c r="BJ305"/>
      <c r="BK305"/>
      <c r="BL305"/>
      <c r="BM305"/>
      <c r="BN305"/>
      <c r="BO305" t="inlineStr">
        <is>
          <t>--</t>
        </is>
      </c>
      <c r="BP305"/>
      <c r="BQ305"/>
      <c r="BR305"/>
      <c r="BS305"/>
      <c r="BT305"/>
      <c r="BU305"/>
      <c r="BV305"/>
      <c r="BW305"/>
      <c r="BX305"/>
      <c r="BY305"/>
      <c r="BZ305"/>
      <c r="CA305"/>
      <c r="CB305"/>
      <c r="CC305"/>
      <c r="CD305" t="inlineStr">
        <is>
          <t>Falk,S., K. Failing, S. Georgii, H. Brunn, and T. Stahl</t>
        </is>
      </c>
      <c r="CE305" t="n">
        <v>175197.0</v>
      </c>
      <c r="CF305" t="inlineStr">
        <is>
          <t>Tissue Specific Uptake and Elimination of Perfluoroalkyl Acids (PFAAS) in Adult Rainbow Trout (Oncorhynchus mykiss) After Dietary Exposure</t>
        </is>
      </c>
      <c r="CG305" t="inlineStr">
        <is>
          <t>Chemosphere129:150-156</t>
        </is>
      </c>
      <c r="CH305" t="n">
        <v>2015.0</v>
      </c>
      <c r="CI305"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306">
      <c r="A306" t="n">
        <v>2795393.0</v>
      </c>
      <c r="B306" t="inlineStr">
        <is>
          <t>1,1,2,2,3,3,4,4,5,5,6,6,7,7,8,8,8-Heptadecafluoro-1-octanesulfonic acid potassium salt</t>
        </is>
      </c>
      <c r="C306"/>
      <c r="D306" t="inlineStr">
        <is>
          <t>Measured</t>
        </is>
      </c>
      <c r="E306" t="inlineStr">
        <is>
          <t>&gt;=</t>
        </is>
      </c>
      <c r="F306" t="n">
        <v>98.0</v>
      </c>
      <c r="G306"/>
      <c r="H306"/>
      <c r="I306"/>
      <c r="J306"/>
      <c r="K306" t="inlineStr">
        <is>
          <t>Oncorhynchus mykiss</t>
        </is>
      </c>
      <c r="L306" t="inlineStr">
        <is>
          <t>Rainbow Trout</t>
        </is>
      </c>
      <c r="M306" t="inlineStr">
        <is>
          <t>Fish; Standard Test Species; U.S. Threatened and Endangered Species</t>
        </is>
      </c>
      <c r="N306" t="inlineStr">
        <is>
          <t>Adult</t>
        </is>
      </c>
      <c r="O306" t="inlineStr">
        <is>
          <t>&gt;</t>
        </is>
      </c>
      <c r="P306" t="n">
        <v>11.0</v>
      </c>
      <c r="Q306"/>
      <c r="R306"/>
      <c r="S306"/>
      <c r="T306"/>
      <c r="U306" t="inlineStr">
        <is>
          <t>Month(s)</t>
        </is>
      </c>
      <c r="V306" t="inlineStr">
        <is>
          <t>Food</t>
        </is>
      </c>
      <c r="W306" t="inlineStr">
        <is>
          <t>Fresh water</t>
        </is>
      </c>
      <c r="X306" t="inlineStr">
        <is>
          <t>Lab</t>
        </is>
      </c>
      <c r="Y306" t="n">
        <v>1.0</v>
      </c>
      <c r="Z306" t="inlineStr">
        <is>
          <t>Active ingredient</t>
        </is>
      </c>
      <c r="AA306"/>
      <c r="AB306" t="n">
        <v>0.172</v>
      </c>
      <c r="AC306"/>
      <c r="AD306"/>
      <c r="AE306"/>
      <c r="AF306"/>
      <c r="AG306" t="inlineStr">
        <is>
          <t>AI mg/kg food</t>
        </is>
      </c>
      <c r="AH306"/>
      <c r="AI306"/>
      <c r="AJ306"/>
      <c r="AK306"/>
      <c r="AL306"/>
      <c r="AM306"/>
      <c r="AN306"/>
      <c r="AO306"/>
      <c r="AP306"/>
      <c r="AQ306"/>
      <c r="AR306"/>
      <c r="AS306"/>
      <c r="AT306"/>
      <c r="AU306"/>
      <c r="AV306"/>
      <c r="AW306"/>
      <c r="AX306" t="inlineStr">
        <is>
          <t>Accumulation</t>
        </is>
      </c>
      <c r="AY306" t="inlineStr">
        <is>
          <t>Residue</t>
        </is>
      </c>
      <c r="AZ306" t="inlineStr">
        <is>
          <t>LOEC</t>
        </is>
      </c>
      <c r="BA306" t="inlineStr">
        <is>
          <t>Gill(s)</t>
        </is>
      </c>
      <c r="BB306" t="inlineStr">
        <is>
          <t>&lt;=</t>
        </is>
      </c>
      <c r="BC306" t="n">
        <v>28.0</v>
      </c>
      <c r="BD306"/>
      <c r="BE306"/>
      <c r="BF306"/>
      <c r="BG306"/>
      <c r="BH306" t="inlineStr">
        <is>
          <t>Day(s)</t>
        </is>
      </c>
      <c r="BI306"/>
      <c r="BJ306"/>
      <c r="BK306"/>
      <c r="BL306"/>
      <c r="BM306"/>
      <c r="BN306"/>
      <c r="BO306" t="inlineStr">
        <is>
          <t>--</t>
        </is>
      </c>
      <c r="BP306"/>
      <c r="BQ306"/>
      <c r="BR306"/>
      <c r="BS306"/>
      <c r="BT306"/>
      <c r="BU306"/>
      <c r="BV306"/>
      <c r="BW306"/>
      <c r="BX306"/>
      <c r="BY306"/>
      <c r="BZ306"/>
      <c r="CA306"/>
      <c r="CB306"/>
      <c r="CC306"/>
      <c r="CD306" t="inlineStr">
        <is>
          <t>Falk,S., K. Failing, S. Georgii, H. Brunn, and T. Stahl</t>
        </is>
      </c>
      <c r="CE306" t="n">
        <v>175197.0</v>
      </c>
      <c r="CF306" t="inlineStr">
        <is>
          <t>Tissue Specific Uptake and Elimination of Perfluoroalkyl Acids (PFAAS) in Adult Rainbow Trout (Oncorhynchus mykiss) After Dietary Exposure</t>
        </is>
      </c>
      <c r="CG306" t="inlineStr">
        <is>
          <t>Chemosphere129:150-156</t>
        </is>
      </c>
      <c r="CH306" t="n">
        <v>2015.0</v>
      </c>
      <c r="CI306"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307">
      <c r="A307" t="n">
        <v>2795393.0</v>
      </c>
      <c r="B307" t="inlineStr">
        <is>
          <t>1,1,2,2,3,3,4,4,5,5,6,6,7,7,8,8,8-Heptadecafluoro-1-octanesulfonic acid potassium salt</t>
        </is>
      </c>
      <c r="C307"/>
      <c r="D307" t="inlineStr">
        <is>
          <t>Measured</t>
        </is>
      </c>
      <c r="E307" t="inlineStr">
        <is>
          <t>&gt;=</t>
        </is>
      </c>
      <c r="F307" t="n">
        <v>98.0</v>
      </c>
      <c r="G307"/>
      <c r="H307"/>
      <c r="I307"/>
      <c r="J307"/>
      <c r="K307" t="inlineStr">
        <is>
          <t>Oncorhynchus mykiss</t>
        </is>
      </c>
      <c r="L307" t="inlineStr">
        <is>
          <t>Rainbow Trout</t>
        </is>
      </c>
      <c r="M307" t="inlineStr">
        <is>
          <t>Fish; Standard Test Species; U.S. Threatened and Endangered Species</t>
        </is>
      </c>
      <c r="N307" t="inlineStr">
        <is>
          <t>Adult</t>
        </is>
      </c>
      <c r="O307" t="inlineStr">
        <is>
          <t>&gt;</t>
        </is>
      </c>
      <c r="P307" t="n">
        <v>11.0</v>
      </c>
      <c r="Q307"/>
      <c r="R307"/>
      <c r="S307"/>
      <c r="T307"/>
      <c r="U307" t="inlineStr">
        <is>
          <t>Month(s)</t>
        </is>
      </c>
      <c r="V307" t="inlineStr">
        <is>
          <t>Food</t>
        </is>
      </c>
      <c r="W307" t="inlineStr">
        <is>
          <t>Fresh water</t>
        </is>
      </c>
      <c r="X307" t="inlineStr">
        <is>
          <t>Lab</t>
        </is>
      </c>
      <c r="Y307" t="n">
        <v>1.0</v>
      </c>
      <c r="Z307" t="inlineStr">
        <is>
          <t>Active ingredient</t>
        </is>
      </c>
      <c r="AA307"/>
      <c r="AB307" t="n">
        <v>0.172</v>
      </c>
      <c r="AC307"/>
      <c r="AD307"/>
      <c r="AE307"/>
      <c r="AF307"/>
      <c r="AG307" t="inlineStr">
        <is>
          <t>AI mg/kg food</t>
        </is>
      </c>
      <c r="AH307"/>
      <c r="AI307"/>
      <c r="AJ307"/>
      <c r="AK307"/>
      <c r="AL307"/>
      <c r="AM307"/>
      <c r="AN307"/>
      <c r="AO307"/>
      <c r="AP307"/>
      <c r="AQ307"/>
      <c r="AR307"/>
      <c r="AS307"/>
      <c r="AT307"/>
      <c r="AU307"/>
      <c r="AV307"/>
      <c r="AW307"/>
      <c r="AX307" t="inlineStr">
        <is>
          <t>Accumulation</t>
        </is>
      </c>
      <c r="AY307" t="inlineStr">
        <is>
          <t>Residue</t>
        </is>
      </c>
      <c r="AZ307" t="inlineStr">
        <is>
          <t>LOEC</t>
        </is>
      </c>
      <c r="BA307" t="inlineStr">
        <is>
          <t>Residual, remnant, carcass</t>
        </is>
      </c>
      <c r="BB307" t="inlineStr">
        <is>
          <t>&lt;=</t>
        </is>
      </c>
      <c r="BC307" t="n">
        <v>28.0</v>
      </c>
      <c r="BD307"/>
      <c r="BE307"/>
      <c r="BF307"/>
      <c r="BG307"/>
      <c r="BH307" t="inlineStr">
        <is>
          <t>Day(s)</t>
        </is>
      </c>
      <c r="BI307"/>
      <c r="BJ307"/>
      <c r="BK307"/>
      <c r="BL307"/>
      <c r="BM307"/>
      <c r="BN307"/>
      <c r="BO307" t="inlineStr">
        <is>
          <t>--</t>
        </is>
      </c>
      <c r="BP307"/>
      <c r="BQ307"/>
      <c r="BR307"/>
      <c r="BS307"/>
      <c r="BT307"/>
      <c r="BU307"/>
      <c r="BV307"/>
      <c r="BW307"/>
      <c r="BX307"/>
      <c r="BY307"/>
      <c r="BZ307"/>
      <c r="CA307"/>
      <c r="CB307"/>
      <c r="CC307"/>
      <c r="CD307" t="inlineStr">
        <is>
          <t>Falk,S., K. Failing, S. Georgii, H. Brunn, and T. Stahl</t>
        </is>
      </c>
      <c r="CE307" t="n">
        <v>175197.0</v>
      </c>
      <c r="CF307" t="inlineStr">
        <is>
          <t>Tissue Specific Uptake and Elimination of Perfluoroalkyl Acids (PFAAS) in Adult Rainbow Trout (Oncorhynchus mykiss) After Dietary Exposure</t>
        </is>
      </c>
      <c r="CG307" t="inlineStr">
        <is>
          <t>Chemosphere129:150-156</t>
        </is>
      </c>
      <c r="CH307" t="n">
        <v>2015.0</v>
      </c>
      <c r="CI307"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308">
      <c r="A308" t="n">
        <v>2795393.0</v>
      </c>
      <c r="B308" t="inlineStr">
        <is>
          <t>1,1,2,2,3,3,4,4,5,5,6,6,7,7,8,8,8-Heptadecafluoro-1-octanesulfonic acid potassium salt</t>
        </is>
      </c>
      <c r="C308"/>
      <c r="D308" t="inlineStr">
        <is>
          <t>Measured</t>
        </is>
      </c>
      <c r="E308" t="inlineStr">
        <is>
          <t>&gt;=</t>
        </is>
      </c>
      <c r="F308" t="n">
        <v>98.0</v>
      </c>
      <c r="G308"/>
      <c r="H308"/>
      <c r="I308"/>
      <c r="J308"/>
      <c r="K308" t="inlineStr">
        <is>
          <t>Oncorhynchus mykiss</t>
        </is>
      </c>
      <c r="L308" t="inlineStr">
        <is>
          <t>Rainbow Trout</t>
        </is>
      </c>
      <c r="M308" t="inlineStr">
        <is>
          <t>Fish; Standard Test Species; U.S. Threatened and Endangered Species</t>
        </is>
      </c>
      <c r="N308" t="inlineStr">
        <is>
          <t>Adult</t>
        </is>
      </c>
      <c r="O308" t="inlineStr">
        <is>
          <t>&gt;</t>
        </is>
      </c>
      <c r="P308" t="n">
        <v>11.0</v>
      </c>
      <c r="Q308"/>
      <c r="R308"/>
      <c r="S308"/>
      <c r="T308"/>
      <c r="U308" t="inlineStr">
        <is>
          <t>Month(s)</t>
        </is>
      </c>
      <c r="V308" t="inlineStr">
        <is>
          <t>Food</t>
        </is>
      </c>
      <c r="W308" t="inlineStr">
        <is>
          <t>Fresh water</t>
        </is>
      </c>
      <c r="X308" t="inlineStr">
        <is>
          <t>Lab</t>
        </is>
      </c>
      <c r="Y308" t="n">
        <v>1.0</v>
      </c>
      <c r="Z308" t="inlineStr">
        <is>
          <t>Active ingredient</t>
        </is>
      </c>
      <c r="AA308"/>
      <c r="AB308" t="n">
        <v>0.172</v>
      </c>
      <c r="AC308"/>
      <c r="AD308"/>
      <c r="AE308"/>
      <c r="AF308"/>
      <c r="AG308" t="inlineStr">
        <is>
          <t>AI mg/kg food</t>
        </is>
      </c>
      <c r="AH308"/>
      <c r="AI308"/>
      <c r="AJ308"/>
      <c r="AK308"/>
      <c r="AL308"/>
      <c r="AM308"/>
      <c r="AN308"/>
      <c r="AO308"/>
      <c r="AP308"/>
      <c r="AQ308"/>
      <c r="AR308"/>
      <c r="AS308"/>
      <c r="AT308"/>
      <c r="AU308"/>
      <c r="AV308"/>
      <c r="AW308"/>
      <c r="AX308" t="inlineStr">
        <is>
          <t>Accumulation</t>
        </is>
      </c>
      <c r="AY308" t="inlineStr">
        <is>
          <t>Residue</t>
        </is>
      </c>
      <c r="AZ308" t="inlineStr">
        <is>
          <t>LOEC</t>
        </is>
      </c>
      <c r="BA308" t="inlineStr">
        <is>
          <t>Muscle</t>
        </is>
      </c>
      <c r="BB308" t="inlineStr">
        <is>
          <t>&lt;=</t>
        </is>
      </c>
      <c r="BC308" t="n">
        <v>28.0</v>
      </c>
      <c r="BD308"/>
      <c r="BE308"/>
      <c r="BF308"/>
      <c r="BG308"/>
      <c r="BH308" t="inlineStr">
        <is>
          <t>Day(s)</t>
        </is>
      </c>
      <c r="BI308"/>
      <c r="BJ308"/>
      <c r="BK308"/>
      <c r="BL308"/>
      <c r="BM308"/>
      <c r="BN308"/>
      <c r="BO308" t="inlineStr">
        <is>
          <t>--</t>
        </is>
      </c>
      <c r="BP308"/>
      <c r="BQ308"/>
      <c r="BR308"/>
      <c r="BS308"/>
      <c r="BT308"/>
      <c r="BU308"/>
      <c r="BV308"/>
      <c r="BW308"/>
      <c r="BX308"/>
      <c r="BY308"/>
      <c r="BZ308"/>
      <c r="CA308"/>
      <c r="CB308"/>
      <c r="CC308"/>
      <c r="CD308" t="inlineStr">
        <is>
          <t>Falk,S., K. Failing, S. Georgii, H. Brunn, and T. Stahl</t>
        </is>
      </c>
      <c r="CE308" t="n">
        <v>175197.0</v>
      </c>
      <c r="CF308" t="inlineStr">
        <is>
          <t>Tissue Specific Uptake and Elimination of Perfluoroalkyl Acids (PFAAS) in Adult Rainbow Trout (Oncorhynchus mykiss) After Dietary Exposure</t>
        </is>
      </c>
      <c r="CG308" t="inlineStr">
        <is>
          <t>Chemosphere129:150-156</t>
        </is>
      </c>
      <c r="CH308" t="n">
        <v>2015.0</v>
      </c>
      <c r="CI308"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309">
      <c r="A309" t="n">
        <v>2795393.0</v>
      </c>
      <c r="B309" t="inlineStr">
        <is>
          <t>1,1,2,2,3,3,4,4,5,5,6,6,7,7,8,8,8-Heptadecafluoro-1-octanesulfonic acid potassium salt</t>
        </is>
      </c>
      <c r="C309"/>
      <c r="D309" t="inlineStr">
        <is>
          <t>Measured</t>
        </is>
      </c>
      <c r="E309" t="inlineStr">
        <is>
          <t>&gt;=</t>
        </is>
      </c>
      <c r="F309" t="n">
        <v>98.0</v>
      </c>
      <c r="G309"/>
      <c r="H309"/>
      <c r="I309"/>
      <c r="J309"/>
      <c r="K309" t="inlineStr">
        <is>
          <t>Oncorhynchus mykiss</t>
        </is>
      </c>
      <c r="L309" t="inlineStr">
        <is>
          <t>Rainbow Trout</t>
        </is>
      </c>
      <c r="M309" t="inlineStr">
        <is>
          <t>Fish; Standard Test Species; U.S. Threatened and Endangered Species</t>
        </is>
      </c>
      <c r="N309" t="inlineStr">
        <is>
          <t>Adult</t>
        </is>
      </c>
      <c r="O309" t="inlineStr">
        <is>
          <t>&gt;</t>
        </is>
      </c>
      <c r="P309" t="n">
        <v>11.0</v>
      </c>
      <c r="Q309"/>
      <c r="R309"/>
      <c r="S309"/>
      <c r="T309"/>
      <c r="U309" t="inlineStr">
        <is>
          <t>Month(s)</t>
        </is>
      </c>
      <c r="V309" t="inlineStr">
        <is>
          <t>Food</t>
        </is>
      </c>
      <c r="W309" t="inlineStr">
        <is>
          <t>Fresh water</t>
        </is>
      </c>
      <c r="X309" t="inlineStr">
        <is>
          <t>Lab</t>
        </is>
      </c>
      <c r="Y309" t="n">
        <v>1.0</v>
      </c>
      <c r="Z309" t="inlineStr">
        <is>
          <t>Active ingredient</t>
        </is>
      </c>
      <c r="AA309"/>
      <c r="AB309" t="n">
        <v>0.172</v>
      </c>
      <c r="AC309"/>
      <c r="AD309"/>
      <c r="AE309"/>
      <c r="AF309"/>
      <c r="AG309" t="inlineStr">
        <is>
          <t>AI mg/kg food</t>
        </is>
      </c>
      <c r="AH309"/>
      <c r="AI309"/>
      <c r="AJ309"/>
      <c r="AK309"/>
      <c r="AL309"/>
      <c r="AM309"/>
      <c r="AN309"/>
      <c r="AO309"/>
      <c r="AP309"/>
      <c r="AQ309"/>
      <c r="AR309"/>
      <c r="AS309"/>
      <c r="AT309"/>
      <c r="AU309"/>
      <c r="AV309"/>
      <c r="AW309"/>
      <c r="AX309" t="inlineStr">
        <is>
          <t>Accumulation</t>
        </is>
      </c>
      <c r="AY309" t="inlineStr">
        <is>
          <t>Residue</t>
        </is>
      </c>
      <c r="AZ309" t="inlineStr">
        <is>
          <t>LOEC</t>
        </is>
      </c>
      <c r="BA309" t="inlineStr">
        <is>
          <t>Skin, epidermis</t>
        </is>
      </c>
      <c r="BB309" t="inlineStr">
        <is>
          <t>&lt;=</t>
        </is>
      </c>
      <c r="BC309" t="n">
        <v>28.0</v>
      </c>
      <c r="BD309"/>
      <c r="BE309"/>
      <c r="BF309"/>
      <c r="BG309"/>
      <c r="BH309" t="inlineStr">
        <is>
          <t>Day(s)</t>
        </is>
      </c>
      <c r="BI309"/>
      <c r="BJ309"/>
      <c r="BK309"/>
      <c r="BL309"/>
      <c r="BM309"/>
      <c r="BN309"/>
      <c r="BO309" t="inlineStr">
        <is>
          <t>--</t>
        </is>
      </c>
      <c r="BP309"/>
      <c r="BQ309"/>
      <c r="BR309"/>
      <c r="BS309"/>
      <c r="BT309"/>
      <c r="BU309"/>
      <c r="BV309"/>
      <c r="BW309"/>
      <c r="BX309"/>
      <c r="BY309"/>
      <c r="BZ309"/>
      <c r="CA309"/>
      <c r="CB309"/>
      <c r="CC309"/>
      <c r="CD309" t="inlineStr">
        <is>
          <t>Falk,S., K. Failing, S. Georgii, H. Brunn, and T. Stahl</t>
        </is>
      </c>
      <c r="CE309" t="n">
        <v>175197.0</v>
      </c>
      <c r="CF309" t="inlineStr">
        <is>
          <t>Tissue Specific Uptake and Elimination of Perfluoroalkyl Acids (PFAAS) in Adult Rainbow Trout (Oncorhynchus mykiss) After Dietary Exposure</t>
        </is>
      </c>
      <c r="CG309" t="inlineStr">
        <is>
          <t>Chemosphere129:150-156</t>
        </is>
      </c>
      <c r="CH309" t="n">
        <v>2015.0</v>
      </c>
      <c r="CI309"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310">
      <c r="A310" t="n">
        <v>2795393.0</v>
      </c>
      <c r="B310" t="inlineStr">
        <is>
          <t>1,1,2,2,3,3,4,4,5,5,6,6,7,7,8,8,8-Heptadecafluoro-1-octanesulfonic acid potassium salt</t>
        </is>
      </c>
      <c r="C310"/>
      <c r="D310" t="inlineStr">
        <is>
          <t>Measured</t>
        </is>
      </c>
      <c r="E310"/>
      <c r="F310" t="n">
        <v>98.0</v>
      </c>
      <c r="G310"/>
      <c r="H310"/>
      <c r="I310"/>
      <c r="J310"/>
      <c r="K310" t="inlineStr">
        <is>
          <t>Ctenopharyngodon idella</t>
        </is>
      </c>
      <c r="L310" t="inlineStr">
        <is>
          <t>Grass Carp</t>
        </is>
      </c>
      <c r="M310" t="inlineStr">
        <is>
          <t>Fish; U.S. Invasive Species</t>
        </is>
      </c>
      <c r="N310"/>
      <c r="O310"/>
      <c r="P310"/>
      <c r="Q310"/>
      <c r="R310"/>
      <c r="S310"/>
      <c r="T310"/>
      <c r="U310"/>
      <c r="V310" t="inlineStr">
        <is>
          <t>Renewal</t>
        </is>
      </c>
      <c r="W310" t="inlineStr">
        <is>
          <t>Fresh water</t>
        </is>
      </c>
      <c r="X310" t="inlineStr">
        <is>
          <t>Lab</t>
        </is>
      </c>
      <c r="Y310" t="n">
        <v>2.0</v>
      </c>
      <c r="Z310" t="inlineStr">
        <is>
          <t>Active ingredient</t>
        </is>
      </c>
      <c r="AA310" t="inlineStr">
        <is>
          <t>~</t>
        </is>
      </c>
      <c r="AB310" t="n">
        <v>4.0E-4</v>
      </c>
      <c r="AC310"/>
      <c r="AD310"/>
      <c r="AE310"/>
      <c r="AF310"/>
      <c r="AG310" t="inlineStr">
        <is>
          <t>AI mg/L</t>
        </is>
      </c>
      <c r="AH310"/>
      <c r="AI310"/>
      <c r="AJ310"/>
      <c r="AK310"/>
      <c r="AL310"/>
      <c r="AM310"/>
      <c r="AN310"/>
      <c r="AO310"/>
      <c r="AP310"/>
      <c r="AQ310"/>
      <c r="AR310"/>
      <c r="AS310"/>
      <c r="AT310"/>
      <c r="AU310"/>
      <c r="AV310"/>
      <c r="AW310"/>
      <c r="AX310" t="inlineStr">
        <is>
          <t>Accumulation</t>
        </is>
      </c>
      <c r="AY310" t="inlineStr">
        <is>
          <t>Residue</t>
        </is>
      </c>
      <c r="AZ310" t="inlineStr">
        <is>
          <t>BAF</t>
        </is>
      </c>
      <c r="BA310" t="inlineStr">
        <is>
          <t>Whole organism</t>
        </is>
      </c>
      <c r="BB310"/>
      <c r="BC310" t="n">
        <v>58.0</v>
      </c>
      <c r="BD310"/>
      <c r="BE310"/>
      <c r="BF310"/>
      <c r="BG310"/>
      <c r="BH310" t="inlineStr">
        <is>
          <t>Day(s)</t>
        </is>
      </c>
      <c r="BI310"/>
      <c r="BJ310" t="n">
        <v>6300.0</v>
      </c>
      <c r="BK310"/>
      <c r="BL310"/>
      <c r="BM310"/>
      <c r="BN310"/>
      <c r="BO310" t="inlineStr">
        <is>
          <t>RA</t>
        </is>
      </c>
      <c r="BP310"/>
      <c r="BQ310"/>
      <c r="BR310"/>
      <c r="BS310"/>
      <c r="BT310"/>
      <c r="BU310"/>
      <c r="BV310"/>
      <c r="BW310"/>
      <c r="BX310"/>
      <c r="BY310"/>
      <c r="BZ310"/>
      <c r="CA310"/>
      <c r="CB310"/>
      <c r="CC310"/>
      <c r="CD310" t="inlineStr">
        <is>
          <t>Qiang,L., X. Pan, L. Zhu, S. Fang, and S. Tian</t>
        </is>
      </c>
      <c r="CE310" t="n">
        <v>177094.0</v>
      </c>
      <c r="CF310" t="inlineStr">
        <is>
          <t>Effects of Nano-TiO2 on Perfluorooctanesulfonate Bioaccumulation in Fishes Living in Different Water Layers: Implications for Enhanced Risk of Perfluorooctanesulfonate</t>
        </is>
      </c>
      <c r="CG310" t="inlineStr">
        <is>
          <t>Nanotoxicology10(4): 471-479</t>
        </is>
      </c>
      <c r="CH310" t="n">
        <v>2016.0</v>
      </c>
      <c r="CI310"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311">
      <c r="A311" t="n">
        <v>2795393.0</v>
      </c>
      <c r="B311" t="inlineStr">
        <is>
          <t>1,1,2,2,3,3,4,4,5,5,6,6,7,7,8,8,8-Heptadecafluoro-1-octanesulfonic acid potassium salt</t>
        </is>
      </c>
      <c r="C311"/>
      <c r="D311" t="inlineStr">
        <is>
          <t>Measured</t>
        </is>
      </c>
      <c r="E311"/>
      <c r="F311" t="n">
        <v>98.0</v>
      </c>
      <c r="G311"/>
      <c r="H311"/>
      <c r="I311"/>
      <c r="J311"/>
      <c r="K311" t="inlineStr">
        <is>
          <t>Ctenopharyngodon idella</t>
        </is>
      </c>
      <c r="L311" t="inlineStr">
        <is>
          <t>Grass Carp</t>
        </is>
      </c>
      <c r="M311" t="inlineStr">
        <is>
          <t>Fish; U.S. Invasive Species</t>
        </is>
      </c>
      <c r="N311"/>
      <c r="O311"/>
      <c r="P311"/>
      <c r="Q311"/>
      <c r="R311"/>
      <c r="S311"/>
      <c r="T311"/>
      <c r="U311"/>
      <c r="V311" t="inlineStr">
        <is>
          <t>Renewal</t>
        </is>
      </c>
      <c r="W311" t="inlineStr">
        <is>
          <t>Fresh water</t>
        </is>
      </c>
      <c r="X311" t="inlineStr">
        <is>
          <t>Lab</t>
        </is>
      </c>
      <c r="Y311" t="n">
        <v>2.0</v>
      </c>
      <c r="Z311" t="inlineStr">
        <is>
          <t>Active ingredient</t>
        </is>
      </c>
      <c r="AA311" t="inlineStr">
        <is>
          <t>~</t>
        </is>
      </c>
      <c r="AB311" t="n">
        <v>4.0E-4</v>
      </c>
      <c r="AC311"/>
      <c r="AD311"/>
      <c r="AE311"/>
      <c r="AF311"/>
      <c r="AG311" t="inlineStr">
        <is>
          <t>AI mg/L</t>
        </is>
      </c>
      <c r="AH311"/>
      <c r="AI311"/>
      <c r="AJ311"/>
      <c r="AK311"/>
      <c r="AL311"/>
      <c r="AM311"/>
      <c r="AN311"/>
      <c r="AO311"/>
      <c r="AP311"/>
      <c r="AQ311"/>
      <c r="AR311"/>
      <c r="AS311"/>
      <c r="AT311"/>
      <c r="AU311"/>
      <c r="AV311"/>
      <c r="AW311"/>
      <c r="AX311" t="inlineStr">
        <is>
          <t>Accumulation</t>
        </is>
      </c>
      <c r="AY311" t="inlineStr">
        <is>
          <t>Residue</t>
        </is>
      </c>
      <c r="AZ311" t="inlineStr">
        <is>
          <t>LOEC</t>
        </is>
      </c>
      <c r="BA311" t="inlineStr">
        <is>
          <t>Organ</t>
        </is>
      </c>
      <c r="BB311"/>
      <c r="BC311" t="n">
        <v>58.0</v>
      </c>
      <c r="BD311"/>
      <c r="BE311"/>
      <c r="BF311"/>
      <c r="BG311"/>
      <c r="BH311" t="inlineStr">
        <is>
          <t>Day(s)</t>
        </is>
      </c>
      <c r="BI311"/>
      <c r="BJ311"/>
      <c r="BK311"/>
      <c r="BL311"/>
      <c r="BM311"/>
      <c r="BN311"/>
      <c r="BO311" t="inlineStr">
        <is>
          <t>--</t>
        </is>
      </c>
      <c r="BP311"/>
      <c r="BQ311"/>
      <c r="BR311"/>
      <c r="BS311"/>
      <c r="BT311"/>
      <c r="BU311"/>
      <c r="BV311"/>
      <c r="BW311"/>
      <c r="BX311"/>
      <c r="BY311"/>
      <c r="BZ311"/>
      <c r="CA311"/>
      <c r="CB311"/>
      <c r="CC311"/>
      <c r="CD311" t="inlineStr">
        <is>
          <t>Qiang,L., X. Pan, L. Zhu, S. Fang, and S. Tian</t>
        </is>
      </c>
      <c r="CE311" t="n">
        <v>177094.0</v>
      </c>
      <c r="CF311" t="inlineStr">
        <is>
          <t>Effects of Nano-TiO2 on Perfluorooctanesulfonate Bioaccumulation in Fishes Living in Different Water Layers: Implications for Enhanced Risk of Perfluorooctanesulfonate</t>
        </is>
      </c>
      <c r="CG311" t="inlineStr">
        <is>
          <t>Nanotoxicology10(4): 471-479</t>
        </is>
      </c>
      <c r="CH311" t="n">
        <v>2016.0</v>
      </c>
      <c r="CI311"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312">
      <c r="A312" t="n">
        <v>2795393.0</v>
      </c>
      <c r="B312" t="inlineStr">
        <is>
          <t>1,1,2,2,3,3,4,4,5,5,6,6,7,7,8,8,8-Heptadecafluoro-1-octanesulfonic acid potassium salt</t>
        </is>
      </c>
      <c r="C312"/>
      <c r="D312" t="inlineStr">
        <is>
          <t>Measured</t>
        </is>
      </c>
      <c r="E312"/>
      <c r="F312" t="n">
        <v>98.0</v>
      </c>
      <c r="G312"/>
      <c r="H312"/>
      <c r="I312"/>
      <c r="J312"/>
      <c r="K312" t="inlineStr">
        <is>
          <t>Ctenopharyngodon idella</t>
        </is>
      </c>
      <c r="L312" t="inlineStr">
        <is>
          <t>Grass Carp</t>
        </is>
      </c>
      <c r="M312" t="inlineStr">
        <is>
          <t>Fish; U.S. Invasive Species</t>
        </is>
      </c>
      <c r="N312"/>
      <c r="O312"/>
      <c r="P312"/>
      <c r="Q312"/>
      <c r="R312"/>
      <c r="S312"/>
      <c r="T312"/>
      <c r="U312"/>
      <c r="V312" t="inlineStr">
        <is>
          <t>Renewal</t>
        </is>
      </c>
      <c r="W312" t="inlineStr">
        <is>
          <t>Fresh water</t>
        </is>
      </c>
      <c r="X312" t="inlineStr">
        <is>
          <t>Lab</t>
        </is>
      </c>
      <c r="Y312" t="n">
        <v>2.0</v>
      </c>
      <c r="Z312" t="inlineStr">
        <is>
          <t>Active ingredient</t>
        </is>
      </c>
      <c r="AA312" t="inlineStr">
        <is>
          <t>~</t>
        </is>
      </c>
      <c r="AB312" t="n">
        <v>4.0E-4</v>
      </c>
      <c r="AC312"/>
      <c r="AD312"/>
      <c r="AE312"/>
      <c r="AF312"/>
      <c r="AG312" t="inlineStr">
        <is>
          <t>AI mg/L</t>
        </is>
      </c>
      <c r="AH312"/>
      <c r="AI312"/>
      <c r="AJ312"/>
      <c r="AK312"/>
      <c r="AL312"/>
      <c r="AM312"/>
      <c r="AN312"/>
      <c r="AO312"/>
      <c r="AP312"/>
      <c r="AQ312"/>
      <c r="AR312"/>
      <c r="AS312"/>
      <c r="AT312"/>
      <c r="AU312"/>
      <c r="AV312"/>
      <c r="AW312"/>
      <c r="AX312" t="inlineStr">
        <is>
          <t>Accumulation</t>
        </is>
      </c>
      <c r="AY312" t="inlineStr">
        <is>
          <t>Residue</t>
        </is>
      </c>
      <c r="AZ312" t="inlineStr">
        <is>
          <t>LOEC</t>
        </is>
      </c>
      <c r="BA312" t="inlineStr">
        <is>
          <t>Gill(s)</t>
        </is>
      </c>
      <c r="BB312"/>
      <c r="BC312" t="n">
        <v>58.0</v>
      </c>
      <c r="BD312"/>
      <c r="BE312"/>
      <c r="BF312"/>
      <c r="BG312"/>
      <c r="BH312" t="inlineStr">
        <is>
          <t>Day(s)</t>
        </is>
      </c>
      <c r="BI312"/>
      <c r="BJ312"/>
      <c r="BK312"/>
      <c r="BL312"/>
      <c r="BM312"/>
      <c r="BN312"/>
      <c r="BO312" t="inlineStr">
        <is>
          <t>--</t>
        </is>
      </c>
      <c r="BP312"/>
      <c r="BQ312"/>
      <c r="BR312"/>
      <c r="BS312"/>
      <c r="BT312"/>
      <c r="BU312"/>
      <c r="BV312"/>
      <c r="BW312"/>
      <c r="BX312"/>
      <c r="BY312"/>
      <c r="BZ312"/>
      <c r="CA312"/>
      <c r="CB312"/>
      <c r="CC312"/>
      <c r="CD312" t="inlineStr">
        <is>
          <t>Qiang,L., X. Pan, L. Zhu, S. Fang, and S. Tian</t>
        </is>
      </c>
      <c r="CE312" t="n">
        <v>177094.0</v>
      </c>
      <c r="CF312" t="inlineStr">
        <is>
          <t>Effects of Nano-TiO2 on Perfluorooctanesulfonate Bioaccumulation in Fishes Living in Different Water Layers: Implications for Enhanced Risk of Perfluorooctanesulfonate</t>
        </is>
      </c>
      <c r="CG312" t="inlineStr">
        <is>
          <t>Nanotoxicology10(4): 471-479</t>
        </is>
      </c>
      <c r="CH312" t="n">
        <v>2016.0</v>
      </c>
      <c r="CI312"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313">
      <c r="A313" t="n">
        <v>2795393.0</v>
      </c>
      <c r="B313" t="inlineStr">
        <is>
          <t>1,1,2,2,3,3,4,4,5,5,6,6,7,7,8,8,8-Heptadecafluoro-1-octanesulfonic acid potassium salt</t>
        </is>
      </c>
      <c r="C313"/>
      <c r="D313" t="inlineStr">
        <is>
          <t>Measured</t>
        </is>
      </c>
      <c r="E313"/>
      <c r="F313" t="n">
        <v>98.0</v>
      </c>
      <c r="G313"/>
      <c r="H313"/>
      <c r="I313"/>
      <c r="J313"/>
      <c r="K313" t="inlineStr">
        <is>
          <t>Ctenopharyngodon idella</t>
        </is>
      </c>
      <c r="L313" t="inlineStr">
        <is>
          <t>Grass Carp</t>
        </is>
      </c>
      <c r="M313" t="inlineStr">
        <is>
          <t>Fish; U.S. Invasive Species</t>
        </is>
      </c>
      <c r="N313"/>
      <c r="O313"/>
      <c r="P313"/>
      <c r="Q313"/>
      <c r="R313"/>
      <c r="S313"/>
      <c r="T313"/>
      <c r="U313"/>
      <c r="V313" t="inlineStr">
        <is>
          <t>Renewal</t>
        </is>
      </c>
      <c r="W313" t="inlineStr">
        <is>
          <t>Fresh water</t>
        </is>
      </c>
      <c r="X313" t="inlineStr">
        <is>
          <t>Lab</t>
        </is>
      </c>
      <c r="Y313" t="n">
        <v>2.0</v>
      </c>
      <c r="Z313" t="inlineStr">
        <is>
          <t>Active ingredient</t>
        </is>
      </c>
      <c r="AA313" t="inlineStr">
        <is>
          <t>~</t>
        </is>
      </c>
      <c r="AB313" t="n">
        <v>4.0E-4</v>
      </c>
      <c r="AC313"/>
      <c r="AD313"/>
      <c r="AE313"/>
      <c r="AF313"/>
      <c r="AG313" t="inlineStr">
        <is>
          <t>AI mg/L</t>
        </is>
      </c>
      <c r="AH313"/>
      <c r="AI313"/>
      <c r="AJ313"/>
      <c r="AK313"/>
      <c r="AL313"/>
      <c r="AM313"/>
      <c r="AN313"/>
      <c r="AO313"/>
      <c r="AP313"/>
      <c r="AQ313"/>
      <c r="AR313"/>
      <c r="AS313"/>
      <c r="AT313"/>
      <c r="AU313"/>
      <c r="AV313"/>
      <c r="AW313"/>
      <c r="AX313" t="inlineStr">
        <is>
          <t>Accumulation</t>
        </is>
      </c>
      <c r="AY313" t="inlineStr">
        <is>
          <t>Residue</t>
        </is>
      </c>
      <c r="AZ313" t="inlineStr">
        <is>
          <t>LOEC</t>
        </is>
      </c>
      <c r="BA313" t="inlineStr">
        <is>
          <t>Muscle</t>
        </is>
      </c>
      <c r="BB313"/>
      <c r="BC313" t="n">
        <v>58.0</v>
      </c>
      <c r="BD313"/>
      <c r="BE313"/>
      <c r="BF313"/>
      <c r="BG313"/>
      <c r="BH313" t="inlineStr">
        <is>
          <t>Day(s)</t>
        </is>
      </c>
      <c r="BI313"/>
      <c r="BJ313"/>
      <c r="BK313"/>
      <c r="BL313"/>
      <c r="BM313"/>
      <c r="BN313"/>
      <c r="BO313" t="inlineStr">
        <is>
          <t>--</t>
        </is>
      </c>
      <c r="BP313"/>
      <c r="BQ313"/>
      <c r="BR313"/>
      <c r="BS313"/>
      <c r="BT313"/>
      <c r="BU313"/>
      <c r="BV313"/>
      <c r="BW313"/>
      <c r="BX313"/>
      <c r="BY313"/>
      <c r="BZ313"/>
      <c r="CA313"/>
      <c r="CB313"/>
      <c r="CC313"/>
      <c r="CD313" t="inlineStr">
        <is>
          <t>Qiang,L., X. Pan, L. Zhu, S. Fang, and S. Tian</t>
        </is>
      </c>
      <c r="CE313" t="n">
        <v>177094.0</v>
      </c>
      <c r="CF313" t="inlineStr">
        <is>
          <t>Effects of Nano-TiO2 on Perfluorooctanesulfonate Bioaccumulation in Fishes Living in Different Water Layers: Implications for Enhanced Risk of Perfluorooctanesulfonate</t>
        </is>
      </c>
      <c r="CG313" t="inlineStr">
        <is>
          <t>Nanotoxicology10(4): 471-479</t>
        </is>
      </c>
      <c r="CH313" t="n">
        <v>2016.0</v>
      </c>
      <c r="CI313"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314">
      <c r="A314" t="n">
        <v>2795393.0</v>
      </c>
      <c r="B314" t="inlineStr">
        <is>
          <t>1,1,2,2,3,3,4,4,5,5,6,6,7,7,8,8,8-Heptadecafluoro-1-octanesulfonic acid potassium salt</t>
        </is>
      </c>
      <c r="C314"/>
      <c r="D314" t="inlineStr">
        <is>
          <t>Measured</t>
        </is>
      </c>
      <c r="E314"/>
      <c r="F314" t="n">
        <v>98.0</v>
      </c>
      <c r="G314"/>
      <c r="H314"/>
      <c r="I314"/>
      <c r="J314"/>
      <c r="K314" t="inlineStr">
        <is>
          <t>Ctenopharyngodon idella</t>
        </is>
      </c>
      <c r="L314" t="inlineStr">
        <is>
          <t>Grass Carp</t>
        </is>
      </c>
      <c r="M314" t="inlineStr">
        <is>
          <t>Fish; U.S. Invasive Species</t>
        </is>
      </c>
      <c r="N314"/>
      <c r="O314"/>
      <c r="P314"/>
      <c r="Q314"/>
      <c r="R314"/>
      <c r="S314"/>
      <c r="T314"/>
      <c r="U314"/>
      <c r="V314" t="inlineStr">
        <is>
          <t>Renewal</t>
        </is>
      </c>
      <c r="W314" t="inlineStr">
        <is>
          <t>Fresh water</t>
        </is>
      </c>
      <c r="X314" t="inlineStr">
        <is>
          <t>Lab</t>
        </is>
      </c>
      <c r="Y314" t="n">
        <v>2.0</v>
      </c>
      <c r="Z314" t="inlineStr">
        <is>
          <t>Active ingredient</t>
        </is>
      </c>
      <c r="AA314" t="inlineStr">
        <is>
          <t>~</t>
        </is>
      </c>
      <c r="AB314" t="n">
        <v>4.0E-4</v>
      </c>
      <c r="AC314"/>
      <c r="AD314"/>
      <c r="AE314"/>
      <c r="AF314"/>
      <c r="AG314" t="inlineStr">
        <is>
          <t>AI mg/L</t>
        </is>
      </c>
      <c r="AH314"/>
      <c r="AI314"/>
      <c r="AJ314"/>
      <c r="AK314"/>
      <c r="AL314"/>
      <c r="AM314"/>
      <c r="AN314"/>
      <c r="AO314"/>
      <c r="AP314"/>
      <c r="AQ314"/>
      <c r="AR314"/>
      <c r="AS314"/>
      <c r="AT314"/>
      <c r="AU314"/>
      <c r="AV314"/>
      <c r="AW314"/>
      <c r="AX314" t="inlineStr">
        <is>
          <t>Accumulation</t>
        </is>
      </c>
      <c r="AY314" t="inlineStr">
        <is>
          <t>Residue</t>
        </is>
      </c>
      <c r="AZ314" t="inlineStr">
        <is>
          <t>LOEC</t>
        </is>
      </c>
      <c r="BA314" t="inlineStr">
        <is>
          <t>Scale</t>
        </is>
      </c>
      <c r="BB314"/>
      <c r="BC314" t="n">
        <v>58.0</v>
      </c>
      <c r="BD314"/>
      <c r="BE314"/>
      <c r="BF314"/>
      <c r="BG314"/>
      <c r="BH314" t="inlineStr">
        <is>
          <t>Day(s)</t>
        </is>
      </c>
      <c r="BI314"/>
      <c r="BJ314"/>
      <c r="BK314"/>
      <c r="BL314"/>
      <c r="BM314"/>
      <c r="BN314"/>
      <c r="BO314" t="inlineStr">
        <is>
          <t>--</t>
        </is>
      </c>
      <c r="BP314"/>
      <c r="BQ314"/>
      <c r="BR314"/>
      <c r="BS314"/>
      <c r="BT314"/>
      <c r="BU314"/>
      <c r="BV314"/>
      <c r="BW314"/>
      <c r="BX314"/>
      <c r="BY314"/>
      <c r="BZ314"/>
      <c r="CA314"/>
      <c r="CB314"/>
      <c r="CC314"/>
      <c r="CD314" t="inlineStr">
        <is>
          <t>Qiang,L., X. Pan, L. Zhu, S. Fang, and S. Tian</t>
        </is>
      </c>
      <c r="CE314" t="n">
        <v>177094.0</v>
      </c>
      <c r="CF314" t="inlineStr">
        <is>
          <t>Effects of Nano-TiO2 on Perfluorooctanesulfonate Bioaccumulation in Fishes Living in Different Water Layers: Implications for Enhanced Risk of Perfluorooctanesulfonate</t>
        </is>
      </c>
      <c r="CG314" t="inlineStr">
        <is>
          <t>Nanotoxicology10(4): 471-479</t>
        </is>
      </c>
      <c r="CH314" t="n">
        <v>2016.0</v>
      </c>
      <c r="CI314"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315">
      <c r="A315" t="n">
        <v>2795393.0</v>
      </c>
      <c r="B315" t="inlineStr">
        <is>
          <t>1,1,2,2,3,3,4,4,5,5,6,6,7,7,8,8,8-Heptadecafluoro-1-octanesulfonic acid potassium salt</t>
        </is>
      </c>
      <c r="C315"/>
      <c r="D315" t="inlineStr">
        <is>
          <t>Measured</t>
        </is>
      </c>
      <c r="E315"/>
      <c r="F315" t="n">
        <v>98.0</v>
      </c>
      <c r="G315"/>
      <c r="H315"/>
      <c r="I315"/>
      <c r="J315"/>
      <c r="K315" t="inlineStr">
        <is>
          <t>Ctenopharyngodon idella</t>
        </is>
      </c>
      <c r="L315" t="inlineStr">
        <is>
          <t>Grass Carp</t>
        </is>
      </c>
      <c r="M315" t="inlineStr">
        <is>
          <t>Fish; U.S. Invasive Species</t>
        </is>
      </c>
      <c r="N315"/>
      <c r="O315"/>
      <c r="P315"/>
      <c r="Q315"/>
      <c r="R315"/>
      <c r="S315"/>
      <c r="T315"/>
      <c r="U315"/>
      <c r="V315" t="inlineStr">
        <is>
          <t>Renewal</t>
        </is>
      </c>
      <c r="W315" t="inlineStr">
        <is>
          <t>Fresh water</t>
        </is>
      </c>
      <c r="X315" t="inlineStr">
        <is>
          <t>Lab</t>
        </is>
      </c>
      <c r="Y315" t="n">
        <v>2.0</v>
      </c>
      <c r="Z315" t="inlineStr">
        <is>
          <t>Active ingredient</t>
        </is>
      </c>
      <c r="AA315" t="inlineStr">
        <is>
          <t>~</t>
        </is>
      </c>
      <c r="AB315" t="n">
        <v>4.0E-4</v>
      </c>
      <c r="AC315"/>
      <c r="AD315"/>
      <c r="AE315"/>
      <c r="AF315"/>
      <c r="AG315" t="inlineStr">
        <is>
          <t>AI mg/L</t>
        </is>
      </c>
      <c r="AH315"/>
      <c r="AI315"/>
      <c r="AJ315"/>
      <c r="AK315"/>
      <c r="AL315"/>
      <c r="AM315"/>
      <c r="AN315"/>
      <c r="AO315"/>
      <c r="AP315"/>
      <c r="AQ315"/>
      <c r="AR315"/>
      <c r="AS315"/>
      <c r="AT315"/>
      <c r="AU315"/>
      <c r="AV315"/>
      <c r="AW315"/>
      <c r="AX315" t="inlineStr">
        <is>
          <t>Accumulation</t>
        </is>
      </c>
      <c r="AY315" t="inlineStr">
        <is>
          <t>Residue</t>
        </is>
      </c>
      <c r="AZ315" t="inlineStr">
        <is>
          <t>LOEC</t>
        </is>
      </c>
      <c r="BA315" t="inlineStr">
        <is>
          <t>Head</t>
        </is>
      </c>
      <c r="BB315"/>
      <c r="BC315" t="n">
        <v>58.0</v>
      </c>
      <c r="BD315"/>
      <c r="BE315"/>
      <c r="BF315"/>
      <c r="BG315"/>
      <c r="BH315" t="inlineStr">
        <is>
          <t>Day(s)</t>
        </is>
      </c>
      <c r="BI315"/>
      <c r="BJ315"/>
      <c r="BK315"/>
      <c r="BL315"/>
      <c r="BM315"/>
      <c r="BN315"/>
      <c r="BO315" t="inlineStr">
        <is>
          <t>--</t>
        </is>
      </c>
      <c r="BP315"/>
      <c r="BQ315"/>
      <c r="BR315"/>
      <c r="BS315"/>
      <c r="BT315"/>
      <c r="BU315"/>
      <c r="BV315"/>
      <c r="BW315"/>
      <c r="BX315"/>
      <c r="BY315"/>
      <c r="BZ315"/>
      <c r="CA315"/>
      <c r="CB315"/>
      <c r="CC315"/>
      <c r="CD315" t="inlineStr">
        <is>
          <t>Qiang,L., X. Pan, L. Zhu, S. Fang, and S. Tian</t>
        </is>
      </c>
      <c r="CE315" t="n">
        <v>177094.0</v>
      </c>
      <c r="CF315" t="inlineStr">
        <is>
          <t>Effects of Nano-TiO2 on Perfluorooctanesulfonate Bioaccumulation in Fishes Living in Different Water Layers: Implications for Enhanced Risk of Perfluorooctanesulfonate</t>
        </is>
      </c>
      <c r="CG315" t="inlineStr">
        <is>
          <t>Nanotoxicology10(4): 471-479</t>
        </is>
      </c>
      <c r="CH315" t="n">
        <v>2016.0</v>
      </c>
      <c r="CI315"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row>
    <row r="316">
      <c r="A316" t="n">
        <v>2795393.0</v>
      </c>
      <c r="B316" t="inlineStr">
        <is>
          <t>1,1,2,2,3,3,4,4,5,5,6,6,7,7,8,8,8-Heptadecafluoro-1-octanesulfonic acid potassium salt</t>
        </is>
      </c>
      <c r="C316"/>
      <c r="D316" t="inlineStr">
        <is>
          <t>Measured</t>
        </is>
      </c>
      <c r="E316"/>
      <c r="F316" t="n">
        <v>98.0</v>
      </c>
      <c r="G316"/>
      <c r="H316"/>
      <c r="I316"/>
      <c r="J316"/>
      <c r="K316" t="inlineStr">
        <is>
          <t>Perna viridis</t>
        </is>
      </c>
      <c r="L316" t="inlineStr">
        <is>
          <t>Green Mussel</t>
        </is>
      </c>
      <c r="M316" t="inlineStr">
        <is>
          <t>Molluscs</t>
        </is>
      </c>
      <c r="N316"/>
      <c r="O316"/>
      <c r="P316"/>
      <c r="Q316"/>
      <c r="R316"/>
      <c r="S316"/>
      <c r="T316"/>
      <c r="U316"/>
      <c r="V316" t="inlineStr">
        <is>
          <t>Renewal</t>
        </is>
      </c>
      <c r="W316" t="inlineStr">
        <is>
          <t>Salt water</t>
        </is>
      </c>
      <c r="X316" t="inlineStr">
        <is>
          <t>Lab</t>
        </is>
      </c>
      <c r="Y316" t="n">
        <v>6.0</v>
      </c>
      <c r="Z316" t="inlineStr">
        <is>
          <t>Active ingredient</t>
        </is>
      </c>
      <c r="AA316"/>
      <c r="AB316" t="n">
        <v>0.096</v>
      </c>
      <c r="AC316"/>
      <c r="AD316"/>
      <c r="AE316"/>
      <c r="AF316"/>
      <c r="AG316" t="inlineStr">
        <is>
          <t>AI mg/L</t>
        </is>
      </c>
      <c r="AH316"/>
      <c r="AI316"/>
      <c r="AJ316"/>
      <c r="AK316"/>
      <c r="AL316"/>
      <c r="AM316"/>
      <c r="AN316"/>
      <c r="AO316"/>
      <c r="AP316"/>
      <c r="AQ316"/>
      <c r="AR316"/>
      <c r="AS316"/>
      <c r="AT316"/>
      <c r="AU316"/>
      <c r="AV316"/>
      <c r="AW316"/>
      <c r="AX316" t="inlineStr">
        <is>
          <t>Accumulation</t>
        </is>
      </c>
      <c r="AY316" t="inlineStr">
        <is>
          <t>Residue</t>
        </is>
      </c>
      <c r="AZ316" t="inlineStr">
        <is>
          <t>BCFD</t>
        </is>
      </c>
      <c r="BA316" t="inlineStr">
        <is>
          <t>Tissue</t>
        </is>
      </c>
      <c r="BB316"/>
      <c r="BC316" t="n">
        <v>2.0</v>
      </c>
      <c r="BD316"/>
      <c r="BE316"/>
      <c r="BF316"/>
      <c r="BG316"/>
      <c r="BH316" t="inlineStr">
        <is>
          <t>Day(s)</t>
        </is>
      </c>
      <c r="BI316"/>
      <c r="BJ316"/>
      <c r="BK316" t="inlineStr">
        <is>
          <t>&gt;</t>
        </is>
      </c>
      <c r="BL316" t="n">
        <v>20.0</v>
      </c>
      <c r="BM316" t="inlineStr">
        <is>
          <t>&lt;</t>
        </is>
      </c>
      <c r="BN316" t="n">
        <v>40.0</v>
      </c>
      <c r="BO316" t="inlineStr">
        <is>
          <t>L/kg</t>
        </is>
      </c>
      <c r="BP316"/>
      <c r="BQ316"/>
      <c r="BR316"/>
      <c r="BS316"/>
      <c r="BT316"/>
      <c r="BU316"/>
      <c r="BV316"/>
      <c r="BW316"/>
      <c r="BX316"/>
      <c r="BY316"/>
      <c r="BZ316"/>
      <c r="CA316"/>
      <c r="CB316"/>
      <c r="CC316"/>
      <c r="CD316" t="inlineStr">
        <is>
          <t>Liu,C., V.W.C. Chang, K.Y.H. Gin, and V.T. Nguyen</t>
        </is>
      </c>
      <c r="CE316" t="n">
        <v>175715.0</v>
      </c>
      <c r="CF316" t="inlineStr">
        <is>
          <t>Genotoxicity of Perfluorinated Chemicals (PFCs) to the Green Mussel (Perna viridis)</t>
        </is>
      </c>
      <c r="CG316" t="inlineStr">
        <is>
          <t>Sci. Total Environ.487:117-122</t>
        </is>
      </c>
      <c r="CH316" t="n">
        <v>2014.0</v>
      </c>
      <c r="CI316" t="inlineStr">
        <is>
          <t>Liu,C., V.W.C. Chang, K.Y.H. Gin, and V.T. Nguyen (2014). Genotoxicity of Perfluorinated Chemicals (PFCs) to the Green Mussel (Perna viridis). Sci. Total Environ., 487, 117-122. doi:10.1016/j.scitotenv.2014.04.017. ECOREF#:175715</t>
        </is>
      </c>
    </row>
    <row r="317">
      <c r="A317" t="n">
        <v>2795393.0</v>
      </c>
      <c r="B317" t="inlineStr">
        <is>
          <t>1,1,2,2,3,3,4,4,5,5,6,6,7,7,8,8,8-Heptadecafluoro-1-octanesulfonic acid potassium salt</t>
        </is>
      </c>
      <c r="C317"/>
      <c r="D317" t="inlineStr">
        <is>
          <t>Measured</t>
        </is>
      </c>
      <c r="E317"/>
      <c r="F317" t="n">
        <v>98.0</v>
      </c>
      <c r="G317"/>
      <c r="H317"/>
      <c r="I317"/>
      <c r="J317"/>
      <c r="K317" t="inlineStr">
        <is>
          <t>Perna viridis</t>
        </is>
      </c>
      <c r="L317" t="inlineStr">
        <is>
          <t>Green Mussel</t>
        </is>
      </c>
      <c r="M317" t="inlineStr">
        <is>
          <t>Molluscs</t>
        </is>
      </c>
      <c r="N317"/>
      <c r="O317"/>
      <c r="P317"/>
      <c r="Q317"/>
      <c r="R317"/>
      <c r="S317"/>
      <c r="T317"/>
      <c r="U317"/>
      <c r="V317" t="inlineStr">
        <is>
          <t>Renewal</t>
        </is>
      </c>
      <c r="W317" t="inlineStr">
        <is>
          <t>Salt water</t>
        </is>
      </c>
      <c r="X317" t="inlineStr">
        <is>
          <t>Lab</t>
        </is>
      </c>
      <c r="Y317" t="n">
        <v>6.0</v>
      </c>
      <c r="Z317" t="inlineStr">
        <is>
          <t>Active ingredient</t>
        </is>
      </c>
      <c r="AA317"/>
      <c r="AB317" t="n">
        <v>0.096</v>
      </c>
      <c r="AC317"/>
      <c r="AD317"/>
      <c r="AE317"/>
      <c r="AF317"/>
      <c r="AG317" t="inlineStr">
        <is>
          <t>AI mg/L</t>
        </is>
      </c>
      <c r="AH317"/>
      <c r="AI317"/>
      <c r="AJ317"/>
      <c r="AK317"/>
      <c r="AL317"/>
      <c r="AM317"/>
      <c r="AN317"/>
      <c r="AO317"/>
      <c r="AP317"/>
      <c r="AQ317"/>
      <c r="AR317"/>
      <c r="AS317"/>
      <c r="AT317"/>
      <c r="AU317"/>
      <c r="AV317"/>
      <c r="AW317"/>
      <c r="AX317" t="inlineStr">
        <is>
          <t>Accumulation</t>
        </is>
      </c>
      <c r="AY317" t="inlineStr">
        <is>
          <t>Residue</t>
        </is>
      </c>
      <c r="AZ317" t="inlineStr">
        <is>
          <t>BCFD</t>
        </is>
      </c>
      <c r="BA317" t="inlineStr">
        <is>
          <t>Tissue</t>
        </is>
      </c>
      <c r="BB317"/>
      <c r="BC317" t="n">
        <v>1.0</v>
      </c>
      <c r="BD317"/>
      <c r="BE317"/>
      <c r="BF317"/>
      <c r="BG317"/>
      <c r="BH317" t="inlineStr">
        <is>
          <t>Day(s)</t>
        </is>
      </c>
      <c r="BI317" t="inlineStr">
        <is>
          <t>~</t>
        </is>
      </c>
      <c r="BJ317" t="n">
        <v>20.0</v>
      </c>
      <c r="BK317"/>
      <c r="BL317"/>
      <c r="BM317"/>
      <c r="BN317"/>
      <c r="BO317" t="inlineStr">
        <is>
          <t>L/kg</t>
        </is>
      </c>
      <c r="BP317"/>
      <c r="BQ317"/>
      <c r="BR317"/>
      <c r="BS317"/>
      <c r="BT317"/>
      <c r="BU317"/>
      <c r="BV317"/>
      <c r="BW317"/>
      <c r="BX317"/>
      <c r="BY317"/>
      <c r="BZ317"/>
      <c r="CA317"/>
      <c r="CB317"/>
      <c r="CC317"/>
      <c r="CD317" t="inlineStr">
        <is>
          <t>Liu,C., V.W.C. Chang, K.Y.H. Gin, and V.T. Nguyen</t>
        </is>
      </c>
      <c r="CE317" t="n">
        <v>175715.0</v>
      </c>
      <c r="CF317" t="inlineStr">
        <is>
          <t>Genotoxicity of Perfluorinated Chemicals (PFCs) to the Green Mussel (Perna viridis)</t>
        </is>
      </c>
      <c r="CG317" t="inlineStr">
        <is>
          <t>Sci. Total Environ.487:117-122</t>
        </is>
      </c>
      <c r="CH317" t="n">
        <v>2014.0</v>
      </c>
      <c r="CI317" t="inlineStr">
        <is>
          <t>Liu,C., V.W.C. Chang, K.Y.H. Gin, and V.T. Nguyen (2014). Genotoxicity of Perfluorinated Chemicals (PFCs) to the Green Mussel (Perna viridis). Sci. Total Environ., 487, 117-122. doi:10.1016/j.scitotenv.2014.04.017. ECOREF#:175715</t>
        </is>
      </c>
    </row>
    <row r="318">
      <c r="A318" t="n">
        <v>2795393.0</v>
      </c>
      <c r="B318" t="inlineStr">
        <is>
          <t>1,1,2,2,3,3,4,4,5,5,6,6,7,7,8,8,8-Heptadecafluoro-1-octanesulfonic acid potassium salt</t>
        </is>
      </c>
      <c r="C318"/>
      <c r="D318" t="inlineStr">
        <is>
          <t>Measured</t>
        </is>
      </c>
      <c r="E318"/>
      <c r="F318" t="n">
        <v>98.0</v>
      </c>
      <c r="G318"/>
      <c r="H318"/>
      <c r="I318"/>
      <c r="J318"/>
      <c r="K318" t="inlineStr">
        <is>
          <t>Perna viridis</t>
        </is>
      </c>
      <c r="L318" t="inlineStr">
        <is>
          <t>Green Mussel</t>
        </is>
      </c>
      <c r="M318" t="inlineStr">
        <is>
          <t>Molluscs</t>
        </is>
      </c>
      <c r="N318"/>
      <c r="O318"/>
      <c r="P318"/>
      <c r="Q318"/>
      <c r="R318"/>
      <c r="S318"/>
      <c r="T318"/>
      <c r="U318"/>
      <c r="V318" t="inlineStr">
        <is>
          <t>Renewal</t>
        </is>
      </c>
      <c r="W318" t="inlineStr">
        <is>
          <t>Salt water</t>
        </is>
      </c>
      <c r="X318" t="inlineStr">
        <is>
          <t>Lab</t>
        </is>
      </c>
      <c r="Y318" t="n">
        <v>6.0</v>
      </c>
      <c r="Z318" t="inlineStr">
        <is>
          <t>Active ingredient</t>
        </is>
      </c>
      <c r="AA318"/>
      <c r="AB318" t="n">
        <v>0.096</v>
      </c>
      <c r="AC318"/>
      <c r="AD318"/>
      <c r="AE318"/>
      <c r="AF318"/>
      <c r="AG318" t="inlineStr">
        <is>
          <t>AI mg/L</t>
        </is>
      </c>
      <c r="AH318"/>
      <c r="AI318"/>
      <c r="AJ318"/>
      <c r="AK318"/>
      <c r="AL318"/>
      <c r="AM318"/>
      <c r="AN318"/>
      <c r="AO318"/>
      <c r="AP318"/>
      <c r="AQ318"/>
      <c r="AR318"/>
      <c r="AS318"/>
      <c r="AT318"/>
      <c r="AU318"/>
      <c r="AV318"/>
      <c r="AW318"/>
      <c r="AX318" t="inlineStr">
        <is>
          <t>Accumulation</t>
        </is>
      </c>
      <c r="AY318" t="inlineStr">
        <is>
          <t>Residue</t>
        </is>
      </c>
      <c r="AZ318" t="inlineStr">
        <is>
          <t>BCFD</t>
        </is>
      </c>
      <c r="BA318" t="inlineStr">
        <is>
          <t>Tissue</t>
        </is>
      </c>
      <c r="BB318"/>
      <c r="BC318" t="n">
        <v>5.0</v>
      </c>
      <c r="BD318"/>
      <c r="BE318"/>
      <c r="BF318"/>
      <c r="BG318"/>
      <c r="BH318" t="inlineStr">
        <is>
          <t>Day(s)</t>
        </is>
      </c>
      <c r="BI318"/>
      <c r="BJ318"/>
      <c r="BK318" t="inlineStr">
        <is>
          <t>&gt;</t>
        </is>
      </c>
      <c r="BL318" t="n">
        <v>40.0</v>
      </c>
      <c r="BM318" t="inlineStr">
        <is>
          <t>&lt;</t>
        </is>
      </c>
      <c r="BN318" t="n">
        <v>60.0</v>
      </c>
      <c r="BO318" t="inlineStr">
        <is>
          <t>L/kg</t>
        </is>
      </c>
      <c r="BP318"/>
      <c r="BQ318"/>
      <c r="BR318"/>
      <c r="BS318"/>
      <c r="BT318"/>
      <c r="BU318"/>
      <c r="BV318"/>
      <c r="BW318"/>
      <c r="BX318"/>
      <c r="BY318"/>
      <c r="BZ318"/>
      <c r="CA318"/>
      <c r="CB318"/>
      <c r="CC318"/>
      <c r="CD318" t="inlineStr">
        <is>
          <t>Liu,C., V.W.C. Chang, K.Y.H. Gin, and V.T. Nguyen</t>
        </is>
      </c>
      <c r="CE318" t="n">
        <v>175715.0</v>
      </c>
      <c r="CF318" t="inlineStr">
        <is>
          <t>Genotoxicity of Perfluorinated Chemicals (PFCs) to the Green Mussel (Perna viridis)</t>
        </is>
      </c>
      <c r="CG318" t="inlineStr">
        <is>
          <t>Sci. Total Environ.487:117-122</t>
        </is>
      </c>
      <c r="CH318" t="n">
        <v>2014.0</v>
      </c>
      <c r="CI318" t="inlineStr">
        <is>
          <t>Liu,C., V.W.C. Chang, K.Y.H. Gin, and V.T. Nguyen (2014). Genotoxicity of Perfluorinated Chemicals (PFCs) to the Green Mussel (Perna viridis). Sci. Total Environ., 487, 117-122. doi:10.1016/j.scitotenv.2014.04.017. ECOREF#:175715</t>
        </is>
      </c>
    </row>
    <row r="319">
      <c r="A319" t="n">
        <v>2795393.0</v>
      </c>
      <c r="B319" t="inlineStr">
        <is>
          <t>1,1,2,2,3,3,4,4,5,5,6,6,7,7,8,8,8-Heptadecafluoro-1-octanesulfonic acid potassium salt</t>
        </is>
      </c>
      <c r="C319"/>
      <c r="D319" t="inlineStr">
        <is>
          <t>Measured</t>
        </is>
      </c>
      <c r="E319"/>
      <c r="F319" t="n">
        <v>98.0</v>
      </c>
      <c r="G319"/>
      <c r="H319"/>
      <c r="I319"/>
      <c r="J319"/>
      <c r="K319" t="inlineStr">
        <is>
          <t>Perna viridis</t>
        </is>
      </c>
      <c r="L319" t="inlineStr">
        <is>
          <t>Green Mussel</t>
        </is>
      </c>
      <c r="M319" t="inlineStr">
        <is>
          <t>Molluscs</t>
        </is>
      </c>
      <c r="N319"/>
      <c r="O319"/>
      <c r="P319"/>
      <c r="Q319"/>
      <c r="R319"/>
      <c r="S319"/>
      <c r="T319"/>
      <c r="U319"/>
      <c r="V319" t="inlineStr">
        <is>
          <t>Renewal</t>
        </is>
      </c>
      <c r="W319" t="inlineStr">
        <is>
          <t>Salt water</t>
        </is>
      </c>
      <c r="X319" t="inlineStr">
        <is>
          <t>Lab</t>
        </is>
      </c>
      <c r="Y319" t="n">
        <v>6.0</v>
      </c>
      <c r="Z319" t="inlineStr">
        <is>
          <t>Active ingredient</t>
        </is>
      </c>
      <c r="AA319"/>
      <c r="AB319" t="n">
        <v>0.096</v>
      </c>
      <c r="AC319"/>
      <c r="AD319"/>
      <c r="AE319"/>
      <c r="AF319"/>
      <c r="AG319" t="inlineStr">
        <is>
          <t>AI mg/L</t>
        </is>
      </c>
      <c r="AH319"/>
      <c r="AI319"/>
      <c r="AJ319"/>
      <c r="AK319"/>
      <c r="AL319"/>
      <c r="AM319"/>
      <c r="AN319"/>
      <c r="AO319"/>
      <c r="AP319"/>
      <c r="AQ319"/>
      <c r="AR319"/>
      <c r="AS319"/>
      <c r="AT319"/>
      <c r="AU319"/>
      <c r="AV319"/>
      <c r="AW319"/>
      <c r="AX319" t="inlineStr">
        <is>
          <t>Accumulation</t>
        </is>
      </c>
      <c r="AY319" t="inlineStr">
        <is>
          <t>Residue</t>
        </is>
      </c>
      <c r="AZ319" t="inlineStr">
        <is>
          <t>BCFD</t>
        </is>
      </c>
      <c r="BA319" t="inlineStr">
        <is>
          <t>Tissue</t>
        </is>
      </c>
      <c r="BB319"/>
      <c r="BC319" t="n">
        <v>3.0</v>
      </c>
      <c r="BD319"/>
      <c r="BE319"/>
      <c r="BF319"/>
      <c r="BG319"/>
      <c r="BH319" t="inlineStr">
        <is>
          <t>Day(s)</t>
        </is>
      </c>
      <c r="BI319" t="inlineStr">
        <is>
          <t>~</t>
        </is>
      </c>
      <c r="BJ319" t="n">
        <v>40.0</v>
      </c>
      <c r="BK319"/>
      <c r="BL319"/>
      <c r="BM319"/>
      <c r="BN319"/>
      <c r="BO319" t="inlineStr">
        <is>
          <t>L/kg</t>
        </is>
      </c>
      <c r="BP319"/>
      <c r="BQ319"/>
      <c r="BR319"/>
      <c r="BS319"/>
      <c r="BT319"/>
      <c r="BU319"/>
      <c r="BV319"/>
      <c r="BW319"/>
      <c r="BX319"/>
      <c r="BY319"/>
      <c r="BZ319"/>
      <c r="CA319"/>
      <c r="CB319"/>
      <c r="CC319"/>
      <c r="CD319" t="inlineStr">
        <is>
          <t>Liu,C., V.W.C. Chang, K.Y.H. Gin, and V.T. Nguyen</t>
        </is>
      </c>
      <c r="CE319" t="n">
        <v>175715.0</v>
      </c>
      <c r="CF319" t="inlineStr">
        <is>
          <t>Genotoxicity of Perfluorinated Chemicals (PFCs) to the Green Mussel (Perna viridis)</t>
        </is>
      </c>
      <c r="CG319" t="inlineStr">
        <is>
          <t>Sci. Total Environ.487:117-122</t>
        </is>
      </c>
      <c r="CH319" t="n">
        <v>2014.0</v>
      </c>
      <c r="CI319" t="inlineStr">
        <is>
          <t>Liu,C., V.W.C. Chang, K.Y.H. Gin, and V.T. Nguyen (2014). Genotoxicity of Perfluorinated Chemicals (PFCs) to the Green Mussel (Perna viridis). Sci. Total Environ., 487, 117-122. doi:10.1016/j.scitotenv.2014.04.017. ECOREF#:175715</t>
        </is>
      </c>
    </row>
    <row r="320">
      <c r="A320" t="n">
        <v>2795393.0</v>
      </c>
      <c r="B320" t="inlineStr">
        <is>
          <t>1,1,2,2,3,3,4,4,5,5,6,6,7,7,8,8,8-Heptadecafluoro-1-octanesulfonic acid potassium salt</t>
        </is>
      </c>
      <c r="C320"/>
      <c r="D320" t="inlineStr">
        <is>
          <t>Measured</t>
        </is>
      </c>
      <c r="E320"/>
      <c r="F320" t="n">
        <v>98.0</v>
      </c>
      <c r="G320"/>
      <c r="H320"/>
      <c r="I320"/>
      <c r="J320"/>
      <c r="K320" t="inlineStr">
        <is>
          <t>Perna viridis</t>
        </is>
      </c>
      <c r="L320" t="inlineStr">
        <is>
          <t>Green Mussel</t>
        </is>
      </c>
      <c r="M320" t="inlineStr">
        <is>
          <t>Molluscs</t>
        </is>
      </c>
      <c r="N320"/>
      <c r="O320"/>
      <c r="P320"/>
      <c r="Q320"/>
      <c r="R320"/>
      <c r="S320"/>
      <c r="T320"/>
      <c r="U320"/>
      <c r="V320" t="inlineStr">
        <is>
          <t>Renewal</t>
        </is>
      </c>
      <c r="W320" t="inlineStr">
        <is>
          <t>Salt water</t>
        </is>
      </c>
      <c r="X320" t="inlineStr">
        <is>
          <t>Lab</t>
        </is>
      </c>
      <c r="Y320" t="n">
        <v>6.0</v>
      </c>
      <c r="Z320" t="inlineStr">
        <is>
          <t>Active ingredient</t>
        </is>
      </c>
      <c r="AA320"/>
      <c r="AB320" t="n">
        <v>0.096</v>
      </c>
      <c r="AC320"/>
      <c r="AD320"/>
      <c r="AE320"/>
      <c r="AF320"/>
      <c r="AG320" t="inlineStr">
        <is>
          <t>AI mg/L</t>
        </is>
      </c>
      <c r="AH320"/>
      <c r="AI320"/>
      <c r="AJ320"/>
      <c r="AK320"/>
      <c r="AL320"/>
      <c r="AM320"/>
      <c r="AN320"/>
      <c r="AO320"/>
      <c r="AP320"/>
      <c r="AQ320"/>
      <c r="AR320"/>
      <c r="AS320"/>
      <c r="AT320"/>
      <c r="AU320"/>
      <c r="AV320"/>
      <c r="AW320"/>
      <c r="AX320" t="inlineStr">
        <is>
          <t>Accumulation</t>
        </is>
      </c>
      <c r="AY320" t="inlineStr">
        <is>
          <t>Residue</t>
        </is>
      </c>
      <c r="AZ320" t="inlineStr">
        <is>
          <t>BCFD</t>
        </is>
      </c>
      <c r="BA320" t="inlineStr">
        <is>
          <t>Tissue</t>
        </is>
      </c>
      <c r="BB320"/>
      <c r="BC320" t="n">
        <v>4.0</v>
      </c>
      <c r="BD320"/>
      <c r="BE320"/>
      <c r="BF320"/>
      <c r="BG320"/>
      <c r="BH320" t="inlineStr">
        <is>
          <t>Day(s)</t>
        </is>
      </c>
      <c r="BI320"/>
      <c r="BJ320"/>
      <c r="BK320" t="inlineStr">
        <is>
          <t>&gt;</t>
        </is>
      </c>
      <c r="BL320" t="n">
        <v>40.0</v>
      </c>
      <c r="BM320" t="inlineStr">
        <is>
          <t>&lt;</t>
        </is>
      </c>
      <c r="BN320" t="n">
        <v>60.0</v>
      </c>
      <c r="BO320" t="inlineStr">
        <is>
          <t>L/kg</t>
        </is>
      </c>
      <c r="BP320"/>
      <c r="BQ320"/>
      <c r="BR320"/>
      <c r="BS320"/>
      <c r="BT320"/>
      <c r="BU320"/>
      <c r="BV320"/>
      <c r="BW320"/>
      <c r="BX320"/>
      <c r="BY320"/>
      <c r="BZ320"/>
      <c r="CA320"/>
      <c r="CB320"/>
      <c r="CC320"/>
      <c r="CD320" t="inlineStr">
        <is>
          <t>Liu,C., V.W.C. Chang, K.Y.H. Gin, and V.T. Nguyen</t>
        </is>
      </c>
      <c r="CE320" t="n">
        <v>175715.0</v>
      </c>
      <c r="CF320" t="inlineStr">
        <is>
          <t>Genotoxicity of Perfluorinated Chemicals (PFCs) to the Green Mussel (Perna viridis)</t>
        </is>
      </c>
      <c r="CG320" t="inlineStr">
        <is>
          <t>Sci. Total Environ.487:117-122</t>
        </is>
      </c>
      <c r="CH320" t="n">
        <v>2014.0</v>
      </c>
      <c r="CI320" t="inlineStr">
        <is>
          <t>Liu,C., V.W.C. Chang, K.Y.H. Gin, and V.T. Nguyen (2014). Genotoxicity of Perfluorinated Chemicals (PFCs) to the Green Mussel (Perna viridis). Sci. Total Environ., 487, 117-122. doi:10.1016/j.scitotenv.2014.04.017. ECOREF#:175715</t>
        </is>
      </c>
    </row>
    <row r="321">
      <c r="A321" t="n">
        <v>2795393.0</v>
      </c>
      <c r="B321" t="inlineStr">
        <is>
          <t>1,1,2,2,3,3,4,4,5,5,6,6,7,7,8,8,8-Heptadecafluoro-1-octanesulfonic acid potassium salt</t>
        </is>
      </c>
      <c r="C321"/>
      <c r="D321" t="inlineStr">
        <is>
          <t>Measured</t>
        </is>
      </c>
      <c r="E321"/>
      <c r="F321" t="n">
        <v>98.0</v>
      </c>
      <c r="G321"/>
      <c r="H321"/>
      <c r="I321"/>
      <c r="J321"/>
      <c r="K321" t="inlineStr">
        <is>
          <t>Perna viridis</t>
        </is>
      </c>
      <c r="L321" t="inlineStr">
        <is>
          <t>Green Mussel</t>
        </is>
      </c>
      <c r="M321" t="inlineStr">
        <is>
          <t>Molluscs</t>
        </is>
      </c>
      <c r="N321"/>
      <c r="O321"/>
      <c r="P321"/>
      <c r="Q321"/>
      <c r="R321"/>
      <c r="S321"/>
      <c r="T321"/>
      <c r="U321"/>
      <c r="V321" t="inlineStr">
        <is>
          <t>Renewal</t>
        </is>
      </c>
      <c r="W321" t="inlineStr">
        <is>
          <t>Salt water</t>
        </is>
      </c>
      <c r="X321" t="inlineStr">
        <is>
          <t>Lab</t>
        </is>
      </c>
      <c r="Y321" t="n">
        <v>6.0</v>
      </c>
      <c r="Z321" t="inlineStr">
        <is>
          <t>Active ingredient</t>
        </is>
      </c>
      <c r="AA321"/>
      <c r="AB321" t="n">
        <v>0.096</v>
      </c>
      <c r="AC321"/>
      <c r="AD321"/>
      <c r="AE321"/>
      <c r="AF321"/>
      <c r="AG321" t="inlineStr">
        <is>
          <t>AI mg/L</t>
        </is>
      </c>
      <c r="AH321"/>
      <c r="AI321"/>
      <c r="AJ321"/>
      <c r="AK321"/>
      <c r="AL321"/>
      <c r="AM321"/>
      <c r="AN321"/>
      <c r="AO321"/>
      <c r="AP321"/>
      <c r="AQ321"/>
      <c r="AR321"/>
      <c r="AS321"/>
      <c r="AT321"/>
      <c r="AU321"/>
      <c r="AV321"/>
      <c r="AW321"/>
      <c r="AX321" t="inlineStr">
        <is>
          <t>Accumulation</t>
        </is>
      </c>
      <c r="AY321" t="inlineStr">
        <is>
          <t>Residue</t>
        </is>
      </c>
      <c r="AZ321" t="inlineStr">
        <is>
          <t>BCFD</t>
        </is>
      </c>
      <c r="BA321" t="inlineStr">
        <is>
          <t>Tissue</t>
        </is>
      </c>
      <c r="BB321"/>
      <c r="BC321" t="n">
        <v>6.0</v>
      </c>
      <c r="BD321"/>
      <c r="BE321"/>
      <c r="BF321"/>
      <c r="BG321"/>
      <c r="BH321" t="inlineStr">
        <is>
          <t>Day(s)</t>
        </is>
      </c>
      <c r="BI321"/>
      <c r="BJ321"/>
      <c r="BK321" t="inlineStr">
        <is>
          <t>&gt;</t>
        </is>
      </c>
      <c r="BL321" t="n">
        <v>40.0</v>
      </c>
      <c r="BM321" t="inlineStr">
        <is>
          <t>&lt;</t>
        </is>
      </c>
      <c r="BN321" t="n">
        <v>60.0</v>
      </c>
      <c r="BO321" t="inlineStr">
        <is>
          <t>L/kg</t>
        </is>
      </c>
      <c r="BP321"/>
      <c r="BQ321"/>
      <c r="BR321"/>
      <c r="BS321"/>
      <c r="BT321"/>
      <c r="BU321"/>
      <c r="BV321"/>
      <c r="BW321"/>
      <c r="BX321"/>
      <c r="BY321"/>
      <c r="BZ321"/>
      <c r="CA321"/>
      <c r="CB321"/>
      <c r="CC321"/>
      <c r="CD321" t="inlineStr">
        <is>
          <t>Liu,C., V.W.C. Chang, K.Y.H. Gin, and V.T. Nguyen</t>
        </is>
      </c>
      <c r="CE321" t="n">
        <v>175715.0</v>
      </c>
      <c r="CF321" t="inlineStr">
        <is>
          <t>Genotoxicity of Perfluorinated Chemicals (PFCs) to the Green Mussel (Perna viridis)</t>
        </is>
      </c>
      <c r="CG321" t="inlineStr">
        <is>
          <t>Sci. Total Environ.487:117-122</t>
        </is>
      </c>
      <c r="CH321" t="n">
        <v>2014.0</v>
      </c>
      <c r="CI321" t="inlineStr">
        <is>
          <t>Liu,C., V.W.C. Chang, K.Y.H. Gin, and V.T. Nguyen (2014). Genotoxicity of Perfluorinated Chemicals (PFCs) to the Green Mussel (Perna viridis). Sci. Total Environ., 487, 117-122. doi:10.1016/j.scitotenv.2014.04.017. ECOREF#:175715</t>
        </is>
      </c>
    </row>
    <row r="322">
      <c r="A322" t="n">
        <v>2795393.0</v>
      </c>
      <c r="B322" t="inlineStr">
        <is>
          <t>1,1,2,2,3,3,4,4,5,5,6,6,7,7,8,8,8-Heptadecafluoro-1-octanesulfonic acid potassium salt</t>
        </is>
      </c>
      <c r="C322"/>
      <c r="D322" t="inlineStr">
        <is>
          <t>Measured</t>
        </is>
      </c>
      <c r="E322"/>
      <c r="F322" t="n">
        <v>98.0</v>
      </c>
      <c r="G322"/>
      <c r="H322"/>
      <c r="I322"/>
      <c r="J322"/>
      <c r="K322" t="inlineStr">
        <is>
          <t>Perna viridis</t>
        </is>
      </c>
      <c r="L322" t="inlineStr">
        <is>
          <t>Green Mussel</t>
        </is>
      </c>
      <c r="M322" t="inlineStr">
        <is>
          <t>Molluscs</t>
        </is>
      </c>
      <c r="N322"/>
      <c r="O322"/>
      <c r="P322"/>
      <c r="Q322"/>
      <c r="R322"/>
      <c r="S322"/>
      <c r="T322"/>
      <c r="U322"/>
      <c r="V322" t="inlineStr">
        <is>
          <t>Renewal</t>
        </is>
      </c>
      <c r="W322" t="inlineStr">
        <is>
          <t>Salt water</t>
        </is>
      </c>
      <c r="X322" t="inlineStr">
        <is>
          <t>Lab</t>
        </is>
      </c>
      <c r="Y322" t="n">
        <v>6.0</v>
      </c>
      <c r="Z322" t="inlineStr">
        <is>
          <t>Active ingredient</t>
        </is>
      </c>
      <c r="AA322"/>
      <c r="AB322" t="n">
        <v>0.096</v>
      </c>
      <c r="AC322"/>
      <c r="AD322"/>
      <c r="AE322"/>
      <c r="AF322"/>
      <c r="AG322" t="inlineStr">
        <is>
          <t>AI mg/L</t>
        </is>
      </c>
      <c r="AH322"/>
      <c r="AI322"/>
      <c r="AJ322"/>
      <c r="AK322"/>
      <c r="AL322"/>
      <c r="AM322"/>
      <c r="AN322"/>
      <c r="AO322"/>
      <c r="AP322"/>
      <c r="AQ322"/>
      <c r="AR322"/>
      <c r="AS322"/>
      <c r="AT322"/>
      <c r="AU322"/>
      <c r="AV322"/>
      <c r="AW322"/>
      <c r="AX322" t="inlineStr">
        <is>
          <t>Accumulation</t>
        </is>
      </c>
      <c r="AY322" t="inlineStr">
        <is>
          <t>Residue</t>
        </is>
      </c>
      <c r="AZ322" t="inlineStr">
        <is>
          <t>BCFD</t>
        </is>
      </c>
      <c r="BA322" t="inlineStr">
        <is>
          <t>Tissue</t>
        </is>
      </c>
      <c r="BB322"/>
      <c r="BC322" t="n">
        <v>7.0</v>
      </c>
      <c r="BD322"/>
      <c r="BE322"/>
      <c r="BF322"/>
      <c r="BG322"/>
      <c r="BH322" t="inlineStr">
        <is>
          <t>Day(s)</t>
        </is>
      </c>
      <c r="BI322"/>
      <c r="BJ322"/>
      <c r="BK322" t="inlineStr">
        <is>
          <t>&gt;</t>
        </is>
      </c>
      <c r="BL322" t="n">
        <v>40.0</v>
      </c>
      <c r="BM322" t="inlineStr">
        <is>
          <t>&lt;</t>
        </is>
      </c>
      <c r="BN322" t="n">
        <v>60.0</v>
      </c>
      <c r="BO322" t="inlineStr">
        <is>
          <t>L/kg</t>
        </is>
      </c>
      <c r="BP322"/>
      <c r="BQ322"/>
      <c r="BR322"/>
      <c r="BS322"/>
      <c r="BT322"/>
      <c r="BU322"/>
      <c r="BV322"/>
      <c r="BW322"/>
      <c r="BX322"/>
      <c r="BY322"/>
      <c r="BZ322"/>
      <c r="CA322"/>
      <c r="CB322"/>
      <c r="CC322"/>
      <c r="CD322" t="inlineStr">
        <is>
          <t>Liu,C., V.W.C. Chang, K.Y.H. Gin, and V.T. Nguyen</t>
        </is>
      </c>
      <c r="CE322" t="n">
        <v>175715.0</v>
      </c>
      <c r="CF322" t="inlineStr">
        <is>
          <t>Genotoxicity of Perfluorinated Chemicals (PFCs) to the Green Mussel (Perna viridis)</t>
        </is>
      </c>
      <c r="CG322" t="inlineStr">
        <is>
          <t>Sci. Total Environ.487:117-122</t>
        </is>
      </c>
      <c r="CH322" t="n">
        <v>2014.0</v>
      </c>
      <c r="CI322" t="inlineStr">
        <is>
          <t>Liu,C., V.W.C. Chang, K.Y.H. Gin, and V.T. Nguyen (2014). Genotoxicity of Perfluorinated Chemicals (PFCs) to the Green Mussel (Perna viridis). Sci. Total Environ., 487, 117-122. doi:10.1016/j.scitotenv.2014.04.017. ECOREF#:175715</t>
        </is>
      </c>
    </row>
    <row r="323">
      <c r="A323" t="n">
        <v>2795393.0</v>
      </c>
      <c r="B323" t="inlineStr">
        <is>
          <t>1,1,2,2,3,3,4,4,5,5,6,6,7,7,8,8,8-Heptadecafluoro-1-octanesulfonic acid potassium salt</t>
        </is>
      </c>
      <c r="C323"/>
      <c r="D323" t="inlineStr">
        <is>
          <t>Measured</t>
        </is>
      </c>
      <c r="E323"/>
      <c r="F323" t="n">
        <v>98.0</v>
      </c>
      <c r="G323"/>
      <c r="H323"/>
      <c r="I323"/>
      <c r="J323"/>
      <c r="K323" t="inlineStr">
        <is>
          <t>Perna viridis</t>
        </is>
      </c>
      <c r="L323" t="inlineStr">
        <is>
          <t>Green Mussel</t>
        </is>
      </c>
      <c r="M323" t="inlineStr">
        <is>
          <t>Molluscs</t>
        </is>
      </c>
      <c r="N323"/>
      <c r="O323"/>
      <c r="P323"/>
      <c r="Q323"/>
      <c r="R323"/>
      <c r="S323"/>
      <c r="T323"/>
      <c r="U323"/>
      <c r="V323" t="inlineStr">
        <is>
          <t>Renewal</t>
        </is>
      </c>
      <c r="W323" t="inlineStr">
        <is>
          <t>Salt water</t>
        </is>
      </c>
      <c r="X323" t="inlineStr">
        <is>
          <t>Lab</t>
        </is>
      </c>
      <c r="Y323" t="n">
        <v>7.0</v>
      </c>
      <c r="Z323" t="inlineStr">
        <is>
          <t>Active ingredient</t>
        </is>
      </c>
      <c r="AA323"/>
      <c r="AB323"/>
      <c r="AC323"/>
      <c r="AD323" t="n">
        <v>1.2E-4</v>
      </c>
      <c r="AE323"/>
      <c r="AF323" t="n">
        <v>10.156</v>
      </c>
      <c r="AG323" t="inlineStr">
        <is>
          <t>AI mg/L</t>
        </is>
      </c>
      <c r="AH323"/>
      <c r="AI323"/>
      <c r="AJ323"/>
      <c r="AK323"/>
      <c r="AL323"/>
      <c r="AM323"/>
      <c r="AN323"/>
      <c r="AO323"/>
      <c r="AP323"/>
      <c r="AQ323"/>
      <c r="AR323"/>
      <c r="AS323"/>
      <c r="AT323"/>
      <c r="AU323"/>
      <c r="AV323"/>
      <c r="AW323"/>
      <c r="AX323" t="inlineStr">
        <is>
          <t>Accumulation</t>
        </is>
      </c>
      <c r="AY323" t="inlineStr">
        <is>
          <t>Residue</t>
        </is>
      </c>
      <c r="AZ323"/>
      <c r="BA323" t="inlineStr">
        <is>
          <t>Soft tissue</t>
        </is>
      </c>
      <c r="BB323"/>
      <c r="BC323" t="n">
        <v>7.0</v>
      </c>
      <c r="BD323"/>
      <c r="BE323"/>
      <c r="BF323"/>
      <c r="BG323"/>
      <c r="BH323" t="inlineStr">
        <is>
          <t>Day(s)</t>
        </is>
      </c>
      <c r="BI323"/>
      <c r="BJ323"/>
      <c r="BK323"/>
      <c r="BL323"/>
      <c r="BM323"/>
      <c r="BN323"/>
      <c r="BO323" t="inlineStr">
        <is>
          <t>--</t>
        </is>
      </c>
      <c r="BP323"/>
      <c r="BQ323"/>
      <c r="BR323"/>
      <c r="BS323"/>
      <c r="BT323"/>
      <c r="BU323"/>
      <c r="BV323"/>
      <c r="BW323"/>
      <c r="BX323"/>
      <c r="BY323"/>
      <c r="BZ323"/>
      <c r="CA323"/>
      <c r="CB323"/>
      <c r="CC323"/>
      <c r="CD323" t="inlineStr">
        <is>
          <t>Liu,C., V.W.C. Chang, and K.Y.H. Gin</t>
        </is>
      </c>
      <c r="CE323" t="n">
        <v>175762.0</v>
      </c>
      <c r="CF323" t="inlineStr">
        <is>
          <t>Oxidative Toxicity of Perfluorinated Chemicals in Green Mussel and Bioaccumulation Factor Dependent Quantitative Structure-Activity Relationship</t>
        </is>
      </c>
      <c r="CG323" t="inlineStr">
        <is>
          <t>Environ. Toxicol. Chem.33(10): 2323-2332</t>
        </is>
      </c>
      <c r="CH323" t="n">
        <v>2014.0</v>
      </c>
      <c r="CI323" t="inlineStr">
        <is>
          <t>Liu,C., V.W.C. Chang, and K.Y.H. Gin (2014). Oxidative Toxicity of Perfluorinated Chemicals in Green Mussel and Bioaccumulation Factor Dependent Quantitative Structure-Activity Relationship. Environ. Toxicol. Chem., 33, (10), 2323-2332. doi:10.1002/etc.2679. ECOREF#:175762</t>
        </is>
      </c>
    </row>
    <row r="324">
      <c r="A324" t="n">
        <v>2795393.0</v>
      </c>
      <c r="B324" t="inlineStr">
        <is>
          <t>1,1,2,2,3,3,4,4,5,5,6,6,7,7,8,8,8-Heptadecafluoro-1-octanesulfonic acid potassium salt</t>
        </is>
      </c>
      <c r="C324"/>
      <c r="D324" t="inlineStr">
        <is>
          <t>Measured</t>
        </is>
      </c>
      <c r="E324"/>
      <c r="F324" t="n">
        <v>98.0</v>
      </c>
      <c r="G324"/>
      <c r="H324"/>
      <c r="I324"/>
      <c r="J324"/>
      <c r="K324" t="inlineStr">
        <is>
          <t>Mytilus viridis</t>
        </is>
      </c>
      <c r="L324" t="inlineStr">
        <is>
          <t>Green Mussel</t>
        </is>
      </c>
      <c r="M324" t="inlineStr">
        <is>
          <t>Molluscs</t>
        </is>
      </c>
      <c r="N324"/>
      <c r="O324"/>
      <c r="P324"/>
      <c r="Q324"/>
      <c r="R324"/>
      <c r="S324"/>
      <c r="T324"/>
      <c r="U324"/>
      <c r="V324" t="inlineStr">
        <is>
          <t>Renewal</t>
        </is>
      </c>
      <c r="W324" t="inlineStr">
        <is>
          <t>Salt water</t>
        </is>
      </c>
      <c r="X324" t="inlineStr">
        <is>
          <t>Lab</t>
        </is>
      </c>
      <c r="Y324" t="n">
        <v>6.0</v>
      </c>
      <c r="Z324" t="inlineStr">
        <is>
          <t>Active ingredient</t>
        </is>
      </c>
      <c r="AA324"/>
      <c r="AB324"/>
      <c r="AC324"/>
      <c r="AD324" t="n">
        <v>1.2E-4</v>
      </c>
      <c r="AE324"/>
      <c r="AF324" t="n">
        <v>0.968</v>
      </c>
      <c r="AG324" t="inlineStr">
        <is>
          <t>AI mg/L</t>
        </is>
      </c>
      <c r="AH324"/>
      <c r="AI324"/>
      <c r="AJ324"/>
      <c r="AK324"/>
      <c r="AL324"/>
      <c r="AM324"/>
      <c r="AN324"/>
      <c r="AO324"/>
      <c r="AP324"/>
      <c r="AQ324"/>
      <c r="AR324"/>
      <c r="AS324"/>
      <c r="AT324"/>
      <c r="AU324"/>
      <c r="AV324"/>
      <c r="AW324"/>
      <c r="AX324" t="inlineStr">
        <is>
          <t>Accumulation</t>
        </is>
      </c>
      <c r="AY324" t="inlineStr">
        <is>
          <t>Residue</t>
        </is>
      </c>
      <c r="AZ324"/>
      <c r="BA324" t="inlineStr">
        <is>
          <t>Whole organism</t>
        </is>
      </c>
      <c r="BB324"/>
      <c r="BC324" t="n">
        <v>14.0</v>
      </c>
      <c r="BD324"/>
      <c r="BE324"/>
      <c r="BF324"/>
      <c r="BG324"/>
      <c r="BH324" t="inlineStr">
        <is>
          <t>Day(s)</t>
        </is>
      </c>
      <c r="BI324"/>
      <c r="BJ324"/>
      <c r="BK324"/>
      <c r="BL324"/>
      <c r="BM324"/>
      <c r="BN324"/>
      <c r="BO324" t="inlineStr">
        <is>
          <t>--</t>
        </is>
      </c>
      <c r="BP324"/>
      <c r="BQ324"/>
      <c r="BR324"/>
      <c r="BS324"/>
      <c r="BT324"/>
      <c r="BU324"/>
      <c r="BV324"/>
      <c r="BW324"/>
      <c r="BX324"/>
      <c r="BY324"/>
      <c r="BZ324"/>
      <c r="CA324"/>
      <c r="CB324"/>
      <c r="CC324"/>
      <c r="CD324" t="inlineStr">
        <is>
          <t>Liu,C., and K.Y. Gin</t>
        </is>
      </c>
      <c r="CE324" t="n">
        <v>177106.0</v>
      </c>
      <c r="CF324" t="inlineStr">
        <is>
          <t>Immunotoxicity in Green Mussels Under Perfluoroalkyl Substance (PFAS) Exposure: Reversible Response and Response Model Development</t>
        </is>
      </c>
      <c r="CG324" t="inlineStr">
        <is>
          <t>Environ. Toxicol. Chem.37(4): 1138-1145</t>
        </is>
      </c>
      <c r="CH324" t="n">
        <v>2018.0</v>
      </c>
      <c r="CI324" t="inlineStr">
        <is>
          <t>Liu,C., and K.Y. Gin (2018). Immunotoxicity in Green Mussels Under Perfluoroalkyl Substance (PFAS) Exposure: Reversible Response and Response Model Development. Environ. Toxicol. Chem., 37, (4), 1138-1145. doi:10.1002/etc.4060. ECOREF#:177106</t>
        </is>
      </c>
    </row>
    <row r="325">
      <c r="A325" t="n">
        <v>2795393.0</v>
      </c>
      <c r="B325" t="inlineStr">
        <is>
          <t>1,1,2,2,3,3,4,4,5,5,6,6,7,7,8,8,8-Heptadecafluoro-1-octanesulfonic acid potassium salt</t>
        </is>
      </c>
      <c r="C325"/>
      <c r="D325" t="inlineStr">
        <is>
          <t>Measured</t>
        </is>
      </c>
      <c r="E325"/>
      <c r="F325" t="n">
        <v>98.0</v>
      </c>
      <c r="G325"/>
      <c r="H325"/>
      <c r="I325"/>
      <c r="J325"/>
      <c r="K325" t="inlineStr">
        <is>
          <t>Perna viridis</t>
        </is>
      </c>
      <c r="L325" t="inlineStr">
        <is>
          <t>Green Mussel</t>
        </is>
      </c>
      <c r="M325" t="inlineStr">
        <is>
          <t>Molluscs</t>
        </is>
      </c>
      <c r="N325"/>
      <c r="O325"/>
      <c r="P325"/>
      <c r="Q325"/>
      <c r="R325"/>
      <c r="S325"/>
      <c r="T325"/>
      <c r="U325"/>
      <c r="V325" t="inlineStr">
        <is>
          <t>Renewal</t>
        </is>
      </c>
      <c r="W325" t="inlineStr">
        <is>
          <t>Salt water</t>
        </is>
      </c>
      <c r="X325" t="inlineStr">
        <is>
          <t>Lab</t>
        </is>
      </c>
      <c r="Y325" t="n">
        <v>6.0</v>
      </c>
      <c r="Z325" t="inlineStr">
        <is>
          <t>Active ingredient</t>
        </is>
      </c>
      <c r="AA325"/>
      <c r="AB325"/>
      <c r="AC325"/>
      <c r="AD325" t="n">
        <v>1.2E-4</v>
      </c>
      <c r="AE325"/>
      <c r="AF325" t="n">
        <v>0.968</v>
      </c>
      <c r="AG325" t="inlineStr">
        <is>
          <t>AI mg/L</t>
        </is>
      </c>
      <c r="AH325"/>
      <c r="AI325"/>
      <c r="AJ325"/>
      <c r="AK325"/>
      <c r="AL325"/>
      <c r="AM325"/>
      <c r="AN325"/>
      <c r="AO325"/>
      <c r="AP325"/>
      <c r="AQ325"/>
      <c r="AR325"/>
      <c r="AS325"/>
      <c r="AT325"/>
      <c r="AU325"/>
      <c r="AV325"/>
      <c r="AW325"/>
      <c r="AX325" t="inlineStr">
        <is>
          <t>Accumulation</t>
        </is>
      </c>
      <c r="AY325" t="inlineStr">
        <is>
          <t>Residue</t>
        </is>
      </c>
      <c r="AZ325"/>
      <c r="BA325" t="inlineStr">
        <is>
          <t>Tissue</t>
        </is>
      </c>
      <c r="BB325"/>
      <c r="BC325" t="n">
        <v>7.0</v>
      </c>
      <c r="BD325"/>
      <c r="BE325"/>
      <c r="BF325"/>
      <c r="BG325"/>
      <c r="BH325" t="inlineStr">
        <is>
          <t>Day(s)</t>
        </is>
      </c>
      <c r="BI325"/>
      <c r="BJ325"/>
      <c r="BK325"/>
      <c r="BL325"/>
      <c r="BM325"/>
      <c r="BN325"/>
      <c r="BO325" t="inlineStr">
        <is>
          <t>--</t>
        </is>
      </c>
      <c r="BP325"/>
      <c r="BQ325"/>
      <c r="BR325"/>
      <c r="BS325"/>
      <c r="BT325"/>
      <c r="BU325"/>
      <c r="BV325"/>
      <c r="BW325"/>
      <c r="BX325"/>
      <c r="BY325"/>
      <c r="BZ325"/>
      <c r="CA325"/>
      <c r="CB325"/>
      <c r="CC325"/>
      <c r="CD325" t="inlineStr">
        <is>
          <t>Liu,C., V.W. Chang, and K.Y. Gin</t>
        </is>
      </c>
      <c r="CE325" t="n">
        <v>182461.0</v>
      </c>
      <c r="CF325" t="inlineStr">
        <is>
          <t>Environmental Toxicity of PFCs: An Enhanced Integrated Biomarker Assessment and Structure-Activity Analysis</t>
        </is>
      </c>
      <c r="CG325" t="inlineStr">
        <is>
          <t>Environ. Toxicol. Chem.32(10): 2226-2233</t>
        </is>
      </c>
      <c r="CH325" t="n">
        <v>2013.0</v>
      </c>
      <c r="CI325" t="inlineStr">
        <is>
          <t>Liu,C., V.W. Chang, and K.Y. Gin (2013). Environmental Toxicity of PFCs: An Enhanced Integrated Biomarker Assessment and Structure-Activity Analysis. Environ. Toxicol. Chem., 32, (10), 2226-2233. doi:10.1002/etc.2306. ECOREF#:182461</t>
        </is>
      </c>
    </row>
    <row r="326">
      <c r="A326" t="n">
        <v>2795393.0</v>
      </c>
      <c r="B326" t="inlineStr">
        <is>
          <t>1,1,2,2,3,3,4,4,5,5,6,6,7,7,8,8,8-Heptadecafluoro-1-octanesulfonic acid potassium salt</t>
        </is>
      </c>
      <c r="C326"/>
      <c r="D326" t="inlineStr">
        <is>
          <t>Unmeasured</t>
        </is>
      </c>
      <c r="E326"/>
      <c r="F326" t="n">
        <v>98.0</v>
      </c>
      <c r="G326"/>
      <c r="H326"/>
      <c r="I326"/>
      <c r="J326"/>
      <c r="K326" t="inlineStr">
        <is>
          <t>Mytilus californianus</t>
        </is>
      </c>
      <c r="L326" t="inlineStr">
        <is>
          <t>Mussel</t>
        </is>
      </c>
      <c r="M326" t="inlineStr">
        <is>
          <t>Molluscs</t>
        </is>
      </c>
      <c r="N326"/>
      <c r="O326"/>
      <c r="P326"/>
      <c r="Q326"/>
      <c r="R326"/>
      <c r="S326"/>
      <c r="T326"/>
      <c r="U326"/>
      <c r="V326" t="inlineStr">
        <is>
          <t>Static</t>
        </is>
      </c>
      <c r="W326" t="inlineStr">
        <is>
          <t>Salt water</t>
        </is>
      </c>
      <c r="X326" t="inlineStr">
        <is>
          <t>Lab</t>
        </is>
      </c>
      <c r="Y326" t="n">
        <v>2.0</v>
      </c>
      <c r="Z326" t="inlineStr">
        <is>
          <t>Active ingredient</t>
        </is>
      </c>
      <c r="AA326"/>
      <c r="AB326" t="n">
        <v>0.05392253</v>
      </c>
      <c r="AC326"/>
      <c r="AD326"/>
      <c r="AE326"/>
      <c r="AF326"/>
      <c r="AG326" t="inlineStr">
        <is>
          <t>AI mg/L</t>
        </is>
      </c>
      <c r="AH326"/>
      <c r="AI326"/>
      <c r="AJ326"/>
      <c r="AK326"/>
      <c r="AL326"/>
      <c r="AM326"/>
      <c r="AN326"/>
      <c r="AO326"/>
      <c r="AP326"/>
      <c r="AQ326"/>
      <c r="AR326"/>
      <c r="AS326"/>
      <c r="AT326"/>
      <c r="AU326"/>
      <c r="AV326"/>
      <c r="AW326"/>
      <c r="AX326" t="inlineStr">
        <is>
          <t>Accumulation</t>
        </is>
      </c>
      <c r="AY326" t="inlineStr">
        <is>
          <t>Residue</t>
        </is>
      </c>
      <c r="AZ326"/>
      <c r="BA326" t="inlineStr">
        <is>
          <t>Gill(s)</t>
        </is>
      </c>
      <c r="BB326"/>
      <c r="BC326" t="n">
        <v>0.0417</v>
      </c>
      <c r="BD326"/>
      <c r="BE326"/>
      <c r="BF326"/>
      <c r="BG326"/>
      <c r="BH326" t="inlineStr">
        <is>
          <t>Day(s)</t>
        </is>
      </c>
      <c r="BI326"/>
      <c r="BJ326"/>
      <c r="BK326"/>
      <c r="BL326"/>
      <c r="BM326"/>
      <c r="BN326"/>
      <c r="BO326" t="inlineStr">
        <is>
          <t>--</t>
        </is>
      </c>
      <c r="BP326"/>
      <c r="BQ326"/>
      <c r="BR326"/>
      <c r="BS326"/>
      <c r="BT326"/>
      <c r="BU326"/>
      <c r="BV326"/>
      <c r="BW326"/>
      <c r="BX326"/>
      <c r="BY326"/>
      <c r="BZ326"/>
      <c r="CA326"/>
      <c r="CB326"/>
      <c r="CC326"/>
      <c r="CD326" t="inlineStr">
        <is>
          <t>Stevenson,C.N., L.A. MacManus-Spencer, T. Luckenbach, R.G. Luthy, and D. Epel</t>
        </is>
      </c>
      <c r="CE326" t="n">
        <v>175712.0</v>
      </c>
      <c r="CF326" t="inlineStr">
        <is>
          <t>New Perspectives on Perfluorochemical Ecotoxicology: Inhibition and Induction of an Efflux Transporter in the Marine Mussel, Mytilus californianus</t>
        </is>
      </c>
      <c r="CG326" t="inlineStr">
        <is>
          <t>Environ. Sci. Technol.40(17): 5580-5585</t>
        </is>
      </c>
      <c r="CH326" t="n">
        <v>2006.0</v>
      </c>
      <c r="CI326"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row>
    <row r="327">
      <c r="A327" t="n">
        <v>2795393.0</v>
      </c>
      <c r="B327" t="inlineStr">
        <is>
          <t>1,1,2,2,3,3,4,4,5,5,6,6,7,7,8,8,8-Heptadecafluoro-1-octanesulfonic acid potassium salt</t>
        </is>
      </c>
      <c r="C327"/>
      <c r="D327" t="inlineStr">
        <is>
          <t>Measured</t>
        </is>
      </c>
      <c r="E327"/>
      <c r="F327" t="n">
        <v>99.0</v>
      </c>
      <c r="G327"/>
      <c r="H327"/>
      <c r="I327"/>
      <c r="J327"/>
      <c r="K327" t="inlineStr">
        <is>
          <t>Crassostrea gigas</t>
        </is>
      </c>
      <c r="L327" t="inlineStr">
        <is>
          <t>Pacific Oyster</t>
        </is>
      </c>
      <c r="M327" t="inlineStr">
        <is>
          <t>Molluscs; Standard Test Species</t>
        </is>
      </c>
      <c r="N327"/>
      <c r="O327"/>
      <c r="P327"/>
      <c r="Q327"/>
      <c r="R327"/>
      <c r="S327"/>
      <c r="T327"/>
      <c r="U327"/>
      <c r="V327" t="inlineStr">
        <is>
          <t>Renewal</t>
        </is>
      </c>
      <c r="W327" t="inlineStr">
        <is>
          <t>Salt water</t>
        </is>
      </c>
      <c r="X327" t="inlineStr">
        <is>
          <t>Lab</t>
        </is>
      </c>
      <c r="Y327" t="n">
        <v>2.0</v>
      </c>
      <c r="Z327" t="inlineStr">
        <is>
          <t>Active ingredient</t>
        </is>
      </c>
      <c r="AA327"/>
      <c r="AB327" t="n">
        <v>0.0072</v>
      </c>
      <c r="AC327"/>
      <c r="AD327"/>
      <c r="AE327"/>
      <c r="AF327"/>
      <c r="AG327" t="inlineStr">
        <is>
          <t>AI mg/L</t>
        </is>
      </c>
      <c r="AH327"/>
      <c r="AI327"/>
      <c r="AJ327"/>
      <c r="AK327"/>
      <c r="AL327"/>
      <c r="AM327"/>
      <c r="AN327"/>
      <c r="AO327"/>
      <c r="AP327"/>
      <c r="AQ327"/>
      <c r="AR327"/>
      <c r="AS327"/>
      <c r="AT327"/>
      <c r="AU327"/>
      <c r="AV327"/>
      <c r="AW327"/>
      <c r="AX327" t="inlineStr">
        <is>
          <t>Accumulation</t>
        </is>
      </c>
      <c r="AY327" t="inlineStr">
        <is>
          <t>Residue</t>
        </is>
      </c>
      <c r="AZ327" t="inlineStr">
        <is>
          <t>BAF</t>
        </is>
      </c>
      <c r="BA327" t="inlineStr">
        <is>
          <t>Soft tissue</t>
        </is>
      </c>
      <c r="BB327"/>
      <c r="BC327" t="n">
        <v>28.0</v>
      </c>
      <c r="BD327"/>
      <c r="BE327"/>
      <c r="BF327"/>
      <c r="BG327"/>
      <c r="BH327" t="inlineStr">
        <is>
          <t>Day(s)</t>
        </is>
      </c>
      <c r="BI327"/>
      <c r="BJ327" t="n">
        <v>113.0</v>
      </c>
      <c r="BK327"/>
      <c r="BL327"/>
      <c r="BM327"/>
      <c r="BN327"/>
      <c r="BO327" t="inlineStr">
        <is>
          <t>--</t>
        </is>
      </c>
      <c r="BP327"/>
      <c r="BQ327"/>
      <c r="BR327"/>
      <c r="BS327"/>
      <c r="BT327"/>
      <c r="BU327"/>
      <c r="BV327"/>
      <c r="BW327"/>
      <c r="BX327"/>
      <c r="BY327"/>
      <c r="BZ327"/>
      <c r="CA327"/>
      <c r="CB327"/>
      <c r="CC327"/>
      <c r="CD327" t="inlineStr">
        <is>
          <t>Jeon,J., K. Kannan, H.K. Lim, H.B. Moon, J.S. Ra, and S.D. Kim</t>
        </is>
      </c>
      <c r="CE327" t="n">
        <v>150289.0</v>
      </c>
      <c r="CF327" t="inlineStr">
        <is>
          <t>Bioaccumulation of Perfluorochemicals in Pacific Oyster Under Different Salinity Gradients</t>
        </is>
      </c>
      <c r="CG327" t="inlineStr">
        <is>
          <t>Environ. Sci. Technol.44(7): 2695-2701</t>
        </is>
      </c>
      <c r="CH327" t="n">
        <v>2010.0</v>
      </c>
      <c r="CI327" t="inlineStr">
        <is>
          <t>Jeon,J., K. Kannan, H.K. Lim, H.B. Moon, J.S. Ra, and S.D. Kim (2010). Bioaccumulation of Perfluorochemicals in Pacific Oyster Under Different Salinity Gradients. Environ. Sci. Technol., 44, (7), 2695-2701. doi:10.1021/es100151r. ECOREF#:150289</t>
        </is>
      </c>
    </row>
    <row r="328">
      <c r="A328" t="n">
        <v>2795393.0</v>
      </c>
      <c r="B328" t="inlineStr">
        <is>
          <t>1,1,2,2,3,3,4,4,5,5,6,6,7,7,8,8,8-Heptadecafluoro-1-octanesulfonic acid potassium salt</t>
        </is>
      </c>
      <c r="C328"/>
      <c r="D328" t="inlineStr">
        <is>
          <t>Measured</t>
        </is>
      </c>
      <c r="E328"/>
      <c r="F328" t="n">
        <v>99.0</v>
      </c>
      <c r="G328"/>
      <c r="H328"/>
      <c r="I328"/>
      <c r="J328"/>
      <c r="K328" t="inlineStr">
        <is>
          <t>Crassostrea gigas</t>
        </is>
      </c>
      <c r="L328" t="inlineStr">
        <is>
          <t>Pacific Oyster</t>
        </is>
      </c>
      <c r="M328" t="inlineStr">
        <is>
          <t>Molluscs; Standard Test Species</t>
        </is>
      </c>
      <c r="N328"/>
      <c r="O328"/>
      <c r="P328"/>
      <c r="Q328"/>
      <c r="R328"/>
      <c r="S328"/>
      <c r="T328"/>
      <c r="U328"/>
      <c r="V328" t="inlineStr">
        <is>
          <t>Renewal</t>
        </is>
      </c>
      <c r="W328" t="inlineStr">
        <is>
          <t>Salt water</t>
        </is>
      </c>
      <c r="X328" t="inlineStr">
        <is>
          <t>Lab</t>
        </is>
      </c>
      <c r="Y328" t="n">
        <v>2.0</v>
      </c>
      <c r="Z328" t="inlineStr">
        <is>
          <t>Active ingredient</t>
        </is>
      </c>
      <c r="AA328"/>
      <c r="AB328" t="n">
        <v>0.007</v>
      </c>
      <c r="AC328"/>
      <c r="AD328"/>
      <c r="AE328"/>
      <c r="AF328"/>
      <c r="AG328" t="inlineStr">
        <is>
          <t>AI mg/L</t>
        </is>
      </c>
      <c r="AH328"/>
      <c r="AI328"/>
      <c r="AJ328"/>
      <c r="AK328"/>
      <c r="AL328"/>
      <c r="AM328"/>
      <c r="AN328"/>
      <c r="AO328"/>
      <c r="AP328"/>
      <c r="AQ328"/>
      <c r="AR328"/>
      <c r="AS328"/>
      <c r="AT328"/>
      <c r="AU328"/>
      <c r="AV328"/>
      <c r="AW328"/>
      <c r="AX328" t="inlineStr">
        <is>
          <t>Accumulation</t>
        </is>
      </c>
      <c r="AY328" t="inlineStr">
        <is>
          <t>Residue</t>
        </is>
      </c>
      <c r="AZ328" t="inlineStr">
        <is>
          <t>BAF</t>
        </is>
      </c>
      <c r="BA328" t="inlineStr">
        <is>
          <t>Soft tissue</t>
        </is>
      </c>
      <c r="BB328"/>
      <c r="BC328" t="n">
        <v>28.0</v>
      </c>
      <c r="BD328"/>
      <c r="BE328"/>
      <c r="BF328"/>
      <c r="BG328"/>
      <c r="BH328" t="inlineStr">
        <is>
          <t>Day(s)</t>
        </is>
      </c>
      <c r="BI328"/>
      <c r="BJ328" t="n">
        <v>127.1</v>
      </c>
      <c r="BK328"/>
      <c r="BL328"/>
      <c r="BM328"/>
      <c r="BN328"/>
      <c r="BO328" t="inlineStr">
        <is>
          <t>--</t>
        </is>
      </c>
      <c r="BP328"/>
      <c r="BQ328"/>
      <c r="BR328"/>
      <c r="BS328"/>
      <c r="BT328"/>
      <c r="BU328"/>
      <c r="BV328"/>
      <c r="BW328"/>
      <c r="BX328"/>
      <c r="BY328"/>
      <c r="BZ328"/>
      <c r="CA328"/>
      <c r="CB328"/>
      <c r="CC328"/>
      <c r="CD328" t="inlineStr">
        <is>
          <t>Jeon,J., K. Kannan, H.K. Lim, H.B. Moon, J.S. Ra, and S.D. Kim</t>
        </is>
      </c>
      <c r="CE328" t="n">
        <v>150289.0</v>
      </c>
      <c r="CF328" t="inlineStr">
        <is>
          <t>Bioaccumulation of Perfluorochemicals in Pacific Oyster Under Different Salinity Gradients</t>
        </is>
      </c>
      <c r="CG328" t="inlineStr">
        <is>
          <t>Environ. Sci. Technol.44(7): 2695-2701</t>
        </is>
      </c>
      <c r="CH328" t="n">
        <v>2010.0</v>
      </c>
      <c r="CI328" t="inlineStr">
        <is>
          <t>Jeon,J., K. Kannan, H.K. Lim, H.B. Moon, J.S. Ra, and S.D. Kim (2010). Bioaccumulation of Perfluorochemicals in Pacific Oyster Under Different Salinity Gradients. Environ. Sci. Technol., 44, (7), 2695-2701. doi:10.1021/es100151r. ECOREF#:150289</t>
        </is>
      </c>
    </row>
    <row r="329">
      <c r="A329" t="n">
        <v>2795393.0</v>
      </c>
      <c r="B329" t="inlineStr">
        <is>
          <t>1,1,2,2,3,3,4,4,5,5,6,6,7,7,8,8,8-Heptadecafluoro-1-octanesulfonic acid potassium salt</t>
        </is>
      </c>
      <c r="C329"/>
      <c r="D329" t="inlineStr">
        <is>
          <t>Measured</t>
        </is>
      </c>
      <c r="E329"/>
      <c r="F329" t="n">
        <v>99.0</v>
      </c>
      <c r="G329"/>
      <c r="H329"/>
      <c r="I329"/>
      <c r="J329"/>
      <c r="K329" t="inlineStr">
        <is>
          <t>Crassostrea gigas</t>
        </is>
      </c>
      <c r="L329" t="inlineStr">
        <is>
          <t>Pacific Oyster</t>
        </is>
      </c>
      <c r="M329" t="inlineStr">
        <is>
          <t>Molluscs; Standard Test Species</t>
        </is>
      </c>
      <c r="N329"/>
      <c r="O329"/>
      <c r="P329"/>
      <c r="Q329"/>
      <c r="R329"/>
      <c r="S329"/>
      <c r="T329"/>
      <c r="U329"/>
      <c r="V329" t="inlineStr">
        <is>
          <t>Renewal</t>
        </is>
      </c>
      <c r="W329" t="inlineStr">
        <is>
          <t>Salt water</t>
        </is>
      </c>
      <c r="X329" t="inlineStr">
        <is>
          <t>Lab</t>
        </is>
      </c>
      <c r="Y329" t="n">
        <v>2.0</v>
      </c>
      <c r="Z329" t="inlineStr">
        <is>
          <t>Active ingredient</t>
        </is>
      </c>
      <c r="AA329"/>
      <c r="AB329" t="n">
        <v>0.0061</v>
      </c>
      <c r="AC329"/>
      <c r="AD329"/>
      <c r="AE329"/>
      <c r="AF329"/>
      <c r="AG329" t="inlineStr">
        <is>
          <t>AI mg/L</t>
        </is>
      </c>
      <c r="AH329"/>
      <c r="AI329"/>
      <c r="AJ329"/>
      <c r="AK329"/>
      <c r="AL329"/>
      <c r="AM329"/>
      <c r="AN329"/>
      <c r="AO329"/>
      <c r="AP329"/>
      <c r="AQ329"/>
      <c r="AR329"/>
      <c r="AS329"/>
      <c r="AT329"/>
      <c r="AU329"/>
      <c r="AV329"/>
      <c r="AW329"/>
      <c r="AX329" t="inlineStr">
        <is>
          <t>Accumulation</t>
        </is>
      </c>
      <c r="AY329" t="inlineStr">
        <is>
          <t>Residue</t>
        </is>
      </c>
      <c r="AZ329" t="inlineStr">
        <is>
          <t>BAF</t>
        </is>
      </c>
      <c r="BA329" t="inlineStr">
        <is>
          <t>Soft tissue</t>
        </is>
      </c>
      <c r="BB329"/>
      <c r="BC329" t="n">
        <v>28.0</v>
      </c>
      <c r="BD329"/>
      <c r="BE329"/>
      <c r="BF329"/>
      <c r="BG329"/>
      <c r="BH329" t="inlineStr">
        <is>
          <t>Day(s)</t>
        </is>
      </c>
      <c r="BI329"/>
      <c r="BJ329" t="n">
        <v>217.0</v>
      </c>
      <c r="BK329"/>
      <c r="BL329"/>
      <c r="BM329"/>
      <c r="BN329"/>
      <c r="BO329" t="inlineStr">
        <is>
          <t>--</t>
        </is>
      </c>
      <c r="BP329"/>
      <c r="BQ329"/>
      <c r="BR329"/>
      <c r="BS329"/>
      <c r="BT329"/>
      <c r="BU329"/>
      <c r="BV329"/>
      <c r="BW329"/>
      <c r="BX329"/>
      <c r="BY329"/>
      <c r="BZ329"/>
      <c r="CA329"/>
      <c r="CB329"/>
      <c r="CC329"/>
      <c r="CD329" t="inlineStr">
        <is>
          <t>Jeon,J., K. Kannan, H.K. Lim, H.B. Moon, J.S. Ra, and S.D. Kim</t>
        </is>
      </c>
      <c r="CE329" t="n">
        <v>150289.0</v>
      </c>
      <c r="CF329" t="inlineStr">
        <is>
          <t>Bioaccumulation of Perfluorochemicals in Pacific Oyster Under Different Salinity Gradients</t>
        </is>
      </c>
      <c r="CG329" t="inlineStr">
        <is>
          <t>Environ. Sci. Technol.44(7): 2695-2701</t>
        </is>
      </c>
      <c r="CH329" t="n">
        <v>2010.0</v>
      </c>
      <c r="CI329" t="inlineStr">
        <is>
          <t>Jeon,J., K. Kannan, H.K. Lim, H.B. Moon, J.S. Ra, and S.D. Kim (2010). Bioaccumulation of Perfluorochemicals in Pacific Oyster Under Different Salinity Gradients. Environ. Sci. Technol., 44, (7), 2695-2701. doi:10.1021/es100151r. ECOREF#:150289</t>
        </is>
      </c>
    </row>
    <row r="330">
      <c r="A330" t="n">
        <v>2795393.0</v>
      </c>
      <c r="B330" t="inlineStr">
        <is>
          <t>1,1,2,2,3,3,4,4,5,5,6,6,7,7,8,8,8-Heptadecafluoro-1-octanesulfonic acid potassium salt</t>
        </is>
      </c>
      <c r="C330"/>
      <c r="D330" t="inlineStr">
        <is>
          <t>Measured</t>
        </is>
      </c>
      <c r="E330"/>
      <c r="F330" t="n">
        <v>99.0</v>
      </c>
      <c r="G330"/>
      <c r="H330"/>
      <c r="I330"/>
      <c r="J330"/>
      <c r="K330" t="inlineStr">
        <is>
          <t>Crassostrea gigas</t>
        </is>
      </c>
      <c r="L330" t="inlineStr">
        <is>
          <t>Pacific Oyster</t>
        </is>
      </c>
      <c r="M330" t="inlineStr">
        <is>
          <t>Molluscs; Standard Test Species</t>
        </is>
      </c>
      <c r="N330"/>
      <c r="O330"/>
      <c r="P330"/>
      <c r="Q330"/>
      <c r="R330"/>
      <c r="S330"/>
      <c r="T330"/>
      <c r="U330"/>
      <c r="V330" t="inlineStr">
        <is>
          <t>Renewal</t>
        </is>
      </c>
      <c r="W330" t="inlineStr">
        <is>
          <t>Salt water</t>
        </is>
      </c>
      <c r="X330" t="inlineStr">
        <is>
          <t>Lab</t>
        </is>
      </c>
      <c r="Y330" t="n">
        <v>2.0</v>
      </c>
      <c r="Z330" t="inlineStr">
        <is>
          <t>Active ingredient</t>
        </is>
      </c>
      <c r="AA330"/>
      <c r="AB330" t="n">
        <v>0.0061</v>
      </c>
      <c r="AC330"/>
      <c r="AD330"/>
      <c r="AE330"/>
      <c r="AF330"/>
      <c r="AG330" t="inlineStr">
        <is>
          <t>AI mg/L</t>
        </is>
      </c>
      <c r="AH330"/>
      <c r="AI330"/>
      <c r="AJ330"/>
      <c r="AK330"/>
      <c r="AL330"/>
      <c r="AM330"/>
      <c r="AN330"/>
      <c r="AO330"/>
      <c r="AP330"/>
      <c r="AQ330"/>
      <c r="AR330"/>
      <c r="AS330"/>
      <c r="AT330"/>
      <c r="AU330"/>
      <c r="AV330"/>
      <c r="AW330"/>
      <c r="AX330" t="inlineStr">
        <is>
          <t>Accumulation</t>
        </is>
      </c>
      <c r="AY330" t="inlineStr">
        <is>
          <t>Residue</t>
        </is>
      </c>
      <c r="AZ330" t="inlineStr">
        <is>
          <t>BAF</t>
        </is>
      </c>
      <c r="BA330" t="inlineStr">
        <is>
          <t>Soft tissue</t>
        </is>
      </c>
      <c r="BB330"/>
      <c r="BC330" t="n">
        <v>28.0</v>
      </c>
      <c r="BD330"/>
      <c r="BE330"/>
      <c r="BF330"/>
      <c r="BG330"/>
      <c r="BH330" t="inlineStr">
        <is>
          <t>Day(s)</t>
        </is>
      </c>
      <c r="BI330"/>
      <c r="BJ330" t="n">
        <v>230.2</v>
      </c>
      <c r="BK330"/>
      <c r="BL330"/>
      <c r="BM330"/>
      <c r="BN330"/>
      <c r="BO330" t="inlineStr">
        <is>
          <t>--</t>
        </is>
      </c>
      <c r="BP330"/>
      <c r="BQ330"/>
      <c r="BR330"/>
      <c r="BS330"/>
      <c r="BT330"/>
      <c r="BU330"/>
      <c r="BV330"/>
      <c r="BW330"/>
      <c r="BX330"/>
      <c r="BY330"/>
      <c r="BZ330"/>
      <c r="CA330"/>
      <c r="CB330"/>
      <c r="CC330"/>
      <c r="CD330" t="inlineStr">
        <is>
          <t>Jeon,J., K. Kannan, H.K. Lim, H.B. Moon, J.S. Ra, and S.D. Kim</t>
        </is>
      </c>
      <c r="CE330" t="n">
        <v>150289.0</v>
      </c>
      <c r="CF330" t="inlineStr">
        <is>
          <t>Bioaccumulation of Perfluorochemicals in Pacific Oyster Under Different Salinity Gradients</t>
        </is>
      </c>
      <c r="CG330" t="inlineStr">
        <is>
          <t>Environ. Sci. Technol.44(7): 2695-2701</t>
        </is>
      </c>
      <c r="CH330" t="n">
        <v>2010.0</v>
      </c>
      <c r="CI330" t="inlineStr">
        <is>
          <t>Jeon,J., K. Kannan, H.K. Lim, H.B. Moon, J.S. Ra, and S.D. Kim (2010). Bioaccumulation of Perfluorochemicals in Pacific Oyster Under Different Salinity Gradients. Environ. Sci. Technol., 44, (7), 2695-2701. doi:10.1021/es100151r. ECOREF#:150289</t>
        </is>
      </c>
    </row>
    <row r="331">
      <c r="A331" t="n">
        <v>2795393.0</v>
      </c>
      <c r="B331" t="inlineStr">
        <is>
          <t>1,1,2,2,3,3,4,4,5,5,6,6,7,7,8,8,8-Heptadecafluoro-1-octanesulfonic acid potassium salt</t>
        </is>
      </c>
      <c r="C331"/>
      <c r="D331" t="inlineStr">
        <is>
          <t>Measured</t>
        </is>
      </c>
      <c r="E331"/>
      <c r="F331" t="n">
        <v>99.0</v>
      </c>
      <c r="G331"/>
      <c r="H331"/>
      <c r="I331"/>
      <c r="J331"/>
      <c r="K331" t="inlineStr">
        <is>
          <t>Crassostrea gigas</t>
        </is>
      </c>
      <c r="L331" t="inlineStr">
        <is>
          <t>Pacific Oyster</t>
        </is>
      </c>
      <c r="M331" t="inlineStr">
        <is>
          <t>Molluscs; Standard Test Species</t>
        </is>
      </c>
      <c r="N331"/>
      <c r="O331"/>
      <c r="P331"/>
      <c r="Q331"/>
      <c r="R331"/>
      <c r="S331"/>
      <c r="T331"/>
      <c r="U331"/>
      <c r="V331" t="inlineStr">
        <is>
          <t>Renewal</t>
        </is>
      </c>
      <c r="W331" t="inlineStr">
        <is>
          <t>Salt water</t>
        </is>
      </c>
      <c r="X331" t="inlineStr">
        <is>
          <t>Lab</t>
        </is>
      </c>
      <c r="Y331" t="n">
        <v>2.0</v>
      </c>
      <c r="Z331" t="inlineStr">
        <is>
          <t>Active ingredient</t>
        </is>
      </c>
      <c r="AA331"/>
      <c r="AB331" t="n">
        <v>0.0061</v>
      </c>
      <c r="AC331"/>
      <c r="AD331"/>
      <c r="AE331"/>
      <c r="AF331"/>
      <c r="AG331" t="inlineStr">
        <is>
          <t>AI mg/L</t>
        </is>
      </c>
      <c r="AH331"/>
      <c r="AI331"/>
      <c r="AJ331"/>
      <c r="AK331"/>
      <c r="AL331"/>
      <c r="AM331"/>
      <c r="AN331"/>
      <c r="AO331"/>
      <c r="AP331"/>
      <c r="AQ331"/>
      <c r="AR331"/>
      <c r="AS331"/>
      <c r="AT331"/>
      <c r="AU331"/>
      <c r="AV331"/>
      <c r="AW331"/>
      <c r="AX331" t="inlineStr">
        <is>
          <t>Accumulation</t>
        </is>
      </c>
      <c r="AY331" t="inlineStr">
        <is>
          <t>Residue</t>
        </is>
      </c>
      <c r="AZ331" t="inlineStr">
        <is>
          <t>BCF</t>
        </is>
      </c>
      <c r="BA331" t="inlineStr">
        <is>
          <t>Soft tissue</t>
        </is>
      </c>
      <c r="BB331"/>
      <c r="BC331" t="n">
        <v>7.0</v>
      </c>
      <c r="BD331"/>
      <c r="BE331"/>
      <c r="BF331"/>
      <c r="BG331"/>
      <c r="BH331" t="inlineStr">
        <is>
          <t>Day(s)</t>
        </is>
      </c>
      <c r="BI331"/>
      <c r="BJ331" t="n">
        <v>31.6</v>
      </c>
      <c r="BK331"/>
      <c r="BL331"/>
      <c r="BM331"/>
      <c r="BN331"/>
      <c r="BO331" t="inlineStr">
        <is>
          <t>L/kg</t>
        </is>
      </c>
      <c r="BP331"/>
      <c r="BQ331"/>
      <c r="BR331"/>
      <c r="BS331"/>
      <c r="BT331"/>
      <c r="BU331"/>
      <c r="BV331"/>
      <c r="BW331"/>
      <c r="BX331"/>
      <c r="BY331"/>
      <c r="BZ331"/>
      <c r="CA331"/>
      <c r="CB331"/>
      <c r="CC331"/>
      <c r="CD331" t="inlineStr">
        <is>
          <t>Jeon,J., K. Kannan, H.K. Lim, H.B. Moon, J.S. Ra, and S.D. Kim</t>
        </is>
      </c>
      <c r="CE331" t="n">
        <v>150289.0</v>
      </c>
      <c r="CF331" t="inlineStr">
        <is>
          <t>Bioaccumulation of Perfluorochemicals in Pacific Oyster Under Different Salinity Gradients</t>
        </is>
      </c>
      <c r="CG331" t="inlineStr">
        <is>
          <t>Environ. Sci. Technol.44(7): 2695-2701</t>
        </is>
      </c>
      <c r="CH331" t="n">
        <v>2010.0</v>
      </c>
      <c r="CI331" t="inlineStr">
        <is>
          <t>Jeon,J., K. Kannan, H.K. Lim, H.B. Moon, J.S. Ra, and S.D. Kim (2010). Bioaccumulation of Perfluorochemicals in Pacific Oyster Under Different Salinity Gradients. Environ. Sci. Technol., 44, (7), 2695-2701. doi:10.1021/es100151r. ECOREF#:150289</t>
        </is>
      </c>
    </row>
    <row r="332">
      <c r="A332" t="n">
        <v>2795393.0</v>
      </c>
      <c r="B332" t="inlineStr">
        <is>
          <t>1,1,2,2,3,3,4,4,5,5,6,6,7,7,8,8,8-Heptadecafluoro-1-octanesulfonic acid potassium salt</t>
        </is>
      </c>
      <c r="C332"/>
      <c r="D332" t="inlineStr">
        <is>
          <t>Measured</t>
        </is>
      </c>
      <c r="E332"/>
      <c r="F332" t="n">
        <v>99.0</v>
      </c>
      <c r="G332"/>
      <c r="H332"/>
      <c r="I332"/>
      <c r="J332"/>
      <c r="K332" t="inlineStr">
        <is>
          <t>Crassostrea gigas</t>
        </is>
      </c>
      <c r="L332" t="inlineStr">
        <is>
          <t>Pacific Oyster</t>
        </is>
      </c>
      <c r="M332" t="inlineStr">
        <is>
          <t>Molluscs; Standard Test Species</t>
        </is>
      </c>
      <c r="N332"/>
      <c r="O332"/>
      <c r="P332"/>
      <c r="Q332"/>
      <c r="R332"/>
      <c r="S332"/>
      <c r="T332"/>
      <c r="U332"/>
      <c r="V332" t="inlineStr">
        <is>
          <t>Renewal</t>
        </is>
      </c>
      <c r="W332" t="inlineStr">
        <is>
          <t>Salt water</t>
        </is>
      </c>
      <c r="X332" t="inlineStr">
        <is>
          <t>Lab</t>
        </is>
      </c>
      <c r="Y332" t="n">
        <v>2.0</v>
      </c>
      <c r="Z332" t="inlineStr">
        <is>
          <t>Active ingredient</t>
        </is>
      </c>
      <c r="AA332"/>
      <c r="AB332" t="n">
        <v>0.0061</v>
      </c>
      <c r="AC332"/>
      <c r="AD332"/>
      <c r="AE332"/>
      <c r="AF332"/>
      <c r="AG332" t="inlineStr">
        <is>
          <t>AI mg/L</t>
        </is>
      </c>
      <c r="AH332"/>
      <c r="AI332"/>
      <c r="AJ332"/>
      <c r="AK332"/>
      <c r="AL332"/>
      <c r="AM332"/>
      <c r="AN332"/>
      <c r="AO332"/>
      <c r="AP332"/>
      <c r="AQ332"/>
      <c r="AR332"/>
      <c r="AS332"/>
      <c r="AT332"/>
      <c r="AU332"/>
      <c r="AV332"/>
      <c r="AW332"/>
      <c r="AX332" t="inlineStr">
        <is>
          <t>Accumulation</t>
        </is>
      </c>
      <c r="AY332" t="inlineStr">
        <is>
          <t>Residue</t>
        </is>
      </c>
      <c r="AZ332" t="inlineStr">
        <is>
          <t>BCF</t>
        </is>
      </c>
      <c r="BA332" t="inlineStr">
        <is>
          <t>Soft tissue</t>
        </is>
      </c>
      <c r="BB332"/>
      <c r="BC332" t="n">
        <v>7.0</v>
      </c>
      <c r="BD332"/>
      <c r="BE332"/>
      <c r="BF332"/>
      <c r="BG332"/>
      <c r="BH332" t="inlineStr">
        <is>
          <t>Day(s)</t>
        </is>
      </c>
      <c r="BI332"/>
      <c r="BJ332" t="n">
        <v>32.3</v>
      </c>
      <c r="BK332"/>
      <c r="BL332"/>
      <c r="BM332"/>
      <c r="BN332"/>
      <c r="BO332" t="inlineStr">
        <is>
          <t>L/kg</t>
        </is>
      </c>
      <c r="BP332"/>
      <c r="BQ332"/>
      <c r="BR332"/>
      <c r="BS332"/>
      <c r="BT332"/>
      <c r="BU332"/>
      <c r="BV332"/>
      <c r="BW332"/>
      <c r="BX332"/>
      <c r="BY332"/>
      <c r="BZ332"/>
      <c r="CA332"/>
      <c r="CB332"/>
      <c r="CC332"/>
      <c r="CD332" t="inlineStr">
        <is>
          <t>Jeon,J., K. Kannan, H.K. Lim, H.B. Moon, J.S. Ra, and S.D. Kim</t>
        </is>
      </c>
      <c r="CE332" t="n">
        <v>150289.0</v>
      </c>
      <c r="CF332" t="inlineStr">
        <is>
          <t>Bioaccumulation of Perfluorochemicals in Pacific Oyster Under Different Salinity Gradients</t>
        </is>
      </c>
      <c r="CG332" t="inlineStr">
        <is>
          <t>Environ. Sci. Technol.44(7): 2695-2701</t>
        </is>
      </c>
      <c r="CH332" t="n">
        <v>2010.0</v>
      </c>
      <c r="CI332" t="inlineStr">
        <is>
          <t>Jeon,J., K. Kannan, H.K. Lim, H.B. Moon, J.S. Ra, and S.D. Kim (2010). Bioaccumulation of Perfluorochemicals in Pacific Oyster Under Different Salinity Gradients. Environ. Sci. Technol., 44, (7), 2695-2701. doi:10.1021/es100151r. ECOREF#:150289</t>
        </is>
      </c>
    </row>
    <row r="333">
      <c r="A333" t="n">
        <v>2795393.0</v>
      </c>
      <c r="B333" t="inlineStr">
        <is>
          <t>1,1,2,2,3,3,4,4,5,5,6,6,7,7,8,8,8-Heptadecafluoro-1-octanesulfonic acid potassium salt</t>
        </is>
      </c>
      <c r="C333"/>
      <c r="D333" t="inlineStr">
        <is>
          <t>Measured</t>
        </is>
      </c>
      <c r="E333"/>
      <c r="F333" t="n">
        <v>99.0</v>
      </c>
      <c r="G333"/>
      <c r="H333"/>
      <c r="I333"/>
      <c r="J333"/>
      <c r="K333" t="inlineStr">
        <is>
          <t>Crassostrea gigas</t>
        </is>
      </c>
      <c r="L333" t="inlineStr">
        <is>
          <t>Pacific Oyster</t>
        </is>
      </c>
      <c r="M333" t="inlineStr">
        <is>
          <t>Molluscs; Standard Test Species</t>
        </is>
      </c>
      <c r="N333"/>
      <c r="O333"/>
      <c r="P333"/>
      <c r="Q333"/>
      <c r="R333"/>
      <c r="S333"/>
      <c r="T333"/>
      <c r="U333"/>
      <c r="V333" t="inlineStr">
        <is>
          <t>Renewal</t>
        </is>
      </c>
      <c r="W333" t="inlineStr">
        <is>
          <t>Salt water</t>
        </is>
      </c>
      <c r="X333" t="inlineStr">
        <is>
          <t>Lab</t>
        </is>
      </c>
      <c r="Y333" t="n">
        <v>2.0</v>
      </c>
      <c r="Z333" t="inlineStr">
        <is>
          <t>Active ingredient</t>
        </is>
      </c>
      <c r="AA333"/>
      <c r="AB333" t="n">
        <v>0.007</v>
      </c>
      <c r="AC333"/>
      <c r="AD333"/>
      <c r="AE333"/>
      <c r="AF333"/>
      <c r="AG333" t="inlineStr">
        <is>
          <t>AI mg/L</t>
        </is>
      </c>
      <c r="AH333"/>
      <c r="AI333"/>
      <c r="AJ333"/>
      <c r="AK333"/>
      <c r="AL333"/>
      <c r="AM333"/>
      <c r="AN333"/>
      <c r="AO333"/>
      <c r="AP333"/>
      <c r="AQ333"/>
      <c r="AR333"/>
      <c r="AS333"/>
      <c r="AT333"/>
      <c r="AU333"/>
      <c r="AV333"/>
      <c r="AW333"/>
      <c r="AX333" t="inlineStr">
        <is>
          <t>Accumulation</t>
        </is>
      </c>
      <c r="AY333" t="inlineStr">
        <is>
          <t>Residue</t>
        </is>
      </c>
      <c r="AZ333" t="inlineStr">
        <is>
          <t>BCF</t>
        </is>
      </c>
      <c r="BA333" t="inlineStr">
        <is>
          <t>Soft tissue</t>
        </is>
      </c>
      <c r="BB333"/>
      <c r="BC333" t="n">
        <v>7.0</v>
      </c>
      <c r="BD333"/>
      <c r="BE333"/>
      <c r="BF333"/>
      <c r="BG333"/>
      <c r="BH333" t="inlineStr">
        <is>
          <t>Day(s)</t>
        </is>
      </c>
      <c r="BI333"/>
      <c r="BJ333" t="n">
        <v>57.1</v>
      </c>
      <c r="BK333"/>
      <c r="BL333"/>
      <c r="BM333"/>
      <c r="BN333"/>
      <c r="BO333" t="inlineStr">
        <is>
          <t>L/kg</t>
        </is>
      </c>
      <c r="BP333"/>
      <c r="BQ333"/>
      <c r="BR333"/>
      <c r="BS333"/>
      <c r="BT333"/>
      <c r="BU333"/>
      <c r="BV333"/>
      <c r="BW333"/>
      <c r="BX333"/>
      <c r="BY333"/>
      <c r="BZ333"/>
      <c r="CA333"/>
      <c r="CB333"/>
      <c r="CC333"/>
      <c r="CD333" t="inlineStr">
        <is>
          <t>Jeon,J., K. Kannan, H.K. Lim, H.B. Moon, J.S. Ra, and S.D. Kim</t>
        </is>
      </c>
      <c r="CE333" t="n">
        <v>150289.0</v>
      </c>
      <c r="CF333" t="inlineStr">
        <is>
          <t>Bioaccumulation of Perfluorochemicals in Pacific Oyster Under Different Salinity Gradients</t>
        </is>
      </c>
      <c r="CG333" t="inlineStr">
        <is>
          <t>Environ. Sci. Technol.44(7): 2695-2701</t>
        </is>
      </c>
      <c r="CH333" t="n">
        <v>2010.0</v>
      </c>
      <c r="CI333" t="inlineStr">
        <is>
          <t>Jeon,J., K. Kannan, H.K. Lim, H.B. Moon, J.S. Ra, and S.D. Kim (2010). Bioaccumulation of Perfluorochemicals in Pacific Oyster Under Different Salinity Gradients. Environ. Sci. Technol., 44, (7), 2695-2701. doi:10.1021/es100151r. ECOREF#:150289</t>
        </is>
      </c>
    </row>
    <row r="334">
      <c r="A334" t="n">
        <v>2795393.0</v>
      </c>
      <c r="B334" t="inlineStr">
        <is>
          <t>1,1,2,2,3,3,4,4,5,5,6,6,7,7,8,8,8-Heptadecafluoro-1-octanesulfonic acid potassium salt</t>
        </is>
      </c>
      <c r="C334"/>
      <c r="D334" t="inlineStr">
        <is>
          <t>Measured</t>
        </is>
      </c>
      <c r="E334"/>
      <c r="F334" t="n">
        <v>99.0</v>
      </c>
      <c r="G334"/>
      <c r="H334"/>
      <c r="I334"/>
      <c r="J334"/>
      <c r="K334" t="inlineStr">
        <is>
          <t>Crassostrea gigas</t>
        </is>
      </c>
      <c r="L334" t="inlineStr">
        <is>
          <t>Pacific Oyster</t>
        </is>
      </c>
      <c r="M334" t="inlineStr">
        <is>
          <t>Molluscs; Standard Test Species</t>
        </is>
      </c>
      <c r="N334"/>
      <c r="O334"/>
      <c r="P334"/>
      <c r="Q334"/>
      <c r="R334"/>
      <c r="S334"/>
      <c r="T334"/>
      <c r="U334"/>
      <c r="V334" t="inlineStr">
        <is>
          <t>Renewal</t>
        </is>
      </c>
      <c r="W334" t="inlineStr">
        <is>
          <t>Salt water</t>
        </is>
      </c>
      <c r="X334" t="inlineStr">
        <is>
          <t>Lab</t>
        </is>
      </c>
      <c r="Y334" t="n">
        <v>2.0</v>
      </c>
      <c r="Z334" t="inlineStr">
        <is>
          <t>Active ingredient</t>
        </is>
      </c>
      <c r="AA334"/>
      <c r="AB334" t="n">
        <v>0.0072</v>
      </c>
      <c r="AC334"/>
      <c r="AD334"/>
      <c r="AE334"/>
      <c r="AF334"/>
      <c r="AG334" t="inlineStr">
        <is>
          <t>AI mg/L</t>
        </is>
      </c>
      <c r="AH334"/>
      <c r="AI334"/>
      <c r="AJ334"/>
      <c r="AK334"/>
      <c r="AL334"/>
      <c r="AM334"/>
      <c r="AN334"/>
      <c r="AO334"/>
      <c r="AP334"/>
      <c r="AQ334"/>
      <c r="AR334"/>
      <c r="AS334"/>
      <c r="AT334"/>
      <c r="AU334"/>
      <c r="AV334"/>
      <c r="AW334"/>
      <c r="AX334" t="inlineStr">
        <is>
          <t>Accumulation</t>
        </is>
      </c>
      <c r="AY334" t="inlineStr">
        <is>
          <t>Residue</t>
        </is>
      </c>
      <c r="AZ334" t="inlineStr">
        <is>
          <t>BCF</t>
        </is>
      </c>
      <c r="BA334" t="inlineStr">
        <is>
          <t>Soft tissue</t>
        </is>
      </c>
      <c r="BB334"/>
      <c r="BC334" t="n">
        <v>7.0</v>
      </c>
      <c r="BD334"/>
      <c r="BE334"/>
      <c r="BF334"/>
      <c r="BG334"/>
      <c r="BH334" t="inlineStr">
        <is>
          <t>Day(s)</t>
        </is>
      </c>
      <c r="BI334"/>
      <c r="BJ334" t="n">
        <v>84.8</v>
      </c>
      <c r="BK334"/>
      <c r="BL334"/>
      <c r="BM334"/>
      <c r="BN334"/>
      <c r="BO334" t="inlineStr">
        <is>
          <t>L/kg</t>
        </is>
      </c>
      <c r="BP334"/>
      <c r="BQ334"/>
      <c r="BR334"/>
      <c r="BS334"/>
      <c r="BT334"/>
      <c r="BU334"/>
      <c r="BV334"/>
      <c r="BW334"/>
      <c r="BX334"/>
      <c r="BY334"/>
      <c r="BZ334"/>
      <c r="CA334"/>
      <c r="CB334"/>
      <c r="CC334"/>
      <c r="CD334" t="inlineStr">
        <is>
          <t>Jeon,J., K. Kannan, H.K. Lim, H.B. Moon, J.S. Ra, and S.D. Kim</t>
        </is>
      </c>
      <c r="CE334" t="n">
        <v>150289.0</v>
      </c>
      <c r="CF334" t="inlineStr">
        <is>
          <t>Bioaccumulation of Perfluorochemicals in Pacific Oyster Under Different Salinity Gradients</t>
        </is>
      </c>
      <c r="CG334" t="inlineStr">
        <is>
          <t>Environ. Sci. Technol.44(7): 2695-2701</t>
        </is>
      </c>
      <c r="CH334" t="n">
        <v>2010.0</v>
      </c>
      <c r="CI334" t="inlineStr">
        <is>
          <t>Jeon,J., K. Kannan, H.K. Lim, H.B. Moon, J.S. Ra, and S.D. Kim (2010). Bioaccumulation of Perfluorochemicals in Pacific Oyster Under Different Salinity Gradients. Environ. Sci. Technol., 44, (7), 2695-2701. doi:10.1021/es100151r. ECOREF#:150289</t>
        </is>
      </c>
    </row>
    <row r="335">
      <c r="A335" t="n">
        <v>2795393.0</v>
      </c>
      <c r="B335" t="inlineStr">
        <is>
          <t>1,1,2,2,3,3,4,4,5,5,6,6,7,7,8,8,8-Heptadecafluoro-1-octanesulfonic acid potassium salt</t>
        </is>
      </c>
      <c r="C335"/>
      <c r="D335" t="inlineStr">
        <is>
          <t>Unmeasured</t>
        </is>
      </c>
      <c r="E335"/>
      <c r="F335" t="n">
        <v>98.0</v>
      </c>
      <c r="G335"/>
      <c r="H335"/>
      <c r="I335"/>
      <c r="J335"/>
      <c r="K335" t="inlineStr">
        <is>
          <t>Corbicula fluminea</t>
        </is>
      </c>
      <c r="L335" t="inlineStr">
        <is>
          <t>Asian Clam</t>
        </is>
      </c>
      <c r="M335" t="inlineStr">
        <is>
          <t>Molluscs; U.S. Invasive Species</t>
        </is>
      </c>
      <c r="N335" t="inlineStr">
        <is>
          <t>Mature</t>
        </is>
      </c>
      <c r="O335"/>
      <c r="P335"/>
      <c r="Q335"/>
      <c r="R335"/>
      <c r="S335"/>
      <c r="T335"/>
      <c r="U335"/>
      <c r="V335" t="inlineStr">
        <is>
          <t>Renewal</t>
        </is>
      </c>
      <c r="W335" t="inlineStr">
        <is>
          <t>Fresh water</t>
        </is>
      </c>
      <c r="X335" t="inlineStr">
        <is>
          <t>Lab</t>
        </is>
      </c>
      <c r="Y335" t="n">
        <v>5.0</v>
      </c>
      <c r="Z335" t="inlineStr">
        <is>
          <t>Active ingredient</t>
        </is>
      </c>
      <c r="AA335"/>
      <c r="AB335" t="n">
        <v>0.1</v>
      </c>
      <c r="AC335"/>
      <c r="AD335"/>
      <c r="AE335"/>
      <c r="AF335"/>
      <c r="AG335" t="inlineStr">
        <is>
          <t>AI mg/L</t>
        </is>
      </c>
      <c r="AH335"/>
      <c r="AI335"/>
      <c r="AJ335"/>
      <c r="AK335"/>
      <c r="AL335"/>
      <c r="AM335"/>
      <c r="AN335"/>
      <c r="AO335"/>
      <c r="AP335"/>
      <c r="AQ335"/>
      <c r="AR335"/>
      <c r="AS335"/>
      <c r="AT335"/>
      <c r="AU335"/>
      <c r="AV335"/>
      <c r="AW335"/>
      <c r="AX335" t="inlineStr">
        <is>
          <t>Accumulation</t>
        </is>
      </c>
      <c r="AY335" t="inlineStr">
        <is>
          <t>Residue</t>
        </is>
      </c>
      <c r="AZ335" t="inlineStr">
        <is>
          <t>LOEC</t>
        </is>
      </c>
      <c r="BA335" t="inlineStr">
        <is>
          <t>Soft tissue</t>
        </is>
      </c>
      <c r="BB335"/>
      <c r="BC335" t="n">
        <v>7.0</v>
      </c>
      <c r="BD335"/>
      <c r="BE335"/>
      <c r="BF335"/>
      <c r="BG335"/>
      <c r="BH335" t="inlineStr">
        <is>
          <t>Day(s)</t>
        </is>
      </c>
      <c r="BI335"/>
      <c r="BJ335"/>
      <c r="BK335"/>
      <c r="BL335"/>
      <c r="BM335"/>
      <c r="BN335"/>
      <c r="BO335" t="inlineStr">
        <is>
          <t>--</t>
        </is>
      </c>
      <c r="BP335"/>
      <c r="BQ335"/>
      <c r="BR335"/>
      <c r="BS335"/>
      <c r="BT335"/>
      <c r="BU335"/>
      <c r="BV335"/>
      <c r="BW335"/>
      <c r="BX335"/>
      <c r="BY335"/>
      <c r="BZ335"/>
      <c r="CA335"/>
      <c r="CB335"/>
      <c r="CC335"/>
      <c r="CD335" t="inlineStr">
        <is>
          <t>Liu,Y., M. Junaid, P. Xu, W. Zhong, B. Pan, and N. Xu</t>
        </is>
      </c>
      <c r="CE335" t="n">
        <v>185381.0</v>
      </c>
      <c r="CF335" t="inlineStr">
        <is>
          <t>Suspended Sediment Exacerbates Perfluorooctane Sulfonate Mediated Toxicity Through Reactive Oxygen Species Generation in Freshwater Clam Corbicula fluminea</t>
        </is>
      </c>
      <c r="CG335" t="inlineStr">
        <is>
          <t>Environ. Pollut.267:12 p.</t>
        </is>
      </c>
      <c r="CH335" t="n">
        <v>2020.0</v>
      </c>
      <c r="CI335" t="inlineStr">
        <is>
          <t>Liu,Y., M. Junaid, P. Xu, W. Zhong, B. Pan, and N. Xu (2020). Suspended Sediment Exacerbates Perfluorooctane Sulfonate Mediated Toxicity Through Reactive Oxygen Species Generation in Freshwater Clam Corbicula fluminea. Environ. Pollut., 267, 12 p. ECOREF#:185381</t>
        </is>
      </c>
    </row>
    <row r="336">
      <c r="A336" t="n">
        <v>2795393.0</v>
      </c>
      <c r="B336" t="inlineStr">
        <is>
          <t>1,1,2,2,3,3,4,4,5,5,6,6,7,7,8,8,8-Heptadecafluoro-1-octanesulfonic acid potassium salt</t>
        </is>
      </c>
      <c r="C336"/>
      <c r="D336" t="inlineStr">
        <is>
          <t>Unmeasured</t>
        </is>
      </c>
      <c r="E336"/>
      <c r="F336" t="n">
        <v>98.0</v>
      </c>
      <c r="G336"/>
      <c r="H336"/>
      <c r="I336"/>
      <c r="J336"/>
      <c r="K336" t="inlineStr">
        <is>
          <t>Corbicula fluminea</t>
        </is>
      </c>
      <c r="L336" t="inlineStr">
        <is>
          <t>Asian Clam</t>
        </is>
      </c>
      <c r="M336" t="inlineStr">
        <is>
          <t>Molluscs; U.S. Invasive Species</t>
        </is>
      </c>
      <c r="N336" t="inlineStr">
        <is>
          <t>Mature</t>
        </is>
      </c>
      <c r="O336"/>
      <c r="P336"/>
      <c r="Q336"/>
      <c r="R336"/>
      <c r="S336"/>
      <c r="T336"/>
      <c r="U336"/>
      <c r="V336" t="inlineStr">
        <is>
          <t>Renewal</t>
        </is>
      </c>
      <c r="W336" t="inlineStr">
        <is>
          <t>Fresh water</t>
        </is>
      </c>
      <c r="X336" t="inlineStr">
        <is>
          <t>Lab</t>
        </is>
      </c>
      <c r="Y336" t="n">
        <v>5.0</v>
      </c>
      <c r="Z336" t="inlineStr">
        <is>
          <t>Active ingredient</t>
        </is>
      </c>
      <c r="AA336"/>
      <c r="AB336" t="n">
        <v>0.1</v>
      </c>
      <c r="AC336"/>
      <c r="AD336"/>
      <c r="AE336"/>
      <c r="AF336"/>
      <c r="AG336" t="inlineStr">
        <is>
          <t>AI mg/L</t>
        </is>
      </c>
      <c r="AH336"/>
      <c r="AI336"/>
      <c r="AJ336"/>
      <c r="AK336"/>
      <c r="AL336"/>
      <c r="AM336"/>
      <c r="AN336"/>
      <c r="AO336"/>
      <c r="AP336"/>
      <c r="AQ336"/>
      <c r="AR336"/>
      <c r="AS336"/>
      <c r="AT336"/>
      <c r="AU336"/>
      <c r="AV336"/>
      <c r="AW336"/>
      <c r="AX336" t="inlineStr">
        <is>
          <t>Accumulation</t>
        </is>
      </c>
      <c r="AY336" t="inlineStr">
        <is>
          <t>Residue</t>
        </is>
      </c>
      <c r="AZ336" t="inlineStr">
        <is>
          <t>LOEC</t>
        </is>
      </c>
      <c r="BA336" t="inlineStr">
        <is>
          <t>Soft tissue</t>
        </is>
      </c>
      <c r="BB336"/>
      <c r="BC336" t="n">
        <v>7.0</v>
      </c>
      <c r="BD336"/>
      <c r="BE336"/>
      <c r="BF336"/>
      <c r="BG336"/>
      <c r="BH336" t="inlineStr">
        <is>
          <t>Day(s)</t>
        </is>
      </c>
      <c r="BI336"/>
      <c r="BJ336"/>
      <c r="BK336"/>
      <c r="BL336"/>
      <c r="BM336"/>
      <c r="BN336"/>
      <c r="BO336" t="inlineStr">
        <is>
          <t>--</t>
        </is>
      </c>
      <c r="BP336"/>
      <c r="BQ336"/>
      <c r="BR336"/>
      <c r="BS336"/>
      <c r="BT336"/>
      <c r="BU336"/>
      <c r="BV336"/>
      <c r="BW336"/>
      <c r="BX336"/>
      <c r="BY336"/>
      <c r="BZ336"/>
      <c r="CA336"/>
      <c r="CB336"/>
      <c r="CC336"/>
      <c r="CD336" t="inlineStr">
        <is>
          <t>Liu,Y., M. Junaid, P. Xu, W. Zhong, B. Pan, and N. Xu</t>
        </is>
      </c>
      <c r="CE336" t="n">
        <v>185381.0</v>
      </c>
      <c r="CF336" t="inlineStr">
        <is>
          <t>Suspended Sediment Exacerbates Perfluorooctane Sulfonate Mediated Toxicity Through Reactive Oxygen Species Generation in Freshwater Clam Corbicula fluminea</t>
        </is>
      </c>
      <c r="CG336" t="inlineStr">
        <is>
          <t>Environ. Pollut.267:12 p.</t>
        </is>
      </c>
      <c r="CH336" t="n">
        <v>2020.0</v>
      </c>
      <c r="CI336" t="inlineStr">
        <is>
          <t>Liu,Y., M. Junaid, P. Xu, W. Zhong, B. Pan, and N. Xu (2020). Suspended Sediment Exacerbates Perfluorooctane Sulfonate Mediated Toxicity Through Reactive Oxygen Species Generation in Freshwater Clam Corbicula fluminea. Environ. Pollut., 267, 12 p. ECOREF#:185381</t>
        </is>
      </c>
    </row>
    <row r="337">
      <c r="A337" t="n">
        <v>2795393.0</v>
      </c>
      <c r="B337" t="inlineStr">
        <is>
          <t>1,1,2,2,3,3,4,4,5,5,6,6,7,7,8,8,8-Heptadecafluoro-1-octanesulfonic acid potassium salt</t>
        </is>
      </c>
      <c r="C337"/>
      <c r="D337" t="inlineStr">
        <is>
          <t>Measured</t>
        </is>
      </c>
      <c r="E337"/>
      <c r="F337" t="n">
        <v>98.0</v>
      </c>
      <c r="G337"/>
      <c r="H337"/>
      <c r="I337"/>
      <c r="J337"/>
      <c r="K337" t="inlineStr">
        <is>
          <t>Corbicula fluminea</t>
        </is>
      </c>
      <c r="L337" t="inlineStr">
        <is>
          <t>Asian Clam</t>
        </is>
      </c>
      <c r="M337" t="inlineStr">
        <is>
          <t>Molluscs; U.S. Invasive Species</t>
        </is>
      </c>
      <c r="N337" t="inlineStr">
        <is>
          <t>Adult</t>
        </is>
      </c>
      <c r="O337"/>
      <c r="P337"/>
      <c r="Q337"/>
      <c r="R337"/>
      <c r="S337"/>
      <c r="T337"/>
      <c r="U337"/>
      <c r="V337" t="inlineStr">
        <is>
          <t>Renewal</t>
        </is>
      </c>
      <c r="W337" t="inlineStr">
        <is>
          <t>Fresh water</t>
        </is>
      </c>
      <c r="X337" t="inlineStr">
        <is>
          <t>Lab</t>
        </is>
      </c>
      <c r="Y337" t="n">
        <v>3.0</v>
      </c>
      <c r="Z337" t="inlineStr">
        <is>
          <t>Active ingredient</t>
        </is>
      </c>
      <c r="AA337"/>
      <c r="AB337" t="n">
        <v>5.082E-4</v>
      </c>
      <c r="AC337"/>
      <c r="AD337"/>
      <c r="AE337"/>
      <c r="AF337"/>
      <c r="AG337" t="inlineStr">
        <is>
          <t>AI mg/L</t>
        </is>
      </c>
      <c r="AH337"/>
      <c r="AI337"/>
      <c r="AJ337"/>
      <c r="AK337"/>
      <c r="AL337"/>
      <c r="AM337"/>
      <c r="AN337"/>
      <c r="AO337"/>
      <c r="AP337"/>
      <c r="AQ337"/>
      <c r="AR337"/>
      <c r="AS337"/>
      <c r="AT337"/>
      <c r="AU337"/>
      <c r="AV337"/>
      <c r="AW337"/>
      <c r="AX337" t="inlineStr">
        <is>
          <t>Accumulation</t>
        </is>
      </c>
      <c r="AY337" t="inlineStr">
        <is>
          <t>Residue</t>
        </is>
      </c>
      <c r="AZ337" t="inlineStr">
        <is>
          <t>LOEC</t>
        </is>
      </c>
      <c r="BA337" t="inlineStr">
        <is>
          <t>Viscera</t>
        </is>
      </c>
      <c r="BB337"/>
      <c r="BC337" t="n">
        <v>28.0</v>
      </c>
      <c r="BD337"/>
      <c r="BE337"/>
      <c r="BF337"/>
      <c r="BG337"/>
      <c r="BH337" t="inlineStr">
        <is>
          <t>Day(s)</t>
        </is>
      </c>
      <c r="BI337"/>
      <c r="BJ337"/>
      <c r="BK337"/>
      <c r="BL337"/>
      <c r="BM337"/>
      <c r="BN337"/>
      <c r="BO337" t="inlineStr">
        <is>
          <t>--</t>
        </is>
      </c>
      <c r="BP337"/>
      <c r="BQ337"/>
      <c r="BR337"/>
      <c r="BS337"/>
      <c r="BT337"/>
      <c r="BU337"/>
      <c r="BV337"/>
      <c r="BW337"/>
      <c r="BX337"/>
      <c r="BY337"/>
      <c r="BZ337"/>
      <c r="CA337"/>
      <c r="CB337"/>
      <c r="CC337"/>
      <c r="CD337" t="inlineStr">
        <is>
          <t>Bi,C.Q., M. Junaid, Y. Liu, W.J. Guo, X.L. Jiang, B.Z. Pan, Z.G.S. Li, and N. Xu</t>
        </is>
      </c>
      <c r="CE337" t="n">
        <v>188756.0</v>
      </c>
      <c r="CF337" t="inlineStr">
        <is>
          <t>Graphene Oxide Chronic Exposure Enhanced Perfluorooctane Sulfonate Mediated Toxicity Through Oxidative Stress Generation in Freshwater Clam Corbicula fluminea</t>
        </is>
      </c>
      <c r="CG337" t="inlineStr">
        <is>
          <t>Chemosphere297:12 p.</t>
        </is>
      </c>
      <c r="CH337" t="n">
        <v>2022.0</v>
      </c>
      <c r="CI337" t="inlineStr">
        <is>
          <t>Bi,C.Q., M. Junaid, Y. Liu, W.J. Guo, X.L. Jiang, B.Z. Pan, Z.G.S. Li, and N. Xu (2022). Graphene Oxide Chronic Exposure Enhanced Perfluorooctane Sulfonate Mediated Toxicity Through Oxidative Stress Generation in Freshwater Clam Corbicula fluminea. Chemosphere, 297, 12 p. doi:10.1016/j.chemosphere.2022.134242. ECOREF#:188756</t>
        </is>
      </c>
    </row>
    <row r="338">
      <c r="A338" t="n">
        <v>2795393.0</v>
      </c>
      <c r="B338" t="inlineStr">
        <is>
          <t>1,1,2,2,3,3,4,4,5,5,6,6,7,7,8,8,8-Heptadecafluoro-1-octanesulfonic acid potassium salt</t>
        </is>
      </c>
      <c r="C338"/>
      <c r="D338" t="inlineStr">
        <is>
          <t>Unmeasured</t>
        </is>
      </c>
      <c r="E338"/>
      <c r="F338" t="n">
        <v>98.0</v>
      </c>
      <c r="G338"/>
      <c r="H338"/>
      <c r="I338"/>
      <c r="J338"/>
      <c r="K338" t="inlineStr">
        <is>
          <t>Corbicula fluminea</t>
        </is>
      </c>
      <c r="L338" t="inlineStr">
        <is>
          <t>Asian Clam</t>
        </is>
      </c>
      <c r="M338" t="inlineStr">
        <is>
          <t>Molluscs; U.S. Invasive Species</t>
        </is>
      </c>
      <c r="N338" t="inlineStr">
        <is>
          <t>Mature</t>
        </is>
      </c>
      <c r="O338"/>
      <c r="P338"/>
      <c r="Q338"/>
      <c r="R338"/>
      <c r="S338"/>
      <c r="T338"/>
      <c r="U338"/>
      <c r="V338" t="inlineStr">
        <is>
          <t>Renewal</t>
        </is>
      </c>
      <c r="W338" t="inlineStr">
        <is>
          <t>Fresh water</t>
        </is>
      </c>
      <c r="X338" t="inlineStr">
        <is>
          <t>Lab</t>
        </is>
      </c>
      <c r="Y338" t="n">
        <v>4.0</v>
      </c>
      <c r="Z338" t="inlineStr">
        <is>
          <t>Active ingredient</t>
        </is>
      </c>
      <c r="AA338"/>
      <c r="AB338" t="n">
        <v>1.0</v>
      </c>
      <c r="AC338"/>
      <c r="AD338"/>
      <c r="AE338"/>
      <c r="AF338"/>
      <c r="AG338" t="inlineStr">
        <is>
          <t>AI mg/L</t>
        </is>
      </c>
      <c r="AH338"/>
      <c r="AI338"/>
      <c r="AJ338"/>
      <c r="AK338"/>
      <c r="AL338"/>
      <c r="AM338"/>
      <c r="AN338"/>
      <c r="AO338"/>
      <c r="AP338"/>
      <c r="AQ338"/>
      <c r="AR338"/>
      <c r="AS338"/>
      <c r="AT338"/>
      <c r="AU338"/>
      <c r="AV338"/>
      <c r="AW338"/>
      <c r="AX338" t="inlineStr">
        <is>
          <t>Accumulation</t>
        </is>
      </c>
      <c r="AY338" t="inlineStr">
        <is>
          <t>Residue</t>
        </is>
      </c>
      <c r="AZ338" t="inlineStr">
        <is>
          <t>LOEC</t>
        </is>
      </c>
      <c r="BA338" t="inlineStr">
        <is>
          <t>Soft tissue</t>
        </is>
      </c>
      <c r="BB338"/>
      <c r="BC338" t="n">
        <v>7.0</v>
      </c>
      <c r="BD338"/>
      <c r="BE338"/>
      <c r="BF338"/>
      <c r="BG338"/>
      <c r="BH338" t="inlineStr">
        <is>
          <t>Day(s)</t>
        </is>
      </c>
      <c r="BI338"/>
      <c r="BJ338"/>
      <c r="BK338"/>
      <c r="BL338"/>
      <c r="BM338"/>
      <c r="BN338"/>
      <c r="BO338" t="inlineStr">
        <is>
          <t>--</t>
        </is>
      </c>
      <c r="BP338"/>
      <c r="BQ338"/>
      <c r="BR338"/>
      <c r="BS338"/>
      <c r="BT338"/>
      <c r="BU338"/>
      <c r="BV338"/>
      <c r="BW338"/>
      <c r="BX338"/>
      <c r="BY338"/>
      <c r="BZ338"/>
      <c r="CA338"/>
      <c r="CB338"/>
      <c r="CC338"/>
      <c r="CD338" t="inlineStr">
        <is>
          <t>Liu,Y., M. Junaid, P. Xu, W. Zhong, B. Pan, and N. Xu</t>
        </is>
      </c>
      <c r="CE338" t="n">
        <v>185381.0</v>
      </c>
      <c r="CF338" t="inlineStr">
        <is>
          <t>Suspended Sediment Exacerbates Perfluorooctane Sulfonate Mediated Toxicity Through Reactive Oxygen Species Generation in Freshwater Clam Corbicula fluminea</t>
        </is>
      </c>
      <c r="CG338" t="inlineStr">
        <is>
          <t>Environ. Pollut.267:12 p.</t>
        </is>
      </c>
      <c r="CH338" t="n">
        <v>2020.0</v>
      </c>
      <c r="CI338" t="inlineStr">
        <is>
          <t>Liu,Y., M. Junaid, P. Xu, W. Zhong, B. Pan, and N. Xu (2020). Suspended Sediment Exacerbates Perfluorooctane Sulfonate Mediated Toxicity Through Reactive Oxygen Species Generation in Freshwater Clam Corbicula fluminea. Environ. Pollut., 267, 12 p. ECOREF#:185381</t>
        </is>
      </c>
    </row>
    <row r="339">
      <c r="A339" t="n">
        <v>2795393.0</v>
      </c>
      <c r="B339" t="inlineStr">
        <is>
          <t>1,1,2,2,3,3,4,4,5,5,6,6,7,7,8,8,8-Heptadecafluoro-1-octanesulfonic acid potassium salt</t>
        </is>
      </c>
      <c r="C339"/>
      <c r="D339" t="inlineStr">
        <is>
          <t>Measured</t>
        </is>
      </c>
      <c r="E339"/>
      <c r="F339" t="n">
        <v>98.0</v>
      </c>
      <c r="G339"/>
      <c r="H339"/>
      <c r="I339"/>
      <c r="J339"/>
      <c r="K339" t="inlineStr">
        <is>
          <t>Corbicula fluminea</t>
        </is>
      </c>
      <c r="L339" t="inlineStr">
        <is>
          <t>Asian Clam</t>
        </is>
      </c>
      <c r="M339" t="inlineStr">
        <is>
          <t>Molluscs; U.S. Invasive Species</t>
        </is>
      </c>
      <c r="N339" t="inlineStr">
        <is>
          <t>Adult</t>
        </is>
      </c>
      <c r="O339"/>
      <c r="P339"/>
      <c r="Q339"/>
      <c r="R339"/>
      <c r="S339"/>
      <c r="T339"/>
      <c r="U339"/>
      <c r="V339" t="inlineStr">
        <is>
          <t>Renewal</t>
        </is>
      </c>
      <c r="W339" t="inlineStr">
        <is>
          <t>Fresh water</t>
        </is>
      </c>
      <c r="X339" t="inlineStr">
        <is>
          <t>Lab</t>
        </is>
      </c>
      <c r="Y339" t="n">
        <v>3.0</v>
      </c>
      <c r="Z339" t="inlineStr">
        <is>
          <t>Active ingredient</t>
        </is>
      </c>
      <c r="AA339"/>
      <c r="AB339" t="n">
        <v>5.082E-4</v>
      </c>
      <c r="AC339"/>
      <c r="AD339"/>
      <c r="AE339"/>
      <c r="AF339"/>
      <c r="AG339" t="inlineStr">
        <is>
          <t>AI mg/L</t>
        </is>
      </c>
      <c r="AH339"/>
      <c r="AI339"/>
      <c r="AJ339"/>
      <c r="AK339"/>
      <c r="AL339"/>
      <c r="AM339"/>
      <c r="AN339"/>
      <c r="AO339"/>
      <c r="AP339"/>
      <c r="AQ339"/>
      <c r="AR339"/>
      <c r="AS339"/>
      <c r="AT339"/>
      <c r="AU339"/>
      <c r="AV339"/>
      <c r="AW339"/>
      <c r="AX339" t="inlineStr">
        <is>
          <t>Accumulation</t>
        </is>
      </c>
      <c r="AY339" t="inlineStr">
        <is>
          <t>Residue</t>
        </is>
      </c>
      <c r="AZ339" t="inlineStr">
        <is>
          <t>LOEC</t>
        </is>
      </c>
      <c r="BA339" t="inlineStr">
        <is>
          <t>Gill(s)</t>
        </is>
      </c>
      <c r="BB339"/>
      <c r="BC339" t="n">
        <v>28.0</v>
      </c>
      <c r="BD339"/>
      <c r="BE339"/>
      <c r="BF339"/>
      <c r="BG339"/>
      <c r="BH339" t="inlineStr">
        <is>
          <t>Day(s)</t>
        </is>
      </c>
      <c r="BI339"/>
      <c r="BJ339"/>
      <c r="BK339"/>
      <c r="BL339"/>
      <c r="BM339"/>
      <c r="BN339"/>
      <c r="BO339" t="inlineStr">
        <is>
          <t>--</t>
        </is>
      </c>
      <c r="BP339"/>
      <c r="BQ339"/>
      <c r="BR339"/>
      <c r="BS339"/>
      <c r="BT339"/>
      <c r="BU339"/>
      <c r="BV339"/>
      <c r="BW339"/>
      <c r="BX339"/>
      <c r="BY339"/>
      <c r="BZ339"/>
      <c r="CA339"/>
      <c r="CB339"/>
      <c r="CC339"/>
      <c r="CD339" t="inlineStr">
        <is>
          <t>Bi,C.Q., M. Junaid, Y. Liu, W.J. Guo, X.L. Jiang, B.Z. Pan, Z.G.S. Li, and N. Xu</t>
        </is>
      </c>
      <c r="CE339" t="n">
        <v>188756.0</v>
      </c>
      <c r="CF339" t="inlineStr">
        <is>
          <t>Graphene Oxide Chronic Exposure Enhanced Perfluorooctane Sulfonate Mediated Toxicity Through Oxidative Stress Generation in Freshwater Clam Corbicula fluminea</t>
        </is>
      </c>
      <c r="CG339" t="inlineStr">
        <is>
          <t>Chemosphere297:12 p.</t>
        </is>
      </c>
      <c r="CH339" t="n">
        <v>2022.0</v>
      </c>
      <c r="CI339" t="inlineStr">
        <is>
          <t>Bi,C.Q., M. Junaid, Y. Liu, W.J. Guo, X.L. Jiang, B.Z. Pan, Z.G.S. Li, and N. Xu (2022). Graphene Oxide Chronic Exposure Enhanced Perfluorooctane Sulfonate Mediated Toxicity Through Oxidative Stress Generation in Freshwater Clam Corbicula fluminea. Chemosphere, 297, 12 p. doi:10.1016/j.chemosphere.2022.134242. ECOREF#:188756</t>
        </is>
      </c>
    </row>
    <row r="340">
      <c r="A340" t="n">
        <v>2795393.0</v>
      </c>
      <c r="B340" t="inlineStr">
        <is>
          <t>1,1,2,2,3,3,4,4,5,5,6,6,7,7,8,8,8-Heptadecafluoro-1-octanesulfonic acid potassium salt</t>
        </is>
      </c>
      <c r="C340"/>
      <c r="D340" t="inlineStr">
        <is>
          <t>Unmeasured</t>
        </is>
      </c>
      <c r="E340"/>
      <c r="F340" t="n">
        <v>98.0</v>
      </c>
      <c r="G340"/>
      <c r="H340"/>
      <c r="I340"/>
      <c r="J340"/>
      <c r="K340" t="inlineStr">
        <is>
          <t>Corbicula fluminea</t>
        </is>
      </c>
      <c r="L340" t="inlineStr">
        <is>
          <t>Asian Clam</t>
        </is>
      </c>
      <c r="M340" t="inlineStr">
        <is>
          <t>Molluscs; U.S. Invasive Species</t>
        </is>
      </c>
      <c r="N340" t="inlineStr">
        <is>
          <t>Mature</t>
        </is>
      </c>
      <c r="O340"/>
      <c r="P340"/>
      <c r="Q340"/>
      <c r="R340"/>
      <c r="S340"/>
      <c r="T340"/>
      <c r="U340"/>
      <c r="V340" t="inlineStr">
        <is>
          <t>Renewal</t>
        </is>
      </c>
      <c r="W340" t="inlineStr">
        <is>
          <t>Fresh water</t>
        </is>
      </c>
      <c r="X340" t="inlineStr">
        <is>
          <t>Lab</t>
        </is>
      </c>
      <c r="Y340" t="n">
        <v>5.0</v>
      </c>
      <c r="Z340" t="inlineStr">
        <is>
          <t>Active ingredient</t>
        </is>
      </c>
      <c r="AA340"/>
      <c r="AB340" t="n">
        <v>0.1</v>
      </c>
      <c r="AC340"/>
      <c r="AD340"/>
      <c r="AE340"/>
      <c r="AF340"/>
      <c r="AG340" t="inlineStr">
        <is>
          <t>AI mg/L</t>
        </is>
      </c>
      <c r="AH340"/>
      <c r="AI340"/>
      <c r="AJ340"/>
      <c r="AK340"/>
      <c r="AL340"/>
      <c r="AM340"/>
      <c r="AN340"/>
      <c r="AO340"/>
      <c r="AP340"/>
      <c r="AQ340"/>
      <c r="AR340"/>
      <c r="AS340"/>
      <c r="AT340"/>
      <c r="AU340"/>
      <c r="AV340"/>
      <c r="AW340"/>
      <c r="AX340" t="inlineStr">
        <is>
          <t>Accumulation</t>
        </is>
      </c>
      <c r="AY340" t="inlineStr">
        <is>
          <t>Residue</t>
        </is>
      </c>
      <c r="AZ340" t="inlineStr">
        <is>
          <t>LOEC</t>
        </is>
      </c>
      <c r="BA340" t="inlineStr">
        <is>
          <t>Soft tissue</t>
        </is>
      </c>
      <c r="BB340"/>
      <c r="BC340" t="n">
        <v>7.0</v>
      </c>
      <c r="BD340"/>
      <c r="BE340"/>
      <c r="BF340"/>
      <c r="BG340"/>
      <c r="BH340" t="inlineStr">
        <is>
          <t>Day(s)</t>
        </is>
      </c>
      <c r="BI340"/>
      <c r="BJ340"/>
      <c r="BK340"/>
      <c r="BL340"/>
      <c r="BM340"/>
      <c r="BN340"/>
      <c r="BO340" t="inlineStr">
        <is>
          <t>--</t>
        </is>
      </c>
      <c r="BP340"/>
      <c r="BQ340"/>
      <c r="BR340"/>
      <c r="BS340"/>
      <c r="BT340"/>
      <c r="BU340"/>
      <c r="BV340"/>
      <c r="BW340"/>
      <c r="BX340"/>
      <c r="BY340"/>
      <c r="BZ340"/>
      <c r="CA340"/>
      <c r="CB340"/>
      <c r="CC340"/>
      <c r="CD340" t="inlineStr">
        <is>
          <t>Liu,Y., M. Junaid, P. Xu, W. Zhong, B. Pan, and N. Xu</t>
        </is>
      </c>
      <c r="CE340" t="n">
        <v>185381.0</v>
      </c>
      <c r="CF340" t="inlineStr">
        <is>
          <t>Suspended Sediment Exacerbates Perfluorooctane Sulfonate Mediated Toxicity Through Reactive Oxygen Species Generation in Freshwater Clam Corbicula fluminea</t>
        </is>
      </c>
      <c r="CG340" t="inlineStr">
        <is>
          <t>Environ. Pollut.267:12 p.</t>
        </is>
      </c>
      <c r="CH340" t="n">
        <v>2020.0</v>
      </c>
      <c r="CI340" t="inlineStr">
        <is>
          <t>Liu,Y., M. Junaid, P. Xu, W. Zhong, B. Pan, and N. Xu (2020). Suspended Sediment Exacerbates Perfluorooctane Sulfonate Mediated Toxicity Through Reactive Oxygen Species Generation in Freshwater Clam Corbicula fluminea. Environ. Pollut., 267, 12 p. ECOREF#:185381</t>
        </is>
      </c>
    </row>
    <row r="341">
      <c r="A341" t="n">
        <v>2795393.0</v>
      </c>
      <c r="B341" t="inlineStr">
        <is>
          <t>1,1,2,2,3,3,4,4,5,5,6,6,7,7,8,8,8-Heptadecafluoro-1-octanesulfonic acid potassium salt</t>
        </is>
      </c>
      <c r="C341"/>
      <c r="D341" t="inlineStr">
        <is>
          <t>Unmeasured</t>
        </is>
      </c>
      <c r="E341"/>
      <c r="F341" t="n">
        <v>98.0</v>
      </c>
      <c r="G341"/>
      <c r="H341"/>
      <c r="I341"/>
      <c r="J341"/>
      <c r="K341" t="inlineStr">
        <is>
          <t>Corbicula fluminea</t>
        </is>
      </c>
      <c r="L341" t="inlineStr">
        <is>
          <t>Asian Clam</t>
        </is>
      </c>
      <c r="M341" t="inlineStr">
        <is>
          <t>Molluscs; U.S. Invasive Species</t>
        </is>
      </c>
      <c r="N341" t="inlineStr">
        <is>
          <t>Mature</t>
        </is>
      </c>
      <c r="O341"/>
      <c r="P341"/>
      <c r="Q341"/>
      <c r="R341"/>
      <c r="S341"/>
      <c r="T341"/>
      <c r="U341"/>
      <c r="V341" t="inlineStr">
        <is>
          <t>Renewal</t>
        </is>
      </c>
      <c r="W341" t="inlineStr">
        <is>
          <t>Fresh water</t>
        </is>
      </c>
      <c r="X341" t="inlineStr">
        <is>
          <t>Lab</t>
        </is>
      </c>
      <c r="Y341" t="n">
        <v>4.0</v>
      </c>
      <c r="Z341" t="inlineStr">
        <is>
          <t>Active ingredient</t>
        </is>
      </c>
      <c r="AA341"/>
      <c r="AB341" t="n">
        <v>0.1</v>
      </c>
      <c r="AC341"/>
      <c r="AD341"/>
      <c r="AE341"/>
      <c r="AF341"/>
      <c r="AG341" t="inlineStr">
        <is>
          <t>AI mg/L</t>
        </is>
      </c>
      <c r="AH341"/>
      <c r="AI341"/>
      <c r="AJ341"/>
      <c r="AK341"/>
      <c r="AL341"/>
      <c r="AM341"/>
      <c r="AN341"/>
      <c r="AO341"/>
      <c r="AP341"/>
      <c r="AQ341"/>
      <c r="AR341"/>
      <c r="AS341"/>
      <c r="AT341"/>
      <c r="AU341"/>
      <c r="AV341"/>
      <c r="AW341"/>
      <c r="AX341" t="inlineStr">
        <is>
          <t>Accumulation</t>
        </is>
      </c>
      <c r="AY341" t="inlineStr">
        <is>
          <t>Residue</t>
        </is>
      </c>
      <c r="AZ341" t="inlineStr">
        <is>
          <t>NOEC</t>
        </is>
      </c>
      <c r="BA341" t="inlineStr">
        <is>
          <t>Soft tissue</t>
        </is>
      </c>
      <c r="BB341"/>
      <c r="BC341" t="n">
        <v>7.0</v>
      </c>
      <c r="BD341"/>
      <c r="BE341"/>
      <c r="BF341"/>
      <c r="BG341"/>
      <c r="BH341" t="inlineStr">
        <is>
          <t>Day(s)</t>
        </is>
      </c>
      <c r="BI341"/>
      <c r="BJ341"/>
      <c r="BK341"/>
      <c r="BL341"/>
      <c r="BM341"/>
      <c r="BN341"/>
      <c r="BO341" t="inlineStr">
        <is>
          <t>--</t>
        </is>
      </c>
      <c r="BP341"/>
      <c r="BQ341"/>
      <c r="BR341"/>
      <c r="BS341"/>
      <c r="BT341"/>
      <c r="BU341"/>
      <c r="BV341"/>
      <c r="BW341"/>
      <c r="BX341"/>
      <c r="BY341"/>
      <c r="BZ341"/>
      <c r="CA341"/>
      <c r="CB341"/>
      <c r="CC341"/>
      <c r="CD341" t="inlineStr">
        <is>
          <t>Liu,Y., M. Junaid, P. Xu, W. Zhong, B. Pan, and N. Xu</t>
        </is>
      </c>
      <c r="CE341" t="n">
        <v>185381.0</v>
      </c>
      <c r="CF341" t="inlineStr">
        <is>
          <t>Suspended Sediment Exacerbates Perfluorooctane Sulfonate Mediated Toxicity Through Reactive Oxygen Species Generation in Freshwater Clam Corbicula fluminea</t>
        </is>
      </c>
      <c r="CG341" t="inlineStr">
        <is>
          <t>Environ. Pollut.267:12 p.</t>
        </is>
      </c>
      <c r="CH341" t="n">
        <v>2020.0</v>
      </c>
      <c r="CI341" t="inlineStr">
        <is>
          <t>Liu,Y., M. Junaid, P. Xu, W. Zhong, B. Pan, and N. Xu (2020). Suspended Sediment Exacerbates Perfluorooctane Sulfonate Mediated Toxicity Through Reactive Oxygen Species Generation in Freshwater Clam Corbicula fluminea. Environ. Pollut., 267, 12 p. ECOREF#:185381</t>
        </is>
      </c>
    </row>
    <row r="342">
      <c r="A342" t="n">
        <v>2795393.0</v>
      </c>
      <c r="B342" t="inlineStr">
        <is>
          <t>1,1,2,2,3,3,4,4,5,5,6,6,7,7,8,8,8-Heptadecafluoro-1-octanesulfonic acid potassium salt</t>
        </is>
      </c>
      <c r="C342"/>
      <c r="D342" t="inlineStr">
        <is>
          <t>Unmeasured</t>
        </is>
      </c>
      <c r="E342"/>
      <c r="F342" t="n">
        <v>98.0</v>
      </c>
      <c r="G342"/>
      <c r="H342"/>
      <c r="I342"/>
      <c r="J342"/>
      <c r="K342" t="inlineStr">
        <is>
          <t>Corbicula fluminea</t>
        </is>
      </c>
      <c r="L342" t="inlineStr">
        <is>
          <t>Asian Clam</t>
        </is>
      </c>
      <c r="M342" t="inlineStr">
        <is>
          <t>Molluscs; U.S. Invasive Species</t>
        </is>
      </c>
      <c r="N342" t="inlineStr">
        <is>
          <t>Mature</t>
        </is>
      </c>
      <c r="O342"/>
      <c r="P342"/>
      <c r="Q342"/>
      <c r="R342"/>
      <c r="S342"/>
      <c r="T342"/>
      <c r="U342"/>
      <c r="V342" t="inlineStr">
        <is>
          <t>Renewal</t>
        </is>
      </c>
      <c r="W342" t="inlineStr">
        <is>
          <t>Fresh water</t>
        </is>
      </c>
      <c r="X342" t="inlineStr">
        <is>
          <t>Lab</t>
        </is>
      </c>
      <c r="Y342" t="n">
        <v>5.0</v>
      </c>
      <c r="Z342" t="inlineStr">
        <is>
          <t>Active ingredient</t>
        </is>
      </c>
      <c r="AA342"/>
      <c r="AB342" t="n">
        <v>0.01</v>
      </c>
      <c r="AC342"/>
      <c r="AD342"/>
      <c r="AE342"/>
      <c r="AF342"/>
      <c r="AG342" t="inlineStr">
        <is>
          <t>AI mg/L</t>
        </is>
      </c>
      <c r="AH342"/>
      <c r="AI342"/>
      <c r="AJ342"/>
      <c r="AK342"/>
      <c r="AL342"/>
      <c r="AM342"/>
      <c r="AN342"/>
      <c r="AO342"/>
      <c r="AP342"/>
      <c r="AQ342"/>
      <c r="AR342"/>
      <c r="AS342"/>
      <c r="AT342"/>
      <c r="AU342"/>
      <c r="AV342"/>
      <c r="AW342"/>
      <c r="AX342" t="inlineStr">
        <is>
          <t>Accumulation</t>
        </is>
      </c>
      <c r="AY342" t="inlineStr">
        <is>
          <t>Residue</t>
        </is>
      </c>
      <c r="AZ342" t="inlineStr">
        <is>
          <t>NOEC</t>
        </is>
      </c>
      <c r="BA342" t="inlineStr">
        <is>
          <t>Soft tissue</t>
        </is>
      </c>
      <c r="BB342"/>
      <c r="BC342" t="n">
        <v>7.0</v>
      </c>
      <c r="BD342"/>
      <c r="BE342"/>
      <c r="BF342"/>
      <c r="BG342"/>
      <c r="BH342" t="inlineStr">
        <is>
          <t>Day(s)</t>
        </is>
      </c>
      <c r="BI342"/>
      <c r="BJ342"/>
      <c r="BK342"/>
      <c r="BL342"/>
      <c r="BM342"/>
      <c r="BN342"/>
      <c r="BO342" t="inlineStr">
        <is>
          <t>--</t>
        </is>
      </c>
      <c r="BP342"/>
      <c r="BQ342"/>
      <c r="BR342"/>
      <c r="BS342"/>
      <c r="BT342"/>
      <c r="BU342"/>
      <c r="BV342"/>
      <c r="BW342"/>
      <c r="BX342"/>
      <c r="BY342"/>
      <c r="BZ342"/>
      <c r="CA342"/>
      <c r="CB342"/>
      <c r="CC342"/>
      <c r="CD342" t="inlineStr">
        <is>
          <t>Liu,Y., M. Junaid, P. Xu, W. Zhong, B. Pan, and N. Xu</t>
        </is>
      </c>
      <c r="CE342" t="n">
        <v>185381.0</v>
      </c>
      <c r="CF342" t="inlineStr">
        <is>
          <t>Suspended Sediment Exacerbates Perfluorooctane Sulfonate Mediated Toxicity Through Reactive Oxygen Species Generation in Freshwater Clam Corbicula fluminea</t>
        </is>
      </c>
      <c r="CG342" t="inlineStr">
        <is>
          <t>Environ. Pollut.267:12 p.</t>
        </is>
      </c>
      <c r="CH342" t="n">
        <v>2020.0</v>
      </c>
      <c r="CI342" t="inlineStr">
        <is>
          <t>Liu,Y., M. Junaid, P. Xu, W. Zhong, B. Pan, and N. Xu (2020). Suspended Sediment Exacerbates Perfluorooctane Sulfonate Mediated Toxicity Through Reactive Oxygen Species Generation in Freshwater Clam Corbicula fluminea. Environ. Pollut., 267, 12 p. ECOREF#:185381</t>
        </is>
      </c>
    </row>
    <row r="343">
      <c r="A343" t="n">
        <v>2795393.0</v>
      </c>
      <c r="B343" t="inlineStr">
        <is>
          <t>1,1,2,2,3,3,4,4,5,5,6,6,7,7,8,8,8-Heptadecafluoro-1-octanesulfonic acid potassium salt</t>
        </is>
      </c>
      <c r="C343"/>
      <c r="D343" t="inlineStr">
        <is>
          <t>Unmeasured</t>
        </is>
      </c>
      <c r="E343"/>
      <c r="F343" t="n">
        <v>98.0</v>
      </c>
      <c r="G343"/>
      <c r="H343"/>
      <c r="I343"/>
      <c r="J343"/>
      <c r="K343" t="inlineStr">
        <is>
          <t>Corbicula fluminea</t>
        </is>
      </c>
      <c r="L343" t="inlineStr">
        <is>
          <t>Asian Clam</t>
        </is>
      </c>
      <c r="M343" t="inlineStr">
        <is>
          <t>Molluscs; U.S. Invasive Species</t>
        </is>
      </c>
      <c r="N343" t="inlineStr">
        <is>
          <t>Mature</t>
        </is>
      </c>
      <c r="O343"/>
      <c r="P343"/>
      <c r="Q343"/>
      <c r="R343"/>
      <c r="S343"/>
      <c r="T343"/>
      <c r="U343"/>
      <c r="V343" t="inlineStr">
        <is>
          <t>Renewal</t>
        </is>
      </c>
      <c r="W343" t="inlineStr">
        <is>
          <t>Fresh water</t>
        </is>
      </c>
      <c r="X343" t="inlineStr">
        <is>
          <t>Lab</t>
        </is>
      </c>
      <c r="Y343" t="n">
        <v>5.0</v>
      </c>
      <c r="Z343" t="inlineStr">
        <is>
          <t>Active ingredient</t>
        </is>
      </c>
      <c r="AA343"/>
      <c r="AB343" t="n">
        <v>0.01</v>
      </c>
      <c r="AC343"/>
      <c r="AD343"/>
      <c r="AE343"/>
      <c r="AF343"/>
      <c r="AG343" t="inlineStr">
        <is>
          <t>AI mg/L</t>
        </is>
      </c>
      <c r="AH343"/>
      <c r="AI343"/>
      <c r="AJ343"/>
      <c r="AK343"/>
      <c r="AL343"/>
      <c r="AM343"/>
      <c r="AN343"/>
      <c r="AO343"/>
      <c r="AP343"/>
      <c r="AQ343"/>
      <c r="AR343"/>
      <c r="AS343"/>
      <c r="AT343"/>
      <c r="AU343"/>
      <c r="AV343"/>
      <c r="AW343"/>
      <c r="AX343" t="inlineStr">
        <is>
          <t>Accumulation</t>
        </is>
      </c>
      <c r="AY343" t="inlineStr">
        <is>
          <t>Residue</t>
        </is>
      </c>
      <c r="AZ343" t="inlineStr">
        <is>
          <t>NOEC</t>
        </is>
      </c>
      <c r="BA343" t="inlineStr">
        <is>
          <t>Soft tissue</t>
        </is>
      </c>
      <c r="BB343"/>
      <c r="BC343" t="n">
        <v>7.0</v>
      </c>
      <c r="BD343"/>
      <c r="BE343"/>
      <c r="BF343"/>
      <c r="BG343"/>
      <c r="BH343" t="inlineStr">
        <is>
          <t>Day(s)</t>
        </is>
      </c>
      <c r="BI343"/>
      <c r="BJ343"/>
      <c r="BK343"/>
      <c r="BL343"/>
      <c r="BM343"/>
      <c r="BN343"/>
      <c r="BO343" t="inlineStr">
        <is>
          <t>--</t>
        </is>
      </c>
      <c r="BP343"/>
      <c r="BQ343"/>
      <c r="BR343"/>
      <c r="BS343"/>
      <c r="BT343"/>
      <c r="BU343"/>
      <c r="BV343"/>
      <c r="BW343"/>
      <c r="BX343"/>
      <c r="BY343"/>
      <c r="BZ343"/>
      <c r="CA343"/>
      <c r="CB343"/>
      <c r="CC343"/>
      <c r="CD343" t="inlineStr">
        <is>
          <t>Liu,Y., M. Junaid, P. Xu, W. Zhong, B. Pan, and N. Xu</t>
        </is>
      </c>
      <c r="CE343" t="n">
        <v>185381.0</v>
      </c>
      <c r="CF343" t="inlineStr">
        <is>
          <t>Suspended Sediment Exacerbates Perfluorooctane Sulfonate Mediated Toxicity Through Reactive Oxygen Species Generation in Freshwater Clam Corbicula fluminea</t>
        </is>
      </c>
      <c r="CG343" t="inlineStr">
        <is>
          <t>Environ. Pollut.267:12 p.</t>
        </is>
      </c>
      <c r="CH343" t="n">
        <v>2020.0</v>
      </c>
      <c r="CI343" t="inlineStr">
        <is>
          <t>Liu,Y., M. Junaid, P. Xu, W. Zhong, B. Pan, and N. Xu (2020). Suspended Sediment Exacerbates Perfluorooctane Sulfonate Mediated Toxicity Through Reactive Oxygen Species Generation in Freshwater Clam Corbicula fluminea. Environ. Pollut., 267, 12 p. ECOREF#:185381</t>
        </is>
      </c>
    </row>
    <row r="344">
      <c r="A344" t="n">
        <v>2795393.0</v>
      </c>
      <c r="B344" t="inlineStr">
        <is>
          <t>1,1,2,2,3,3,4,4,5,5,6,6,7,7,8,8,8-Heptadecafluoro-1-octanesulfonic acid potassium salt</t>
        </is>
      </c>
      <c r="C344"/>
      <c r="D344" t="inlineStr">
        <is>
          <t>Unmeasured</t>
        </is>
      </c>
      <c r="E344"/>
      <c r="F344" t="n">
        <v>98.0</v>
      </c>
      <c r="G344"/>
      <c r="H344"/>
      <c r="I344"/>
      <c r="J344"/>
      <c r="K344" t="inlineStr">
        <is>
          <t>Corbicula fluminea</t>
        </is>
      </c>
      <c r="L344" t="inlineStr">
        <is>
          <t>Asian Clam</t>
        </is>
      </c>
      <c r="M344" t="inlineStr">
        <is>
          <t>Molluscs; U.S. Invasive Species</t>
        </is>
      </c>
      <c r="N344" t="inlineStr">
        <is>
          <t>Mature</t>
        </is>
      </c>
      <c r="O344"/>
      <c r="P344"/>
      <c r="Q344"/>
      <c r="R344"/>
      <c r="S344"/>
      <c r="T344"/>
      <c r="U344"/>
      <c r="V344" t="inlineStr">
        <is>
          <t>Renewal</t>
        </is>
      </c>
      <c r="W344" t="inlineStr">
        <is>
          <t>Fresh water</t>
        </is>
      </c>
      <c r="X344" t="inlineStr">
        <is>
          <t>Lab</t>
        </is>
      </c>
      <c r="Y344" t="n">
        <v>5.0</v>
      </c>
      <c r="Z344" t="inlineStr">
        <is>
          <t>Active ingredient</t>
        </is>
      </c>
      <c r="AA344"/>
      <c r="AB344" t="n">
        <v>0.01</v>
      </c>
      <c r="AC344"/>
      <c r="AD344"/>
      <c r="AE344"/>
      <c r="AF344"/>
      <c r="AG344" t="inlineStr">
        <is>
          <t>AI mg/L</t>
        </is>
      </c>
      <c r="AH344"/>
      <c r="AI344"/>
      <c r="AJ344"/>
      <c r="AK344"/>
      <c r="AL344"/>
      <c r="AM344"/>
      <c r="AN344"/>
      <c r="AO344"/>
      <c r="AP344"/>
      <c r="AQ344"/>
      <c r="AR344"/>
      <c r="AS344"/>
      <c r="AT344"/>
      <c r="AU344"/>
      <c r="AV344"/>
      <c r="AW344"/>
      <c r="AX344" t="inlineStr">
        <is>
          <t>Accumulation</t>
        </is>
      </c>
      <c r="AY344" t="inlineStr">
        <is>
          <t>Residue</t>
        </is>
      </c>
      <c r="AZ344" t="inlineStr">
        <is>
          <t>NOEC</t>
        </is>
      </c>
      <c r="BA344" t="inlineStr">
        <is>
          <t>Soft tissue</t>
        </is>
      </c>
      <c r="BB344"/>
      <c r="BC344" t="n">
        <v>7.0</v>
      </c>
      <c r="BD344"/>
      <c r="BE344"/>
      <c r="BF344"/>
      <c r="BG344"/>
      <c r="BH344" t="inlineStr">
        <is>
          <t>Day(s)</t>
        </is>
      </c>
      <c r="BI344"/>
      <c r="BJ344"/>
      <c r="BK344"/>
      <c r="BL344"/>
      <c r="BM344"/>
      <c r="BN344"/>
      <c r="BO344" t="inlineStr">
        <is>
          <t>--</t>
        </is>
      </c>
      <c r="BP344"/>
      <c r="BQ344"/>
      <c r="BR344"/>
      <c r="BS344"/>
      <c r="BT344"/>
      <c r="BU344"/>
      <c r="BV344"/>
      <c r="BW344"/>
      <c r="BX344"/>
      <c r="BY344"/>
      <c r="BZ344"/>
      <c r="CA344"/>
      <c r="CB344"/>
      <c r="CC344"/>
      <c r="CD344" t="inlineStr">
        <is>
          <t>Liu,Y., M. Junaid, P. Xu, W. Zhong, B. Pan, and N. Xu</t>
        </is>
      </c>
      <c r="CE344" t="n">
        <v>185381.0</v>
      </c>
      <c r="CF344" t="inlineStr">
        <is>
          <t>Suspended Sediment Exacerbates Perfluorooctane Sulfonate Mediated Toxicity Through Reactive Oxygen Species Generation in Freshwater Clam Corbicula fluminea</t>
        </is>
      </c>
      <c r="CG344" t="inlineStr">
        <is>
          <t>Environ. Pollut.267:12 p.</t>
        </is>
      </c>
      <c r="CH344" t="n">
        <v>2020.0</v>
      </c>
      <c r="CI344" t="inlineStr">
        <is>
          <t>Liu,Y., M. Junaid, P. Xu, W. Zhong, B. Pan, and N. Xu (2020). Suspended Sediment Exacerbates Perfluorooctane Sulfonate Mediated Toxicity Through Reactive Oxygen Species Generation in Freshwater Clam Corbicula fluminea. Environ. Pollut., 267, 12 p. ECOREF#:185381</t>
        </is>
      </c>
    </row>
    <row r="345">
      <c r="A345" t="n">
        <v>2795393.0</v>
      </c>
      <c r="B345" t="inlineStr">
        <is>
          <t>1,1,2,2,3,3,4,4,5,5,6,6,7,7,8,8,8-Heptadecafluoro-1-octanesulfonic acid potassium salt</t>
        </is>
      </c>
      <c r="C345"/>
      <c r="D345" t="inlineStr">
        <is>
          <t>Unmeasured</t>
        </is>
      </c>
      <c r="E345" t="inlineStr">
        <is>
          <t>&gt;=</t>
        </is>
      </c>
      <c r="F345" t="n">
        <v>98.0</v>
      </c>
      <c r="G345"/>
      <c r="H345"/>
      <c r="I345"/>
      <c r="J345"/>
      <c r="K345" t="inlineStr">
        <is>
          <t>Psammechinus miliaris</t>
        </is>
      </c>
      <c r="L345" t="inlineStr">
        <is>
          <t>Sea Urchin</t>
        </is>
      </c>
      <c r="M345" t="inlineStr">
        <is>
          <t>Other Invertebrates</t>
        </is>
      </c>
      <c r="N345" t="inlineStr">
        <is>
          <t>Embryo</t>
        </is>
      </c>
      <c r="O345"/>
      <c r="P345" t="n">
        <v>0.0</v>
      </c>
      <c r="Q345"/>
      <c r="R345"/>
      <c r="S345"/>
      <c r="T345"/>
      <c r="U345" t="inlineStr">
        <is>
          <t>Days post fertilization</t>
        </is>
      </c>
      <c r="V345" t="inlineStr">
        <is>
          <t>Renewal</t>
        </is>
      </c>
      <c r="W345" t="inlineStr">
        <is>
          <t>Salt water</t>
        </is>
      </c>
      <c r="X345" t="inlineStr">
        <is>
          <t>Lab</t>
        </is>
      </c>
      <c r="Y345" t="n">
        <v>5.0</v>
      </c>
      <c r="Z345" t="inlineStr">
        <is>
          <t>Active ingredient</t>
        </is>
      </c>
      <c r="AA345"/>
      <c r="AB345"/>
      <c r="AC345"/>
      <c r="AD345" t="n">
        <v>0.0501479529</v>
      </c>
      <c r="AE345"/>
      <c r="AF345" t="n">
        <v>0.4006443979</v>
      </c>
      <c r="AG345" t="inlineStr">
        <is>
          <t>AI mg/L</t>
        </is>
      </c>
      <c r="AH345"/>
      <c r="AI345"/>
      <c r="AJ345"/>
      <c r="AK345"/>
      <c r="AL345"/>
      <c r="AM345"/>
      <c r="AN345"/>
      <c r="AO345"/>
      <c r="AP345"/>
      <c r="AQ345"/>
      <c r="AR345"/>
      <c r="AS345"/>
      <c r="AT345"/>
      <c r="AU345"/>
      <c r="AV345"/>
      <c r="AW345"/>
      <c r="AX345" t="inlineStr">
        <is>
          <t>Accumulation</t>
        </is>
      </c>
      <c r="AY345" t="inlineStr">
        <is>
          <t>Residue</t>
        </is>
      </c>
      <c r="AZ345"/>
      <c r="BA345" t="inlineStr">
        <is>
          <t>Whole organism</t>
        </is>
      </c>
      <c r="BB345"/>
      <c r="BC345"/>
      <c r="BD345"/>
      <c r="BE345" t="n">
        <v>0.0</v>
      </c>
      <c r="BF345"/>
      <c r="BG345" t="n">
        <v>16.0</v>
      </c>
      <c r="BH345" t="inlineStr">
        <is>
          <t>Day(s) post-fertilization</t>
        </is>
      </c>
      <c r="BI345"/>
      <c r="BJ345"/>
      <c r="BK345"/>
      <c r="BL345"/>
      <c r="BM345"/>
      <c r="BN345"/>
      <c r="BO345" t="inlineStr">
        <is>
          <t>--</t>
        </is>
      </c>
      <c r="BP345"/>
      <c r="BQ345"/>
      <c r="BR345"/>
      <c r="BS345"/>
      <c r="BT345"/>
      <c r="BU345"/>
      <c r="BV345"/>
      <c r="BW345"/>
      <c r="BX345"/>
      <c r="BY345"/>
      <c r="BZ345"/>
      <c r="CA345"/>
      <c r="CB345"/>
      <c r="CC345"/>
      <c r="CD345" t="inlineStr">
        <is>
          <t>Anselmo,H.M.R., L. Koerting, S. Devito, J.H.J. Van den Berg, M. Dubbeldam, C. Kwadijk, and A.J. Murk</t>
        </is>
      </c>
      <c r="CE345" t="n">
        <v>158213.0</v>
      </c>
      <c r="CF345" t="inlineStr">
        <is>
          <t>Early Life Developmental Effects of Marine Persistent Organic Pollutants on the Sea Urchin Psammechinus miliaris</t>
        </is>
      </c>
      <c r="CG345" t="inlineStr">
        <is>
          <t>Ecotoxicol. Environ. Saf.74(8): 2182-2192</t>
        </is>
      </c>
      <c r="CH345" t="n">
        <v>2011.0</v>
      </c>
      <c r="CI345" t="inlineStr">
        <is>
          <t>Anselmo,H.M.R., L. Koerting, S. Devito, J.H.J. Van den Berg, M. Dubbeldam, C. Kwadijk, and A.J. Murk (2011). Early Life Developmental Effects of Marine Persistent Organic Pollutants on the Sea Urchin Psammechinus miliaris. Ecotoxicol. Environ. Saf., 74, (8), 2182-2192. doi:10.1016/j.ecoenv.2011.07.037. ECOREF#:158213</t>
        </is>
      </c>
    </row>
    <row r="346">
      <c r="A346" t="n">
        <v>2795393.0</v>
      </c>
      <c r="B346" t="inlineStr">
        <is>
          <t>1,1,2,2,3,3,4,4,5,5,6,6,7,7,8,8,8-Heptadecafluoro-1-octanesulfonic acid potassium salt</t>
        </is>
      </c>
      <c r="C346"/>
      <c r="D346" t="inlineStr">
        <is>
          <t>Unmeasured</t>
        </is>
      </c>
      <c r="E346" t="inlineStr">
        <is>
          <t>&gt;=</t>
        </is>
      </c>
      <c r="F346" t="n">
        <v>98.0</v>
      </c>
      <c r="G346"/>
      <c r="H346"/>
      <c r="I346"/>
      <c r="J346"/>
      <c r="K346" t="inlineStr">
        <is>
          <t>Tetrahymena thermophila</t>
        </is>
      </c>
      <c r="L346" t="inlineStr">
        <is>
          <t>Ciliate Protozoa</t>
        </is>
      </c>
      <c r="M346" t="inlineStr">
        <is>
          <t>Other Invertebrates; Standard Test Species</t>
        </is>
      </c>
      <c r="N346" t="inlineStr">
        <is>
          <t>Exponential growth phase (log)</t>
        </is>
      </c>
      <c r="O346"/>
      <c r="P346"/>
      <c r="Q346"/>
      <c r="R346"/>
      <c r="S346"/>
      <c r="T346"/>
      <c r="U346"/>
      <c r="V346" t="inlineStr">
        <is>
          <t>Static</t>
        </is>
      </c>
      <c r="W346" t="inlineStr">
        <is>
          <t>Culture</t>
        </is>
      </c>
      <c r="X346" t="inlineStr">
        <is>
          <t>Lab</t>
        </is>
      </c>
      <c r="Y346" t="n">
        <v>2.0</v>
      </c>
      <c r="Z346" t="inlineStr">
        <is>
          <t>Active ingredient</t>
        </is>
      </c>
      <c r="AA346"/>
      <c r="AB346" t="n">
        <v>40.0</v>
      </c>
      <c r="AC346"/>
      <c r="AD346"/>
      <c r="AE346"/>
      <c r="AF346"/>
      <c r="AG346" t="inlineStr">
        <is>
          <t>AI mg/L</t>
        </is>
      </c>
      <c r="AH346"/>
      <c r="AI346"/>
      <c r="AJ346"/>
      <c r="AK346"/>
      <c r="AL346"/>
      <c r="AM346"/>
      <c r="AN346"/>
      <c r="AO346"/>
      <c r="AP346"/>
      <c r="AQ346"/>
      <c r="AR346"/>
      <c r="AS346"/>
      <c r="AT346"/>
      <c r="AU346"/>
      <c r="AV346"/>
      <c r="AW346"/>
      <c r="AX346" t="inlineStr">
        <is>
          <t>Accumulation</t>
        </is>
      </c>
      <c r="AY346" t="inlineStr">
        <is>
          <t>Residue</t>
        </is>
      </c>
      <c r="AZ346"/>
      <c r="BA346" t="inlineStr">
        <is>
          <t>Whole organism</t>
        </is>
      </c>
      <c r="BB346"/>
      <c r="BC346"/>
      <c r="BD346"/>
      <c r="BE346" t="n">
        <v>1.0</v>
      </c>
      <c r="BF346"/>
      <c r="BG346" t="n">
        <v>4.0</v>
      </c>
      <c r="BH346" t="inlineStr">
        <is>
          <t>Day(s)</t>
        </is>
      </c>
      <c r="BI346"/>
      <c r="BJ346"/>
      <c r="BK346"/>
      <c r="BL346"/>
      <c r="BM346"/>
      <c r="BN346"/>
      <c r="BO346" t="inlineStr">
        <is>
          <t>--</t>
        </is>
      </c>
      <c r="BP346"/>
      <c r="BQ346"/>
      <c r="BR346"/>
      <c r="BS346"/>
      <c r="BT346"/>
      <c r="BU346"/>
      <c r="BV346"/>
      <c r="BW346"/>
      <c r="BX346"/>
      <c r="BY346"/>
      <c r="BZ346"/>
      <c r="CA346"/>
      <c r="CB346"/>
      <c r="CC346"/>
      <c r="CD346" t="inlineStr">
        <is>
          <t>Wang,M., B. Song, T. Song, K. Sun, J. He, J. Deng, L. Fang, T. Luan, and L. Lin</t>
        </is>
      </c>
      <c r="CE346" t="n">
        <v>193410.0</v>
      </c>
      <c r="CF346" t="inlineStr">
        <is>
          <t>Efflux Transport Proteins of Tetrahymena thermophila Play Important Roles in Resistance to Perfluorooctane Sulfonate Exposure</t>
        </is>
      </c>
      <c r="CG346" t="inlineStr">
        <is>
          <t>J. Hazard. Mater.459:9 p.</t>
        </is>
      </c>
      <c r="CH346" t="n">
        <v>2023.0</v>
      </c>
      <c r="CI346" t="inlineStr">
        <is>
          <t>Wang,M., B. Song, T. Song, K. Sun, J. He, J. Deng, L. Fang, T. Luan, and L. Lin (2023). Efflux Transport Proteins of Tetrahymena thermophila Play Important Roles in Resistance to Perfluorooctane Sulfonate Exposure. J. Hazard. Mater., 459, 9 p. ECOREF#:193410</t>
        </is>
      </c>
    </row>
    <row r="347">
      <c r="A347" t="n">
        <v>2795393.0</v>
      </c>
      <c r="B347" t="inlineStr">
        <is>
          <t>1,1,2,2,3,3,4,4,5,5,6,6,7,7,8,8,8-Heptadecafluoro-1-octanesulfonic acid potassium salt</t>
        </is>
      </c>
      <c r="C347"/>
      <c r="D347" t="inlineStr">
        <is>
          <t>Unmeasured</t>
        </is>
      </c>
      <c r="E347" t="inlineStr">
        <is>
          <t>&gt;=</t>
        </is>
      </c>
      <c r="F347" t="n">
        <v>98.0</v>
      </c>
      <c r="G347"/>
      <c r="H347"/>
      <c r="I347"/>
      <c r="J347"/>
      <c r="K347" t="inlineStr">
        <is>
          <t>Tetrahymena thermophila</t>
        </is>
      </c>
      <c r="L347" t="inlineStr">
        <is>
          <t>Ciliate Protozoa</t>
        </is>
      </c>
      <c r="M347" t="inlineStr">
        <is>
          <t>Other Invertebrates; Standard Test Species</t>
        </is>
      </c>
      <c r="N347" t="inlineStr">
        <is>
          <t>Exponential growth phase (log)</t>
        </is>
      </c>
      <c r="O347"/>
      <c r="P347"/>
      <c r="Q347"/>
      <c r="R347"/>
      <c r="S347"/>
      <c r="T347"/>
      <c r="U347"/>
      <c r="V347" t="inlineStr">
        <is>
          <t>Static</t>
        </is>
      </c>
      <c r="W347" t="inlineStr">
        <is>
          <t>Culture</t>
        </is>
      </c>
      <c r="X347" t="inlineStr">
        <is>
          <t>Lab</t>
        </is>
      </c>
      <c r="Y347" t="n">
        <v>2.0</v>
      </c>
      <c r="Z347" t="inlineStr">
        <is>
          <t>Active ingredient</t>
        </is>
      </c>
      <c r="AA347"/>
      <c r="AB347" t="n">
        <v>40.0</v>
      </c>
      <c r="AC347"/>
      <c r="AD347"/>
      <c r="AE347"/>
      <c r="AF347"/>
      <c r="AG347" t="inlineStr">
        <is>
          <t>AI mg/L</t>
        </is>
      </c>
      <c r="AH347"/>
      <c r="AI347"/>
      <c r="AJ347"/>
      <c r="AK347"/>
      <c r="AL347"/>
      <c r="AM347"/>
      <c r="AN347"/>
      <c r="AO347"/>
      <c r="AP347"/>
      <c r="AQ347"/>
      <c r="AR347"/>
      <c r="AS347"/>
      <c r="AT347"/>
      <c r="AU347"/>
      <c r="AV347"/>
      <c r="AW347"/>
      <c r="AX347" t="inlineStr">
        <is>
          <t>Accumulation</t>
        </is>
      </c>
      <c r="AY347" t="inlineStr">
        <is>
          <t>Residue</t>
        </is>
      </c>
      <c r="AZ347"/>
      <c r="BA347" t="inlineStr">
        <is>
          <t>Whole organism</t>
        </is>
      </c>
      <c r="BB347"/>
      <c r="BC347"/>
      <c r="BD347"/>
      <c r="BE347" t="n">
        <v>1.0</v>
      </c>
      <c r="BF347"/>
      <c r="BG347" t="n">
        <v>4.0</v>
      </c>
      <c r="BH347" t="inlineStr">
        <is>
          <t>Day(s)</t>
        </is>
      </c>
      <c r="BI347"/>
      <c r="BJ347"/>
      <c r="BK347"/>
      <c r="BL347"/>
      <c r="BM347"/>
      <c r="BN347"/>
      <c r="BO347" t="inlineStr">
        <is>
          <t>--</t>
        </is>
      </c>
      <c r="BP347"/>
      <c r="BQ347"/>
      <c r="BR347"/>
      <c r="BS347"/>
      <c r="BT347"/>
      <c r="BU347"/>
      <c r="BV347"/>
      <c r="BW347"/>
      <c r="BX347"/>
      <c r="BY347"/>
      <c r="BZ347"/>
      <c r="CA347"/>
      <c r="CB347"/>
      <c r="CC347"/>
      <c r="CD347" t="inlineStr">
        <is>
          <t>Wang,M., B. Song, T. Song, K. Sun, J. He, J. Deng, L. Fang, T. Luan, and L. Lin</t>
        </is>
      </c>
      <c r="CE347" t="n">
        <v>193410.0</v>
      </c>
      <c r="CF347" t="inlineStr">
        <is>
          <t>Efflux Transport Proteins of Tetrahymena thermophila Play Important Roles in Resistance to Perfluorooctane Sulfonate Exposure</t>
        </is>
      </c>
      <c r="CG347" t="inlineStr">
        <is>
          <t>J. Hazard. Mater.459:9 p.</t>
        </is>
      </c>
      <c r="CH347" t="n">
        <v>2023.0</v>
      </c>
      <c r="CI347" t="inlineStr">
        <is>
          <t>Wang,M., B. Song, T. Song, K. Sun, J. He, J. Deng, L. Fang, T. Luan, and L. Lin (2023). Efflux Transport Proteins of Tetrahymena thermophila Play Important Roles in Resistance to Perfluorooctane Sulfonate Exposure. J. Hazard. Mater., 459, 9 p. ECOREF#:193410</t>
        </is>
      </c>
    </row>
    <row r="348">
      <c r="A348" t="n">
        <v>2795393.0</v>
      </c>
      <c r="B348" t="inlineStr">
        <is>
          <t>1,1,2,2,3,3,4,4,5,5,6,6,7,7,8,8,8-Heptadecafluoro-1-octanesulfonic acid potassium salt</t>
        </is>
      </c>
      <c r="C348"/>
      <c r="D348" t="inlineStr">
        <is>
          <t>Unmeasured</t>
        </is>
      </c>
      <c r="E348" t="inlineStr">
        <is>
          <t>&gt;=</t>
        </is>
      </c>
      <c r="F348" t="n">
        <v>98.0</v>
      </c>
      <c r="G348"/>
      <c r="H348"/>
      <c r="I348"/>
      <c r="J348"/>
      <c r="K348" t="inlineStr">
        <is>
          <t>Tetrahymena thermophila</t>
        </is>
      </c>
      <c r="L348" t="inlineStr">
        <is>
          <t>Ciliate Protozoa</t>
        </is>
      </c>
      <c r="M348" t="inlineStr">
        <is>
          <t>Other Invertebrates; Standard Test Species</t>
        </is>
      </c>
      <c r="N348" t="inlineStr">
        <is>
          <t>Exponential growth phase (log)</t>
        </is>
      </c>
      <c r="O348"/>
      <c r="P348"/>
      <c r="Q348"/>
      <c r="R348"/>
      <c r="S348"/>
      <c r="T348"/>
      <c r="U348"/>
      <c r="V348" t="inlineStr">
        <is>
          <t>Static</t>
        </is>
      </c>
      <c r="W348" t="inlineStr">
        <is>
          <t>Culture</t>
        </is>
      </c>
      <c r="X348" t="inlineStr">
        <is>
          <t>Lab</t>
        </is>
      </c>
      <c r="Y348" t="n">
        <v>2.0</v>
      </c>
      <c r="Z348" t="inlineStr">
        <is>
          <t>Active ingredient</t>
        </is>
      </c>
      <c r="AA348"/>
      <c r="AB348" t="n">
        <v>40.0</v>
      </c>
      <c r="AC348"/>
      <c r="AD348"/>
      <c r="AE348"/>
      <c r="AF348"/>
      <c r="AG348" t="inlineStr">
        <is>
          <t>AI mg/L</t>
        </is>
      </c>
      <c r="AH348"/>
      <c r="AI348"/>
      <c r="AJ348"/>
      <c r="AK348"/>
      <c r="AL348"/>
      <c r="AM348"/>
      <c r="AN348"/>
      <c r="AO348"/>
      <c r="AP348"/>
      <c r="AQ348"/>
      <c r="AR348"/>
      <c r="AS348"/>
      <c r="AT348"/>
      <c r="AU348"/>
      <c r="AV348"/>
      <c r="AW348"/>
      <c r="AX348" t="inlineStr">
        <is>
          <t>Accumulation</t>
        </is>
      </c>
      <c r="AY348" t="inlineStr">
        <is>
          <t>Residue</t>
        </is>
      </c>
      <c r="AZ348"/>
      <c r="BA348" t="inlineStr">
        <is>
          <t>Whole organism</t>
        </is>
      </c>
      <c r="BB348"/>
      <c r="BC348"/>
      <c r="BD348"/>
      <c r="BE348" t="n">
        <v>1.0</v>
      </c>
      <c r="BF348"/>
      <c r="BG348" t="n">
        <v>5.0</v>
      </c>
      <c r="BH348" t="inlineStr">
        <is>
          <t>Day(s)</t>
        </is>
      </c>
      <c r="BI348"/>
      <c r="BJ348"/>
      <c r="BK348"/>
      <c r="BL348"/>
      <c r="BM348"/>
      <c r="BN348"/>
      <c r="BO348" t="inlineStr">
        <is>
          <t>--</t>
        </is>
      </c>
      <c r="BP348"/>
      <c r="BQ348"/>
      <c r="BR348"/>
      <c r="BS348"/>
      <c r="BT348"/>
      <c r="BU348"/>
      <c r="BV348"/>
      <c r="BW348"/>
      <c r="BX348"/>
      <c r="BY348"/>
      <c r="BZ348"/>
      <c r="CA348"/>
      <c r="CB348"/>
      <c r="CC348"/>
      <c r="CD348" t="inlineStr">
        <is>
          <t>Wang,M., B. Song, T. Song, K. Sun, J. He, J. Deng, L. Fang, T. Luan, and L. Lin</t>
        </is>
      </c>
      <c r="CE348" t="n">
        <v>193410.0</v>
      </c>
      <c r="CF348" t="inlineStr">
        <is>
          <t>Efflux Transport Proteins of Tetrahymena thermophila Play Important Roles in Resistance to Perfluorooctane Sulfonate Exposure</t>
        </is>
      </c>
      <c r="CG348" t="inlineStr">
        <is>
          <t>J. Hazard. Mater.459:9 p.</t>
        </is>
      </c>
      <c r="CH348" t="n">
        <v>2023.0</v>
      </c>
      <c r="CI348" t="inlineStr">
        <is>
          <t>Wang,M., B. Song, T. Song, K. Sun, J. He, J. Deng, L. Fang, T. Luan, and L. Lin (2023). Efflux Transport Proteins of Tetrahymena thermophila Play Important Roles in Resistance to Perfluorooctane Sulfonate Exposure. J. Hazard. Mater., 459, 9 p. ECOREF#:193410</t>
        </is>
      </c>
    </row>
    <row r="349">
      <c r="A349" t="n">
        <v>2795393.0</v>
      </c>
      <c r="B349" t="inlineStr">
        <is>
          <t>1,1,2,2,3,3,4,4,5,5,6,6,7,7,8,8,8-Heptadecafluoro-1-octanesulfonic acid potassium salt</t>
        </is>
      </c>
      <c r="C349"/>
      <c r="D349" t="inlineStr">
        <is>
          <t>Measured</t>
        </is>
      </c>
      <c r="E349"/>
      <c r="F349" t="n">
        <v>98.0</v>
      </c>
      <c r="G349"/>
      <c r="H349"/>
      <c r="I349"/>
      <c r="J349"/>
      <c r="K349" t="inlineStr">
        <is>
          <t>Limnodrilus hoffmeisteri</t>
        </is>
      </c>
      <c r="L349" t="inlineStr">
        <is>
          <t>Tubificid Worm, Oligochaete</t>
        </is>
      </c>
      <c r="M349" t="inlineStr">
        <is>
          <t>Worms</t>
        </is>
      </c>
      <c r="N349"/>
      <c r="O349"/>
      <c r="P349"/>
      <c r="Q349"/>
      <c r="R349"/>
      <c r="S349"/>
      <c r="T349"/>
      <c r="U349"/>
      <c r="V349" t="inlineStr">
        <is>
          <t>Renewal</t>
        </is>
      </c>
      <c r="W349" t="inlineStr">
        <is>
          <t>Fresh water</t>
        </is>
      </c>
      <c r="X349" t="inlineStr">
        <is>
          <t>Lab</t>
        </is>
      </c>
      <c r="Y349" t="n">
        <v>2.0</v>
      </c>
      <c r="Z349" t="inlineStr">
        <is>
          <t>Active ingredient</t>
        </is>
      </c>
      <c r="AA349"/>
      <c r="AB349" t="n">
        <v>0.957</v>
      </c>
      <c r="AC349"/>
      <c r="AD349"/>
      <c r="AE349"/>
      <c r="AF349"/>
      <c r="AG349" t="inlineStr">
        <is>
          <t>AI mg/L</t>
        </is>
      </c>
      <c r="AH349"/>
      <c r="AI349"/>
      <c r="AJ349"/>
      <c r="AK349"/>
      <c r="AL349"/>
      <c r="AM349"/>
      <c r="AN349"/>
      <c r="AO349"/>
      <c r="AP349"/>
      <c r="AQ349"/>
      <c r="AR349"/>
      <c r="AS349"/>
      <c r="AT349"/>
      <c r="AU349"/>
      <c r="AV349"/>
      <c r="AW349"/>
      <c r="AX349" t="inlineStr">
        <is>
          <t>Accumulation</t>
        </is>
      </c>
      <c r="AY349" t="inlineStr">
        <is>
          <t>Residue</t>
        </is>
      </c>
      <c r="AZ349" t="inlineStr">
        <is>
          <t>BCF</t>
        </is>
      </c>
      <c r="BA349" t="inlineStr">
        <is>
          <t>Whole organism</t>
        </is>
      </c>
      <c r="BB349"/>
      <c r="BC349" t="n">
        <v>3.0</v>
      </c>
      <c r="BD349"/>
      <c r="BE349"/>
      <c r="BF349"/>
      <c r="BG349"/>
      <c r="BH349" t="inlineStr">
        <is>
          <t>Day(s)</t>
        </is>
      </c>
      <c r="BI349"/>
      <c r="BJ349" t="n">
        <v>0.044</v>
      </c>
      <c r="BK349"/>
      <c r="BL349"/>
      <c r="BM349"/>
      <c r="BN349"/>
      <c r="BO349" t="inlineStr">
        <is>
          <t>RA</t>
        </is>
      </c>
      <c r="BP349"/>
      <c r="BQ349"/>
      <c r="BR349"/>
      <c r="BS349"/>
      <c r="BT349"/>
      <c r="BU349"/>
      <c r="BV349"/>
      <c r="BW349"/>
      <c r="BX349"/>
      <c r="BY349"/>
      <c r="BZ349"/>
      <c r="CA349"/>
      <c r="CB349"/>
      <c r="CC349"/>
      <c r="CD349" t="inlineStr">
        <is>
          <t>Meng,L., S. Yang, M. Feng, R. Qu, Y. Li, J. Liu, Z. Wang, and C. Sun</t>
        </is>
      </c>
      <c r="CE349" t="n">
        <v>177070.0</v>
      </c>
      <c r="CF349" t="inlineStr">
        <is>
          <t>Toxicity and Bioaccumulation of Copper in Limnodrilus hoffmeisteri Under Different pH Values: Impacts of Perfluorooctane Sulfonate</t>
        </is>
      </c>
      <c r="CG349" t="inlineStr">
        <is>
          <t>J. Hazard. Mater.305:219-228</t>
        </is>
      </c>
      <c r="CH349" t="n">
        <v>2016.0</v>
      </c>
      <c r="CI349"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50">
      <c r="A350" t="n">
        <v>2795393.0</v>
      </c>
      <c r="B350" t="inlineStr">
        <is>
          <t>1,1,2,2,3,3,4,4,5,5,6,6,7,7,8,8,8-Heptadecafluoro-1-octanesulfonic acid potassium salt</t>
        </is>
      </c>
      <c r="C350"/>
      <c r="D350" t="inlineStr">
        <is>
          <t>Measured</t>
        </is>
      </c>
      <c r="E350"/>
      <c r="F350" t="n">
        <v>98.0</v>
      </c>
      <c r="G350"/>
      <c r="H350"/>
      <c r="I350"/>
      <c r="J350"/>
      <c r="K350" t="inlineStr">
        <is>
          <t>Limnodrilus hoffmeisteri</t>
        </is>
      </c>
      <c r="L350" t="inlineStr">
        <is>
          <t>Tubificid Worm, Oligochaete</t>
        </is>
      </c>
      <c r="M350" t="inlineStr">
        <is>
          <t>Worms</t>
        </is>
      </c>
      <c r="N350"/>
      <c r="O350"/>
      <c r="P350"/>
      <c r="Q350"/>
      <c r="R350"/>
      <c r="S350"/>
      <c r="T350"/>
      <c r="U350"/>
      <c r="V350" t="inlineStr">
        <is>
          <t>Renewal</t>
        </is>
      </c>
      <c r="W350" t="inlineStr">
        <is>
          <t>Fresh water</t>
        </is>
      </c>
      <c r="X350" t="inlineStr">
        <is>
          <t>Lab</t>
        </is>
      </c>
      <c r="Y350" t="n">
        <v>2.0</v>
      </c>
      <c r="Z350" t="inlineStr">
        <is>
          <t>Active ingredient</t>
        </is>
      </c>
      <c r="AA350"/>
      <c r="AB350" t="n">
        <v>0.932</v>
      </c>
      <c r="AC350"/>
      <c r="AD350"/>
      <c r="AE350"/>
      <c r="AF350"/>
      <c r="AG350" t="inlineStr">
        <is>
          <t>AI mg/L</t>
        </is>
      </c>
      <c r="AH350"/>
      <c r="AI350"/>
      <c r="AJ350"/>
      <c r="AK350"/>
      <c r="AL350"/>
      <c r="AM350"/>
      <c r="AN350"/>
      <c r="AO350"/>
      <c r="AP350"/>
      <c r="AQ350"/>
      <c r="AR350"/>
      <c r="AS350"/>
      <c r="AT350"/>
      <c r="AU350"/>
      <c r="AV350"/>
      <c r="AW350"/>
      <c r="AX350" t="inlineStr">
        <is>
          <t>Accumulation</t>
        </is>
      </c>
      <c r="AY350" t="inlineStr">
        <is>
          <t>Residue</t>
        </is>
      </c>
      <c r="AZ350" t="inlineStr">
        <is>
          <t>BCF</t>
        </is>
      </c>
      <c r="BA350" t="inlineStr">
        <is>
          <t>Whole organism</t>
        </is>
      </c>
      <c r="BB350"/>
      <c r="BC350" t="n">
        <v>3.0</v>
      </c>
      <c r="BD350"/>
      <c r="BE350"/>
      <c r="BF350"/>
      <c r="BG350"/>
      <c r="BH350" t="inlineStr">
        <is>
          <t>Day(s)</t>
        </is>
      </c>
      <c r="BI350"/>
      <c r="BJ350" t="n">
        <v>0.045</v>
      </c>
      <c r="BK350"/>
      <c r="BL350"/>
      <c r="BM350"/>
      <c r="BN350"/>
      <c r="BO350" t="inlineStr">
        <is>
          <t>RA</t>
        </is>
      </c>
      <c r="BP350"/>
      <c r="BQ350"/>
      <c r="BR350"/>
      <c r="BS350"/>
      <c r="BT350"/>
      <c r="BU350"/>
      <c r="BV350"/>
      <c r="BW350"/>
      <c r="BX350"/>
      <c r="BY350"/>
      <c r="BZ350"/>
      <c r="CA350"/>
      <c r="CB350"/>
      <c r="CC350"/>
      <c r="CD350" t="inlineStr">
        <is>
          <t>Meng,L., S. Yang, M. Feng, R. Qu, Y. Li, J. Liu, Z. Wang, and C. Sun</t>
        </is>
      </c>
      <c r="CE350" t="n">
        <v>177070.0</v>
      </c>
      <c r="CF350" t="inlineStr">
        <is>
          <t>Toxicity and Bioaccumulation of Copper in Limnodrilus hoffmeisteri Under Different pH Values: Impacts of Perfluorooctane Sulfonate</t>
        </is>
      </c>
      <c r="CG350" t="inlineStr">
        <is>
          <t>J. Hazard. Mater.305:219-228</t>
        </is>
      </c>
      <c r="CH350" t="n">
        <v>2016.0</v>
      </c>
      <c r="CI350"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51">
      <c r="A351" t="n">
        <v>2795393.0</v>
      </c>
      <c r="B351" t="inlineStr">
        <is>
          <t>1,1,2,2,3,3,4,4,5,5,6,6,7,7,8,8,8-Heptadecafluoro-1-octanesulfonic acid potassium salt</t>
        </is>
      </c>
      <c r="C351"/>
      <c r="D351" t="inlineStr">
        <is>
          <t>Measured</t>
        </is>
      </c>
      <c r="E351"/>
      <c r="F351" t="n">
        <v>98.0</v>
      </c>
      <c r="G351"/>
      <c r="H351"/>
      <c r="I351"/>
      <c r="J351"/>
      <c r="K351" t="inlineStr">
        <is>
          <t>Limnodrilus hoffmeisteri</t>
        </is>
      </c>
      <c r="L351" t="inlineStr">
        <is>
          <t>Tubificid Worm, Oligochaete</t>
        </is>
      </c>
      <c r="M351" t="inlineStr">
        <is>
          <t>Worms</t>
        </is>
      </c>
      <c r="N351"/>
      <c r="O351"/>
      <c r="P351"/>
      <c r="Q351"/>
      <c r="R351"/>
      <c r="S351"/>
      <c r="T351"/>
      <c r="U351"/>
      <c r="V351" t="inlineStr">
        <is>
          <t>Renewal</t>
        </is>
      </c>
      <c r="W351" t="inlineStr">
        <is>
          <t>Fresh water</t>
        </is>
      </c>
      <c r="X351" t="inlineStr">
        <is>
          <t>Lab</t>
        </is>
      </c>
      <c r="Y351" t="n">
        <v>2.0</v>
      </c>
      <c r="Z351" t="inlineStr">
        <is>
          <t>Active ingredient</t>
        </is>
      </c>
      <c r="AA351"/>
      <c r="AB351" t="n">
        <v>0.914</v>
      </c>
      <c r="AC351"/>
      <c r="AD351"/>
      <c r="AE351"/>
      <c r="AF351"/>
      <c r="AG351" t="inlineStr">
        <is>
          <t>AI mg/L</t>
        </is>
      </c>
      <c r="AH351"/>
      <c r="AI351"/>
      <c r="AJ351"/>
      <c r="AK351"/>
      <c r="AL351"/>
      <c r="AM351"/>
      <c r="AN351"/>
      <c r="AO351"/>
      <c r="AP351"/>
      <c r="AQ351"/>
      <c r="AR351"/>
      <c r="AS351"/>
      <c r="AT351"/>
      <c r="AU351"/>
      <c r="AV351"/>
      <c r="AW351"/>
      <c r="AX351" t="inlineStr">
        <is>
          <t>Accumulation</t>
        </is>
      </c>
      <c r="AY351" t="inlineStr">
        <is>
          <t>Residue</t>
        </is>
      </c>
      <c r="AZ351" t="inlineStr">
        <is>
          <t>BCF</t>
        </is>
      </c>
      <c r="BA351" t="inlineStr">
        <is>
          <t>Whole organism</t>
        </is>
      </c>
      <c r="BB351"/>
      <c r="BC351" t="n">
        <v>3.0</v>
      </c>
      <c r="BD351"/>
      <c r="BE351"/>
      <c r="BF351"/>
      <c r="BG351"/>
      <c r="BH351" t="inlineStr">
        <is>
          <t>Day(s)</t>
        </is>
      </c>
      <c r="BI351"/>
      <c r="BJ351" t="n">
        <v>0.06</v>
      </c>
      <c r="BK351"/>
      <c r="BL351"/>
      <c r="BM351"/>
      <c r="BN351"/>
      <c r="BO351" t="inlineStr">
        <is>
          <t>RA</t>
        </is>
      </c>
      <c r="BP351"/>
      <c r="BQ351"/>
      <c r="BR351"/>
      <c r="BS351"/>
      <c r="BT351"/>
      <c r="BU351"/>
      <c r="BV351"/>
      <c r="BW351"/>
      <c r="BX351"/>
      <c r="BY351"/>
      <c r="BZ351"/>
      <c r="CA351"/>
      <c r="CB351"/>
      <c r="CC351"/>
      <c r="CD351" t="inlineStr">
        <is>
          <t>Meng,L., S. Yang, M. Feng, R. Qu, Y. Li, J. Liu, Z. Wang, and C. Sun</t>
        </is>
      </c>
      <c r="CE351" t="n">
        <v>177070.0</v>
      </c>
      <c r="CF351" t="inlineStr">
        <is>
          <t>Toxicity and Bioaccumulation of Copper in Limnodrilus hoffmeisteri Under Different pH Values: Impacts of Perfluorooctane Sulfonate</t>
        </is>
      </c>
      <c r="CG351" t="inlineStr">
        <is>
          <t>J. Hazard. Mater.305:219-228</t>
        </is>
      </c>
      <c r="CH351" t="n">
        <v>2016.0</v>
      </c>
      <c r="CI351"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52">
      <c r="A352" t="n">
        <v>2795393.0</v>
      </c>
      <c r="B352" t="inlineStr">
        <is>
          <t>1,1,2,2,3,3,4,4,5,5,6,6,7,7,8,8,8-Heptadecafluoro-1-octanesulfonic acid potassium salt</t>
        </is>
      </c>
      <c r="C352"/>
      <c r="D352" t="inlineStr">
        <is>
          <t>Measured</t>
        </is>
      </c>
      <c r="E352"/>
      <c r="F352" t="n">
        <v>98.0</v>
      </c>
      <c r="G352"/>
      <c r="H352"/>
      <c r="I352"/>
      <c r="J352"/>
      <c r="K352" t="inlineStr">
        <is>
          <t>Limnodrilus hoffmeisteri</t>
        </is>
      </c>
      <c r="L352" t="inlineStr">
        <is>
          <t>Tubificid Worm, Oligochaete</t>
        </is>
      </c>
      <c r="M352" t="inlineStr">
        <is>
          <t>Worms</t>
        </is>
      </c>
      <c r="N352"/>
      <c r="O352"/>
      <c r="P352"/>
      <c r="Q352"/>
      <c r="R352"/>
      <c r="S352"/>
      <c r="T352"/>
      <c r="U352"/>
      <c r="V352" t="inlineStr">
        <is>
          <t>Renewal</t>
        </is>
      </c>
      <c r="W352" t="inlineStr">
        <is>
          <t>Fresh water</t>
        </is>
      </c>
      <c r="X352" t="inlineStr">
        <is>
          <t>Lab</t>
        </is>
      </c>
      <c r="Y352" t="n">
        <v>2.0</v>
      </c>
      <c r="Z352" t="inlineStr">
        <is>
          <t>Active ingredient</t>
        </is>
      </c>
      <c r="AA352"/>
      <c r="AB352" t="n">
        <v>0.957</v>
      </c>
      <c r="AC352"/>
      <c r="AD352"/>
      <c r="AE352"/>
      <c r="AF352"/>
      <c r="AG352" t="inlineStr">
        <is>
          <t>AI mg/L</t>
        </is>
      </c>
      <c r="AH352"/>
      <c r="AI352"/>
      <c r="AJ352"/>
      <c r="AK352"/>
      <c r="AL352"/>
      <c r="AM352"/>
      <c r="AN352"/>
      <c r="AO352"/>
      <c r="AP352"/>
      <c r="AQ352"/>
      <c r="AR352"/>
      <c r="AS352"/>
      <c r="AT352"/>
      <c r="AU352"/>
      <c r="AV352"/>
      <c r="AW352"/>
      <c r="AX352" t="inlineStr">
        <is>
          <t>Accumulation</t>
        </is>
      </c>
      <c r="AY352" t="inlineStr">
        <is>
          <t>Residue</t>
        </is>
      </c>
      <c r="AZ352" t="inlineStr">
        <is>
          <t>BCF</t>
        </is>
      </c>
      <c r="BA352" t="inlineStr">
        <is>
          <t>Whole organism</t>
        </is>
      </c>
      <c r="BB352"/>
      <c r="BC352" t="n">
        <v>7.0</v>
      </c>
      <c r="BD352"/>
      <c r="BE352"/>
      <c r="BF352"/>
      <c r="BG352"/>
      <c r="BH352" t="inlineStr">
        <is>
          <t>Day(s)</t>
        </is>
      </c>
      <c r="BI352"/>
      <c r="BJ352" t="n">
        <v>0.096</v>
      </c>
      <c r="BK352"/>
      <c r="BL352"/>
      <c r="BM352"/>
      <c r="BN352"/>
      <c r="BO352" t="inlineStr">
        <is>
          <t>RA</t>
        </is>
      </c>
      <c r="BP352"/>
      <c r="BQ352"/>
      <c r="BR352"/>
      <c r="BS352"/>
      <c r="BT352"/>
      <c r="BU352"/>
      <c r="BV352"/>
      <c r="BW352"/>
      <c r="BX352"/>
      <c r="BY352"/>
      <c r="BZ352"/>
      <c r="CA352"/>
      <c r="CB352"/>
      <c r="CC352"/>
      <c r="CD352" t="inlineStr">
        <is>
          <t>Meng,L., S. Yang, M. Feng, R. Qu, Y. Li, J. Liu, Z. Wang, and C. Sun</t>
        </is>
      </c>
      <c r="CE352" t="n">
        <v>177070.0</v>
      </c>
      <c r="CF352" t="inlineStr">
        <is>
          <t>Toxicity and Bioaccumulation of Copper in Limnodrilus hoffmeisteri Under Different pH Values: Impacts of Perfluorooctane Sulfonate</t>
        </is>
      </c>
      <c r="CG352" t="inlineStr">
        <is>
          <t>J. Hazard. Mater.305:219-228</t>
        </is>
      </c>
      <c r="CH352" t="n">
        <v>2016.0</v>
      </c>
      <c r="CI352"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53">
      <c r="A353" t="n">
        <v>2795393.0</v>
      </c>
      <c r="B353" t="inlineStr">
        <is>
          <t>1,1,2,2,3,3,4,4,5,5,6,6,7,7,8,8,8-Heptadecafluoro-1-octanesulfonic acid potassium salt</t>
        </is>
      </c>
      <c r="C353"/>
      <c r="D353" t="inlineStr">
        <is>
          <t>Measured</t>
        </is>
      </c>
      <c r="E353"/>
      <c r="F353" t="n">
        <v>98.0</v>
      </c>
      <c r="G353"/>
      <c r="H353"/>
      <c r="I353"/>
      <c r="J353"/>
      <c r="K353" t="inlineStr">
        <is>
          <t>Limnodrilus hoffmeisteri</t>
        </is>
      </c>
      <c r="L353" t="inlineStr">
        <is>
          <t>Tubificid Worm, Oligochaete</t>
        </is>
      </c>
      <c r="M353" t="inlineStr">
        <is>
          <t>Worms</t>
        </is>
      </c>
      <c r="N353"/>
      <c r="O353"/>
      <c r="P353"/>
      <c r="Q353"/>
      <c r="R353"/>
      <c r="S353"/>
      <c r="T353"/>
      <c r="U353"/>
      <c r="V353" t="inlineStr">
        <is>
          <t>Renewal</t>
        </is>
      </c>
      <c r="W353" t="inlineStr">
        <is>
          <t>Fresh water</t>
        </is>
      </c>
      <c r="X353" t="inlineStr">
        <is>
          <t>Lab</t>
        </is>
      </c>
      <c r="Y353" t="n">
        <v>2.0</v>
      </c>
      <c r="Z353" t="inlineStr">
        <is>
          <t>Active ingredient</t>
        </is>
      </c>
      <c r="AA353"/>
      <c r="AB353" t="n">
        <v>0.914</v>
      </c>
      <c r="AC353"/>
      <c r="AD353"/>
      <c r="AE353"/>
      <c r="AF353"/>
      <c r="AG353" t="inlineStr">
        <is>
          <t>AI mg/L</t>
        </is>
      </c>
      <c r="AH353"/>
      <c r="AI353"/>
      <c r="AJ353"/>
      <c r="AK353"/>
      <c r="AL353"/>
      <c r="AM353"/>
      <c r="AN353"/>
      <c r="AO353"/>
      <c r="AP353"/>
      <c r="AQ353"/>
      <c r="AR353"/>
      <c r="AS353"/>
      <c r="AT353"/>
      <c r="AU353"/>
      <c r="AV353"/>
      <c r="AW353"/>
      <c r="AX353" t="inlineStr">
        <is>
          <t>Accumulation</t>
        </is>
      </c>
      <c r="AY353" t="inlineStr">
        <is>
          <t>Residue</t>
        </is>
      </c>
      <c r="AZ353" t="inlineStr">
        <is>
          <t>BCF</t>
        </is>
      </c>
      <c r="BA353" t="inlineStr">
        <is>
          <t>Whole organism</t>
        </is>
      </c>
      <c r="BB353"/>
      <c r="BC353" t="n">
        <v>7.0</v>
      </c>
      <c r="BD353"/>
      <c r="BE353"/>
      <c r="BF353"/>
      <c r="BG353"/>
      <c r="BH353" t="inlineStr">
        <is>
          <t>Day(s)</t>
        </is>
      </c>
      <c r="BI353"/>
      <c r="BJ353" t="n">
        <v>0.114</v>
      </c>
      <c r="BK353"/>
      <c r="BL353"/>
      <c r="BM353"/>
      <c r="BN353"/>
      <c r="BO353" t="inlineStr">
        <is>
          <t>RA</t>
        </is>
      </c>
      <c r="BP353"/>
      <c r="BQ353"/>
      <c r="BR353"/>
      <c r="BS353"/>
      <c r="BT353"/>
      <c r="BU353"/>
      <c r="BV353"/>
      <c r="BW353"/>
      <c r="BX353"/>
      <c r="BY353"/>
      <c r="BZ353"/>
      <c r="CA353"/>
      <c r="CB353"/>
      <c r="CC353"/>
      <c r="CD353" t="inlineStr">
        <is>
          <t>Meng,L., S. Yang, M. Feng, R. Qu, Y. Li, J. Liu, Z. Wang, and C. Sun</t>
        </is>
      </c>
      <c r="CE353" t="n">
        <v>177070.0</v>
      </c>
      <c r="CF353" t="inlineStr">
        <is>
          <t>Toxicity and Bioaccumulation of Copper in Limnodrilus hoffmeisteri Under Different pH Values: Impacts of Perfluorooctane Sulfonate</t>
        </is>
      </c>
      <c r="CG353" t="inlineStr">
        <is>
          <t>J. Hazard. Mater.305:219-228</t>
        </is>
      </c>
      <c r="CH353" t="n">
        <v>2016.0</v>
      </c>
      <c r="CI353"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54">
      <c r="A354" t="n">
        <v>2795393.0</v>
      </c>
      <c r="B354" t="inlineStr">
        <is>
          <t>1,1,2,2,3,3,4,4,5,5,6,6,7,7,8,8,8-Heptadecafluoro-1-octanesulfonic acid potassium salt</t>
        </is>
      </c>
      <c r="C354"/>
      <c r="D354" t="inlineStr">
        <is>
          <t>Measured</t>
        </is>
      </c>
      <c r="E354"/>
      <c r="F354" t="n">
        <v>98.0</v>
      </c>
      <c r="G354"/>
      <c r="H354"/>
      <c r="I354"/>
      <c r="J354"/>
      <c r="K354" t="inlineStr">
        <is>
          <t>Limnodrilus hoffmeisteri</t>
        </is>
      </c>
      <c r="L354" t="inlineStr">
        <is>
          <t>Tubificid Worm, Oligochaete</t>
        </is>
      </c>
      <c r="M354" t="inlineStr">
        <is>
          <t>Worms</t>
        </is>
      </c>
      <c r="N354"/>
      <c r="O354"/>
      <c r="P354"/>
      <c r="Q354"/>
      <c r="R354"/>
      <c r="S354"/>
      <c r="T354"/>
      <c r="U354"/>
      <c r="V354" t="inlineStr">
        <is>
          <t>Renewal</t>
        </is>
      </c>
      <c r="W354" t="inlineStr">
        <is>
          <t>Fresh water</t>
        </is>
      </c>
      <c r="X354" t="inlineStr">
        <is>
          <t>Lab</t>
        </is>
      </c>
      <c r="Y354" t="n">
        <v>2.0</v>
      </c>
      <c r="Z354" t="inlineStr">
        <is>
          <t>Active ingredient</t>
        </is>
      </c>
      <c r="AA354"/>
      <c r="AB354" t="n">
        <v>0.932</v>
      </c>
      <c r="AC354"/>
      <c r="AD354"/>
      <c r="AE354"/>
      <c r="AF354"/>
      <c r="AG354" t="inlineStr">
        <is>
          <t>AI mg/L</t>
        </is>
      </c>
      <c r="AH354"/>
      <c r="AI354"/>
      <c r="AJ354"/>
      <c r="AK354"/>
      <c r="AL354"/>
      <c r="AM354"/>
      <c r="AN354"/>
      <c r="AO354"/>
      <c r="AP354"/>
      <c r="AQ354"/>
      <c r="AR354"/>
      <c r="AS354"/>
      <c r="AT354"/>
      <c r="AU354"/>
      <c r="AV354"/>
      <c r="AW354"/>
      <c r="AX354" t="inlineStr">
        <is>
          <t>Accumulation</t>
        </is>
      </c>
      <c r="AY354" t="inlineStr">
        <is>
          <t>Residue</t>
        </is>
      </c>
      <c r="AZ354" t="inlineStr">
        <is>
          <t>BCF</t>
        </is>
      </c>
      <c r="BA354" t="inlineStr">
        <is>
          <t>Whole organism</t>
        </is>
      </c>
      <c r="BB354"/>
      <c r="BC354" t="n">
        <v>7.0</v>
      </c>
      <c r="BD354"/>
      <c r="BE354"/>
      <c r="BF354"/>
      <c r="BG354"/>
      <c r="BH354" t="inlineStr">
        <is>
          <t>Day(s)</t>
        </is>
      </c>
      <c r="BI354"/>
      <c r="BJ354" t="n">
        <v>0.128</v>
      </c>
      <c r="BK354"/>
      <c r="BL354"/>
      <c r="BM354"/>
      <c r="BN354"/>
      <c r="BO354" t="inlineStr">
        <is>
          <t>RA</t>
        </is>
      </c>
      <c r="BP354"/>
      <c r="BQ354"/>
      <c r="BR354"/>
      <c r="BS354"/>
      <c r="BT354"/>
      <c r="BU354"/>
      <c r="BV354"/>
      <c r="BW354"/>
      <c r="BX354"/>
      <c r="BY354"/>
      <c r="BZ354"/>
      <c r="CA354"/>
      <c r="CB354"/>
      <c r="CC354"/>
      <c r="CD354" t="inlineStr">
        <is>
          <t>Meng,L., S. Yang, M. Feng, R. Qu, Y. Li, J. Liu, Z. Wang, and C. Sun</t>
        </is>
      </c>
      <c r="CE354" t="n">
        <v>177070.0</v>
      </c>
      <c r="CF354" t="inlineStr">
        <is>
          <t>Toxicity and Bioaccumulation of Copper in Limnodrilus hoffmeisteri Under Different pH Values: Impacts of Perfluorooctane Sulfonate</t>
        </is>
      </c>
      <c r="CG354" t="inlineStr">
        <is>
          <t>J. Hazard. Mater.305:219-228</t>
        </is>
      </c>
      <c r="CH354" t="n">
        <v>2016.0</v>
      </c>
      <c r="CI354"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55">
      <c r="A355" t="n">
        <v>2795393.0</v>
      </c>
      <c r="B355" t="inlineStr">
        <is>
          <t>1,1,2,2,3,3,4,4,5,5,6,6,7,7,8,8,8-Heptadecafluoro-1-octanesulfonic acid potassium salt</t>
        </is>
      </c>
      <c r="C355"/>
      <c r="D355" t="inlineStr">
        <is>
          <t>Measured</t>
        </is>
      </c>
      <c r="E355"/>
      <c r="F355"/>
      <c r="G355"/>
      <c r="H355"/>
      <c r="I355"/>
      <c r="J355"/>
      <c r="K355" t="inlineStr">
        <is>
          <t>Perinereis wilsoni</t>
        </is>
      </c>
      <c r="L355" t="inlineStr">
        <is>
          <t>Polychaete Worm</t>
        </is>
      </c>
      <c r="M355" t="inlineStr">
        <is>
          <t>Worms</t>
        </is>
      </c>
      <c r="N355"/>
      <c r="O355"/>
      <c r="P355"/>
      <c r="Q355"/>
      <c r="R355"/>
      <c r="S355"/>
      <c r="T355"/>
      <c r="U355"/>
      <c r="V355" t="inlineStr">
        <is>
          <t>Renewal</t>
        </is>
      </c>
      <c r="W355" t="inlineStr">
        <is>
          <t>Salt water</t>
        </is>
      </c>
      <c r="X355" t="inlineStr">
        <is>
          <t>Lab</t>
        </is>
      </c>
      <c r="Y355" t="n">
        <v>2.0</v>
      </c>
      <c r="Z355" t="inlineStr">
        <is>
          <t>Active ingredient</t>
        </is>
      </c>
      <c r="AA355"/>
      <c r="AB355" t="n">
        <v>2.8E-5</v>
      </c>
      <c r="AC355"/>
      <c r="AD355"/>
      <c r="AE355"/>
      <c r="AF355"/>
      <c r="AG355" t="inlineStr">
        <is>
          <t>AI mg/L</t>
        </is>
      </c>
      <c r="AH355"/>
      <c r="AI355"/>
      <c r="AJ355"/>
      <c r="AK355"/>
      <c r="AL355"/>
      <c r="AM355"/>
      <c r="AN355"/>
      <c r="AO355"/>
      <c r="AP355"/>
      <c r="AQ355"/>
      <c r="AR355"/>
      <c r="AS355"/>
      <c r="AT355"/>
      <c r="AU355"/>
      <c r="AV355"/>
      <c r="AW355"/>
      <c r="AX355" t="inlineStr">
        <is>
          <t>Accumulation</t>
        </is>
      </c>
      <c r="AY355" t="inlineStr">
        <is>
          <t>Residue</t>
        </is>
      </c>
      <c r="AZ355" t="inlineStr">
        <is>
          <t>BCF</t>
        </is>
      </c>
      <c r="BA355" t="inlineStr">
        <is>
          <t>Whole organism</t>
        </is>
      </c>
      <c r="BB355"/>
      <c r="BC355" t="n">
        <v>7.0</v>
      </c>
      <c r="BD355"/>
      <c r="BE355"/>
      <c r="BF355"/>
      <c r="BG355"/>
      <c r="BH355" t="inlineStr">
        <is>
          <t>Day(s)</t>
        </is>
      </c>
      <c r="BI355"/>
      <c r="BJ355" t="n">
        <v>470.0</v>
      </c>
      <c r="BK355"/>
      <c r="BL355"/>
      <c r="BM355"/>
      <c r="BN355"/>
      <c r="BO355" t="inlineStr">
        <is>
          <t>RA</t>
        </is>
      </c>
      <c r="BP355"/>
      <c r="BQ355"/>
      <c r="BR355"/>
      <c r="BS355"/>
      <c r="BT355"/>
      <c r="BU355"/>
      <c r="BV355"/>
      <c r="BW355"/>
      <c r="BX355"/>
      <c r="BY355"/>
      <c r="BZ355"/>
      <c r="CA355"/>
      <c r="CB355"/>
      <c r="CC355"/>
      <c r="CD355" t="inlineStr">
        <is>
          <t>Sakurai,T., J. Kobayashi, N. Ito, S. Serizawa, H. Shiraishi, T. Yabe, Y. Ishii, and N. Suzuki</t>
        </is>
      </c>
      <c r="CE355" t="n">
        <v>177135.0</v>
      </c>
      <c r="CF355" t="inlineStr">
        <is>
          <t>Respiratory Uptake and Depuration Kinetics of Perfluorooctanesulfonate (PFOS) in a Marine Sandworm Species</t>
        </is>
      </c>
      <c r="CG355" t="inlineStr">
        <is>
          <t>Bull. Environ. Contam. Toxicol.99(2): 203-207</t>
        </is>
      </c>
      <c r="CH355" t="n">
        <v>2017.0</v>
      </c>
      <c r="CI355" t="inlineStr">
        <is>
          <t>Sakurai,T., J. Kobayashi, N. Ito, S. Serizawa, H. Shiraishi, T. Yabe, Y. Ishii, and N. Suzuki (2017). Respiratory Uptake and Depuration Kinetics of Perfluorooctanesulfonate (PFOS) in a Marine Sandworm Species. Bull. Environ. Contam. Toxicol., 99, (2), 203-207. doi:10.1007/s00128-017-2124-4. ECOREF#:177135</t>
        </is>
      </c>
    </row>
    <row r="356">
      <c r="A356" t="n">
        <v>2795393.0</v>
      </c>
      <c r="B356" t="inlineStr">
        <is>
          <t>1,1,2,2,3,3,4,4,5,5,6,6,7,7,8,8,8-Heptadecafluoro-1-octanesulfonic acid potassium salt</t>
        </is>
      </c>
      <c r="C356"/>
      <c r="D356" t="inlineStr">
        <is>
          <t>Measured</t>
        </is>
      </c>
      <c r="E356"/>
      <c r="F356" t="n">
        <v>98.0</v>
      </c>
      <c r="G356"/>
      <c r="H356"/>
      <c r="I356"/>
      <c r="J356"/>
      <c r="K356" t="inlineStr">
        <is>
          <t>Limnodrilus hoffmeisteri</t>
        </is>
      </c>
      <c r="L356" t="inlineStr">
        <is>
          <t>Tubificid Worm, Oligochaete</t>
        </is>
      </c>
      <c r="M356" t="inlineStr">
        <is>
          <t>Worms</t>
        </is>
      </c>
      <c r="N356"/>
      <c r="O356"/>
      <c r="P356"/>
      <c r="Q356"/>
      <c r="R356"/>
      <c r="S356"/>
      <c r="T356"/>
      <c r="U356"/>
      <c r="V356" t="inlineStr">
        <is>
          <t>Renewal</t>
        </is>
      </c>
      <c r="W356" t="inlineStr">
        <is>
          <t>Fresh water</t>
        </is>
      </c>
      <c r="X356" t="inlineStr">
        <is>
          <t>Lab</t>
        </is>
      </c>
      <c r="Y356" t="n">
        <v>2.0</v>
      </c>
      <c r="Z356" t="inlineStr">
        <is>
          <t>Active ingredient</t>
        </is>
      </c>
      <c r="AA356"/>
      <c r="AB356" t="n">
        <v>0.957</v>
      </c>
      <c r="AC356"/>
      <c r="AD356"/>
      <c r="AE356"/>
      <c r="AF356"/>
      <c r="AG356" t="inlineStr">
        <is>
          <t>AI mg/L</t>
        </is>
      </c>
      <c r="AH356"/>
      <c r="AI356"/>
      <c r="AJ356"/>
      <c r="AK356"/>
      <c r="AL356"/>
      <c r="AM356"/>
      <c r="AN356"/>
      <c r="AO356"/>
      <c r="AP356"/>
      <c r="AQ356"/>
      <c r="AR356"/>
      <c r="AS356"/>
      <c r="AT356"/>
      <c r="AU356"/>
      <c r="AV356"/>
      <c r="AW356"/>
      <c r="AX356" t="inlineStr">
        <is>
          <t>Accumulation</t>
        </is>
      </c>
      <c r="AY356" t="inlineStr">
        <is>
          <t>Residue</t>
        </is>
      </c>
      <c r="AZ356" t="inlineStr">
        <is>
          <t>LOEC</t>
        </is>
      </c>
      <c r="BA356" t="inlineStr">
        <is>
          <t>Whole organism</t>
        </is>
      </c>
      <c r="BB356"/>
      <c r="BC356" t="n">
        <v>7.0</v>
      </c>
      <c r="BD356"/>
      <c r="BE356"/>
      <c r="BF356"/>
      <c r="BG356"/>
      <c r="BH356" t="inlineStr">
        <is>
          <t>Day(s)</t>
        </is>
      </c>
      <c r="BI356"/>
      <c r="BJ356"/>
      <c r="BK356"/>
      <c r="BL356"/>
      <c r="BM356"/>
      <c r="BN356"/>
      <c r="BO356" t="inlineStr">
        <is>
          <t>--</t>
        </is>
      </c>
      <c r="BP356"/>
      <c r="BQ356"/>
      <c r="BR356"/>
      <c r="BS356"/>
      <c r="BT356"/>
      <c r="BU356"/>
      <c r="BV356"/>
      <c r="BW356"/>
      <c r="BX356"/>
      <c r="BY356"/>
      <c r="BZ356"/>
      <c r="CA356"/>
      <c r="CB356"/>
      <c r="CC356"/>
      <c r="CD356" t="inlineStr">
        <is>
          <t>Meng,L., S. Yang, M. Feng, R. Qu, Y. Li, J. Liu, Z. Wang, and C. Sun</t>
        </is>
      </c>
      <c r="CE356" t="n">
        <v>177070.0</v>
      </c>
      <c r="CF356" t="inlineStr">
        <is>
          <t>Toxicity and Bioaccumulation of Copper in Limnodrilus hoffmeisteri Under Different pH Values: Impacts of Perfluorooctane Sulfonate</t>
        </is>
      </c>
      <c r="CG356" t="inlineStr">
        <is>
          <t>J. Hazard. Mater.305:219-228</t>
        </is>
      </c>
      <c r="CH356" t="n">
        <v>2016.0</v>
      </c>
      <c r="CI356"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57">
      <c r="A357" t="n">
        <v>2795393.0</v>
      </c>
      <c r="B357" t="inlineStr">
        <is>
          <t>1,1,2,2,3,3,4,4,5,5,6,6,7,7,8,8,8-Heptadecafluoro-1-octanesulfonic acid potassium salt</t>
        </is>
      </c>
      <c r="C357"/>
      <c r="D357" t="inlineStr">
        <is>
          <t>Measured</t>
        </is>
      </c>
      <c r="E357"/>
      <c r="F357" t="n">
        <v>98.0</v>
      </c>
      <c r="G357"/>
      <c r="H357"/>
      <c r="I357"/>
      <c r="J357"/>
      <c r="K357" t="inlineStr">
        <is>
          <t>Limnodrilus hoffmeisteri</t>
        </is>
      </c>
      <c r="L357" t="inlineStr">
        <is>
          <t>Tubificid Worm, Oligochaete</t>
        </is>
      </c>
      <c r="M357" t="inlineStr">
        <is>
          <t>Worms</t>
        </is>
      </c>
      <c r="N357"/>
      <c r="O357"/>
      <c r="P357"/>
      <c r="Q357"/>
      <c r="R357"/>
      <c r="S357"/>
      <c r="T357"/>
      <c r="U357"/>
      <c r="V357" t="inlineStr">
        <is>
          <t>Renewal</t>
        </is>
      </c>
      <c r="W357" t="inlineStr">
        <is>
          <t>Fresh water</t>
        </is>
      </c>
      <c r="X357" t="inlineStr">
        <is>
          <t>Lab</t>
        </is>
      </c>
      <c r="Y357" t="n">
        <v>2.0</v>
      </c>
      <c r="Z357" t="inlineStr">
        <is>
          <t>Active ingredient</t>
        </is>
      </c>
      <c r="AA357"/>
      <c r="AB357" t="n">
        <v>0.957</v>
      </c>
      <c r="AC357"/>
      <c r="AD357"/>
      <c r="AE357"/>
      <c r="AF357"/>
      <c r="AG357" t="inlineStr">
        <is>
          <t>AI mg/L</t>
        </is>
      </c>
      <c r="AH357"/>
      <c r="AI357"/>
      <c r="AJ357"/>
      <c r="AK357"/>
      <c r="AL357"/>
      <c r="AM357"/>
      <c r="AN357"/>
      <c r="AO357"/>
      <c r="AP357"/>
      <c r="AQ357"/>
      <c r="AR357"/>
      <c r="AS357"/>
      <c r="AT357"/>
      <c r="AU357"/>
      <c r="AV357"/>
      <c r="AW357"/>
      <c r="AX357" t="inlineStr">
        <is>
          <t>Accumulation</t>
        </is>
      </c>
      <c r="AY357" t="inlineStr">
        <is>
          <t>Residue</t>
        </is>
      </c>
      <c r="AZ357" t="inlineStr">
        <is>
          <t>LOEC</t>
        </is>
      </c>
      <c r="BA357" t="inlineStr">
        <is>
          <t>Whole organism</t>
        </is>
      </c>
      <c r="BB357"/>
      <c r="BC357" t="n">
        <v>3.0</v>
      </c>
      <c r="BD357"/>
      <c r="BE357"/>
      <c r="BF357"/>
      <c r="BG357"/>
      <c r="BH357" t="inlineStr">
        <is>
          <t>Day(s)</t>
        </is>
      </c>
      <c r="BI357"/>
      <c r="BJ357"/>
      <c r="BK357"/>
      <c r="BL357"/>
      <c r="BM357"/>
      <c r="BN357"/>
      <c r="BO357" t="inlineStr">
        <is>
          <t>--</t>
        </is>
      </c>
      <c r="BP357"/>
      <c r="BQ357"/>
      <c r="BR357"/>
      <c r="BS357"/>
      <c r="BT357"/>
      <c r="BU357"/>
      <c r="BV357"/>
      <c r="BW357"/>
      <c r="BX357"/>
      <c r="BY357"/>
      <c r="BZ357"/>
      <c r="CA357"/>
      <c r="CB357"/>
      <c r="CC357"/>
      <c r="CD357" t="inlineStr">
        <is>
          <t>Meng,L., S. Yang, M. Feng, R. Qu, Y. Li, J. Liu, Z. Wang, and C. Sun</t>
        </is>
      </c>
      <c r="CE357" t="n">
        <v>177070.0</v>
      </c>
      <c r="CF357" t="inlineStr">
        <is>
          <t>Toxicity and Bioaccumulation of Copper in Limnodrilus hoffmeisteri Under Different pH Values: Impacts of Perfluorooctane Sulfonate</t>
        </is>
      </c>
      <c r="CG357" t="inlineStr">
        <is>
          <t>J. Hazard. Mater.305:219-228</t>
        </is>
      </c>
      <c r="CH357" t="n">
        <v>2016.0</v>
      </c>
      <c r="CI357"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58">
      <c r="A358" t="n">
        <v>2795393.0</v>
      </c>
      <c r="B358" t="inlineStr">
        <is>
          <t>1,1,2,2,3,3,4,4,5,5,6,6,7,7,8,8,8-Heptadecafluoro-1-octanesulfonic acid potassium salt</t>
        </is>
      </c>
      <c r="C358"/>
      <c r="D358" t="inlineStr">
        <is>
          <t>Unmeasured</t>
        </is>
      </c>
      <c r="E358"/>
      <c r="F358" t="n">
        <v>98.0</v>
      </c>
      <c r="G358"/>
      <c r="H358"/>
      <c r="I358"/>
      <c r="J358"/>
      <c r="K358" t="inlineStr">
        <is>
          <t>Limnodrilus hoffmeisteri</t>
        </is>
      </c>
      <c r="L358" t="inlineStr">
        <is>
          <t>Tubificid Worm, Oligochaete</t>
        </is>
      </c>
      <c r="M358" t="inlineStr">
        <is>
          <t>Worms</t>
        </is>
      </c>
      <c r="N358"/>
      <c r="O358"/>
      <c r="P358"/>
      <c r="Q358"/>
      <c r="R358"/>
      <c r="S358"/>
      <c r="T358"/>
      <c r="U358"/>
      <c r="V358" t="inlineStr">
        <is>
          <t>Renewal</t>
        </is>
      </c>
      <c r="W358" t="inlineStr">
        <is>
          <t>Fresh water</t>
        </is>
      </c>
      <c r="X358" t="inlineStr">
        <is>
          <t>Lab</t>
        </is>
      </c>
      <c r="Y358" t="n">
        <v>3.0</v>
      </c>
      <c r="Z358" t="inlineStr">
        <is>
          <t>Active ingredient</t>
        </is>
      </c>
      <c r="AA358"/>
      <c r="AB358" t="n">
        <v>2.0</v>
      </c>
      <c r="AC358"/>
      <c r="AD358"/>
      <c r="AE358"/>
      <c r="AF358"/>
      <c r="AG358" t="inlineStr">
        <is>
          <t>AI mg/L</t>
        </is>
      </c>
      <c r="AH358"/>
      <c r="AI358"/>
      <c r="AJ358"/>
      <c r="AK358"/>
      <c r="AL358"/>
      <c r="AM358"/>
      <c r="AN358"/>
      <c r="AO358"/>
      <c r="AP358"/>
      <c r="AQ358"/>
      <c r="AR358"/>
      <c r="AS358"/>
      <c r="AT358"/>
      <c r="AU358"/>
      <c r="AV358"/>
      <c r="AW358"/>
      <c r="AX358" t="inlineStr">
        <is>
          <t>Accumulation</t>
        </is>
      </c>
      <c r="AY358" t="inlineStr">
        <is>
          <t>Residue</t>
        </is>
      </c>
      <c r="AZ358" t="inlineStr">
        <is>
          <t>LOEC</t>
        </is>
      </c>
      <c r="BA358"/>
      <c r="BB358"/>
      <c r="BC358" t="n">
        <v>2.0</v>
      </c>
      <c r="BD358"/>
      <c r="BE358"/>
      <c r="BF358"/>
      <c r="BG358"/>
      <c r="BH358" t="inlineStr">
        <is>
          <t>Day(s)</t>
        </is>
      </c>
      <c r="BI358"/>
      <c r="BJ358"/>
      <c r="BK358"/>
      <c r="BL358"/>
      <c r="BM358"/>
      <c r="BN358"/>
      <c r="BO358" t="inlineStr">
        <is>
          <t>--</t>
        </is>
      </c>
      <c r="BP358"/>
      <c r="BQ358"/>
      <c r="BR358"/>
      <c r="BS358"/>
      <c r="BT358"/>
      <c r="BU358"/>
      <c r="BV358"/>
      <c r="BW358"/>
      <c r="BX358"/>
      <c r="BY358"/>
      <c r="BZ358"/>
      <c r="CA358"/>
      <c r="CB358"/>
      <c r="CC358"/>
      <c r="CD358" t="inlineStr">
        <is>
          <t>Qu,R., J. Liu, L. Wang, and Z. Wang</t>
        </is>
      </c>
      <c r="CE358" t="n">
        <v>175703.0</v>
      </c>
      <c r="CF358" t="inlineStr">
        <is>
          <t>The Toxic Effect and Bioaccumulation in Aquatic Oligochaete Limnodrilus hoffmeisteri After Combined Exposure to Cadmium and Perfluorooctane Sulfonate at Different pH Values</t>
        </is>
      </c>
      <c r="CG358" t="inlineStr">
        <is>
          <t>Chemosphere152:496-502</t>
        </is>
      </c>
      <c r="CH358" t="n">
        <v>2016.0</v>
      </c>
      <c r="CI358" t="inlineStr">
        <is>
          <t>Qu,R., J. Liu, L. Wang, and Z. Wang (2016). The Toxic Effect and Bioaccumulation in Aquatic Oligochaete Limnodrilus hoffmeisteri After Combined Exposure to Cadmium and Perfluorooctane Sulfonate at Different pH Values. Chemosphere, 152, 496-502. doi:10.1016/j.chemosphere.2016.03.024. ECOREF#:175703</t>
        </is>
      </c>
    </row>
    <row r="359">
      <c r="A359" t="n">
        <v>2795393.0</v>
      </c>
      <c r="B359" t="inlineStr">
        <is>
          <t>1,1,2,2,3,3,4,4,5,5,6,6,7,7,8,8,8-Heptadecafluoro-1-octanesulfonic acid potassium salt</t>
        </is>
      </c>
      <c r="C359"/>
      <c r="D359" t="inlineStr">
        <is>
          <t>Measured</t>
        </is>
      </c>
      <c r="E359"/>
      <c r="F359" t="n">
        <v>98.0</v>
      </c>
      <c r="G359"/>
      <c r="H359"/>
      <c r="I359"/>
      <c r="J359"/>
      <c r="K359" t="inlineStr">
        <is>
          <t>Limnodrilus hoffmeisteri</t>
        </is>
      </c>
      <c r="L359" t="inlineStr">
        <is>
          <t>Tubificid Worm, Oligochaete</t>
        </is>
      </c>
      <c r="M359" t="inlineStr">
        <is>
          <t>Worms</t>
        </is>
      </c>
      <c r="N359"/>
      <c r="O359"/>
      <c r="P359"/>
      <c r="Q359"/>
      <c r="R359"/>
      <c r="S359"/>
      <c r="T359"/>
      <c r="U359"/>
      <c r="V359" t="inlineStr">
        <is>
          <t>Renewal</t>
        </is>
      </c>
      <c r="W359" t="inlineStr">
        <is>
          <t>Fresh water</t>
        </is>
      </c>
      <c r="X359" t="inlineStr">
        <is>
          <t>Lab</t>
        </is>
      </c>
      <c r="Y359" t="n">
        <v>2.0</v>
      </c>
      <c r="Z359" t="inlineStr">
        <is>
          <t>Active ingredient</t>
        </is>
      </c>
      <c r="AA359"/>
      <c r="AB359" t="n">
        <v>0.932</v>
      </c>
      <c r="AC359"/>
      <c r="AD359"/>
      <c r="AE359"/>
      <c r="AF359"/>
      <c r="AG359" t="inlineStr">
        <is>
          <t>AI mg/L</t>
        </is>
      </c>
      <c r="AH359"/>
      <c r="AI359"/>
      <c r="AJ359"/>
      <c r="AK359"/>
      <c r="AL359"/>
      <c r="AM359"/>
      <c r="AN359"/>
      <c r="AO359"/>
      <c r="AP359"/>
      <c r="AQ359"/>
      <c r="AR359"/>
      <c r="AS359"/>
      <c r="AT359"/>
      <c r="AU359"/>
      <c r="AV359"/>
      <c r="AW359"/>
      <c r="AX359" t="inlineStr">
        <is>
          <t>Accumulation</t>
        </is>
      </c>
      <c r="AY359" t="inlineStr">
        <is>
          <t>Residue</t>
        </is>
      </c>
      <c r="AZ359" t="inlineStr">
        <is>
          <t>LOEC</t>
        </is>
      </c>
      <c r="BA359" t="inlineStr">
        <is>
          <t>Whole organism</t>
        </is>
      </c>
      <c r="BB359"/>
      <c r="BC359" t="n">
        <v>7.0</v>
      </c>
      <c r="BD359"/>
      <c r="BE359"/>
      <c r="BF359"/>
      <c r="BG359"/>
      <c r="BH359" t="inlineStr">
        <is>
          <t>Day(s)</t>
        </is>
      </c>
      <c r="BI359"/>
      <c r="BJ359"/>
      <c r="BK359"/>
      <c r="BL359"/>
      <c r="BM359"/>
      <c r="BN359"/>
      <c r="BO359" t="inlineStr">
        <is>
          <t>--</t>
        </is>
      </c>
      <c r="BP359"/>
      <c r="BQ359"/>
      <c r="BR359"/>
      <c r="BS359"/>
      <c r="BT359"/>
      <c r="BU359"/>
      <c r="BV359"/>
      <c r="BW359"/>
      <c r="BX359"/>
      <c r="BY359"/>
      <c r="BZ359"/>
      <c r="CA359"/>
      <c r="CB359"/>
      <c r="CC359"/>
      <c r="CD359" t="inlineStr">
        <is>
          <t>Meng,L., S. Yang, M. Feng, R. Qu, Y. Li, J. Liu, Z. Wang, and C. Sun</t>
        </is>
      </c>
      <c r="CE359" t="n">
        <v>177070.0</v>
      </c>
      <c r="CF359" t="inlineStr">
        <is>
          <t>Toxicity and Bioaccumulation of Copper in Limnodrilus hoffmeisteri Under Different pH Values: Impacts of Perfluorooctane Sulfonate</t>
        </is>
      </c>
      <c r="CG359" t="inlineStr">
        <is>
          <t>J. Hazard. Mater.305:219-228</t>
        </is>
      </c>
      <c r="CH359" t="n">
        <v>2016.0</v>
      </c>
      <c r="CI359"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60">
      <c r="A360" t="n">
        <v>2795393.0</v>
      </c>
      <c r="B360" t="inlineStr">
        <is>
          <t>1,1,2,2,3,3,4,4,5,5,6,6,7,7,8,8,8-Heptadecafluoro-1-octanesulfonic acid potassium salt</t>
        </is>
      </c>
      <c r="C360"/>
      <c r="D360" t="inlineStr">
        <is>
          <t>Measured</t>
        </is>
      </c>
      <c r="E360"/>
      <c r="F360" t="n">
        <v>98.0</v>
      </c>
      <c r="G360"/>
      <c r="H360"/>
      <c r="I360"/>
      <c r="J360"/>
      <c r="K360" t="inlineStr">
        <is>
          <t>Limnodrilus hoffmeisteri</t>
        </is>
      </c>
      <c r="L360" t="inlineStr">
        <is>
          <t>Tubificid Worm, Oligochaete</t>
        </is>
      </c>
      <c r="M360" t="inlineStr">
        <is>
          <t>Worms</t>
        </is>
      </c>
      <c r="N360"/>
      <c r="O360"/>
      <c r="P360"/>
      <c r="Q360"/>
      <c r="R360"/>
      <c r="S360"/>
      <c r="T360"/>
      <c r="U360"/>
      <c r="V360" t="inlineStr">
        <is>
          <t>Renewal</t>
        </is>
      </c>
      <c r="W360" t="inlineStr">
        <is>
          <t>Fresh water</t>
        </is>
      </c>
      <c r="X360" t="inlineStr">
        <is>
          <t>Lab</t>
        </is>
      </c>
      <c r="Y360" t="n">
        <v>2.0</v>
      </c>
      <c r="Z360" t="inlineStr">
        <is>
          <t>Active ingredient</t>
        </is>
      </c>
      <c r="AA360"/>
      <c r="AB360" t="n">
        <v>0.914</v>
      </c>
      <c r="AC360"/>
      <c r="AD360"/>
      <c r="AE360"/>
      <c r="AF360"/>
      <c r="AG360" t="inlineStr">
        <is>
          <t>AI mg/L</t>
        </is>
      </c>
      <c r="AH360"/>
      <c r="AI360"/>
      <c r="AJ360"/>
      <c r="AK360"/>
      <c r="AL360"/>
      <c r="AM360"/>
      <c r="AN360"/>
      <c r="AO360"/>
      <c r="AP360"/>
      <c r="AQ360"/>
      <c r="AR360"/>
      <c r="AS360"/>
      <c r="AT360"/>
      <c r="AU360"/>
      <c r="AV360"/>
      <c r="AW360"/>
      <c r="AX360" t="inlineStr">
        <is>
          <t>Accumulation</t>
        </is>
      </c>
      <c r="AY360" t="inlineStr">
        <is>
          <t>Residue</t>
        </is>
      </c>
      <c r="AZ360" t="inlineStr">
        <is>
          <t>LOEC</t>
        </is>
      </c>
      <c r="BA360" t="inlineStr">
        <is>
          <t>Whole organism</t>
        </is>
      </c>
      <c r="BB360"/>
      <c r="BC360" t="n">
        <v>7.0</v>
      </c>
      <c r="BD360"/>
      <c r="BE360"/>
      <c r="BF360"/>
      <c r="BG360"/>
      <c r="BH360" t="inlineStr">
        <is>
          <t>Day(s)</t>
        </is>
      </c>
      <c r="BI360"/>
      <c r="BJ360"/>
      <c r="BK360"/>
      <c r="BL360"/>
      <c r="BM360"/>
      <c r="BN360"/>
      <c r="BO360" t="inlineStr">
        <is>
          <t>--</t>
        </is>
      </c>
      <c r="BP360"/>
      <c r="BQ360"/>
      <c r="BR360"/>
      <c r="BS360"/>
      <c r="BT360"/>
      <c r="BU360"/>
      <c r="BV360"/>
      <c r="BW360"/>
      <c r="BX360"/>
      <c r="BY360"/>
      <c r="BZ360"/>
      <c r="CA360"/>
      <c r="CB360"/>
      <c r="CC360"/>
      <c r="CD360" t="inlineStr">
        <is>
          <t>Meng,L., S. Yang, M. Feng, R. Qu, Y. Li, J. Liu, Z. Wang, and C. Sun</t>
        </is>
      </c>
      <c r="CE360" t="n">
        <v>177070.0</v>
      </c>
      <c r="CF360" t="inlineStr">
        <is>
          <t>Toxicity and Bioaccumulation of Copper in Limnodrilus hoffmeisteri Under Different pH Values: Impacts of Perfluorooctane Sulfonate</t>
        </is>
      </c>
      <c r="CG360" t="inlineStr">
        <is>
          <t>J. Hazard. Mater.305:219-228</t>
        </is>
      </c>
      <c r="CH360" t="n">
        <v>2016.0</v>
      </c>
      <c r="CI360"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61">
      <c r="A361" t="n">
        <v>2795393.0</v>
      </c>
      <c r="B361" t="inlineStr">
        <is>
          <t>1,1,2,2,3,3,4,4,5,5,6,6,7,7,8,8,8-Heptadecafluoro-1-octanesulfonic acid potassium salt</t>
        </is>
      </c>
      <c r="C361"/>
      <c r="D361" t="inlineStr">
        <is>
          <t>Measured</t>
        </is>
      </c>
      <c r="E361"/>
      <c r="F361" t="n">
        <v>98.0</v>
      </c>
      <c r="G361"/>
      <c r="H361"/>
      <c r="I361"/>
      <c r="J361"/>
      <c r="K361" t="inlineStr">
        <is>
          <t>Limnodrilus hoffmeisteri</t>
        </is>
      </c>
      <c r="L361" t="inlineStr">
        <is>
          <t>Tubificid Worm, Oligochaete</t>
        </is>
      </c>
      <c r="M361" t="inlineStr">
        <is>
          <t>Worms</t>
        </is>
      </c>
      <c r="N361"/>
      <c r="O361"/>
      <c r="P361"/>
      <c r="Q361"/>
      <c r="R361"/>
      <c r="S361"/>
      <c r="T361"/>
      <c r="U361"/>
      <c r="V361" t="inlineStr">
        <is>
          <t>Renewal</t>
        </is>
      </c>
      <c r="W361" t="inlineStr">
        <is>
          <t>Fresh water</t>
        </is>
      </c>
      <c r="X361" t="inlineStr">
        <is>
          <t>Lab</t>
        </is>
      </c>
      <c r="Y361" t="n">
        <v>2.0</v>
      </c>
      <c r="Z361" t="inlineStr">
        <is>
          <t>Active ingredient</t>
        </is>
      </c>
      <c r="AA361"/>
      <c r="AB361" t="n">
        <v>0.914</v>
      </c>
      <c r="AC361"/>
      <c r="AD361"/>
      <c r="AE361"/>
      <c r="AF361"/>
      <c r="AG361" t="inlineStr">
        <is>
          <t>AI mg/L</t>
        </is>
      </c>
      <c r="AH361"/>
      <c r="AI361"/>
      <c r="AJ361"/>
      <c r="AK361"/>
      <c r="AL361"/>
      <c r="AM361"/>
      <c r="AN361"/>
      <c r="AO361"/>
      <c r="AP361"/>
      <c r="AQ361"/>
      <c r="AR361"/>
      <c r="AS361"/>
      <c r="AT361"/>
      <c r="AU361"/>
      <c r="AV361"/>
      <c r="AW361"/>
      <c r="AX361" t="inlineStr">
        <is>
          <t>Accumulation</t>
        </is>
      </c>
      <c r="AY361" t="inlineStr">
        <is>
          <t>Residue</t>
        </is>
      </c>
      <c r="AZ361" t="inlineStr">
        <is>
          <t>LOEC</t>
        </is>
      </c>
      <c r="BA361" t="inlineStr">
        <is>
          <t>Whole organism</t>
        </is>
      </c>
      <c r="BB361"/>
      <c r="BC361" t="n">
        <v>3.0</v>
      </c>
      <c r="BD361"/>
      <c r="BE361"/>
      <c r="BF361"/>
      <c r="BG361"/>
      <c r="BH361" t="inlineStr">
        <is>
          <t>Day(s)</t>
        </is>
      </c>
      <c r="BI361"/>
      <c r="BJ361"/>
      <c r="BK361"/>
      <c r="BL361"/>
      <c r="BM361"/>
      <c r="BN361"/>
      <c r="BO361" t="inlineStr">
        <is>
          <t>--</t>
        </is>
      </c>
      <c r="BP361"/>
      <c r="BQ361"/>
      <c r="BR361"/>
      <c r="BS361"/>
      <c r="BT361"/>
      <c r="BU361"/>
      <c r="BV361"/>
      <c r="BW361"/>
      <c r="BX361"/>
      <c r="BY361"/>
      <c r="BZ361"/>
      <c r="CA361"/>
      <c r="CB361"/>
      <c r="CC361"/>
      <c r="CD361" t="inlineStr">
        <is>
          <t>Meng,L., S. Yang, M. Feng, R. Qu, Y. Li, J. Liu, Z. Wang, and C. Sun</t>
        </is>
      </c>
      <c r="CE361" t="n">
        <v>177070.0</v>
      </c>
      <c r="CF361" t="inlineStr">
        <is>
          <t>Toxicity and Bioaccumulation of Copper in Limnodrilus hoffmeisteri Under Different pH Values: Impacts of Perfluorooctane Sulfonate</t>
        </is>
      </c>
      <c r="CG361" t="inlineStr">
        <is>
          <t>J. Hazard. Mater.305:219-228</t>
        </is>
      </c>
      <c r="CH361" t="n">
        <v>2016.0</v>
      </c>
      <c r="CI361"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62">
      <c r="A362" t="n">
        <v>2795393.0</v>
      </c>
      <c r="B362" t="inlineStr">
        <is>
          <t>1,1,2,2,3,3,4,4,5,5,6,6,7,7,8,8,8-Heptadecafluoro-1-octanesulfonic acid potassium salt</t>
        </is>
      </c>
      <c r="C362"/>
      <c r="D362" t="inlineStr">
        <is>
          <t>Measured</t>
        </is>
      </c>
      <c r="E362"/>
      <c r="F362" t="n">
        <v>98.0</v>
      </c>
      <c r="G362"/>
      <c r="H362"/>
      <c r="I362"/>
      <c r="J362"/>
      <c r="K362" t="inlineStr">
        <is>
          <t>Limnodrilus hoffmeisteri</t>
        </is>
      </c>
      <c r="L362" t="inlineStr">
        <is>
          <t>Tubificid Worm, Oligochaete</t>
        </is>
      </c>
      <c r="M362" t="inlineStr">
        <is>
          <t>Worms</t>
        </is>
      </c>
      <c r="N362"/>
      <c r="O362"/>
      <c r="P362"/>
      <c r="Q362"/>
      <c r="R362"/>
      <c r="S362"/>
      <c r="T362"/>
      <c r="U362"/>
      <c r="V362" t="inlineStr">
        <is>
          <t>Renewal</t>
        </is>
      </c>
      <c r="W362" t="inlineStr">
        <is>
          <t>Fresh water</t>
        </is>
      </c>
      <c r="X362" t="inlineStr">
        <is>
          <t>Lab</t>
        </is>
      </c>
      <c r="Y362" t="n">
        <v>2.0</v>
      </c>
      <c r="Z362" t="inlineStr">
        <is>
          <t>Active ingredient</t>
        </is>
      </c>
      <c r="AA362"/>
      <c r="AB362" t="n">
        <v>0.932</v>
      </c>
      <c r="AC362"/>
      <c r="AD362"/>
      <c r="AE362"/>
      <c r="AF362"/>
      <c r="AG362" t="inlineStr">
        <is>
          <t>AI mg/L</t>
        </is>
      </c>
      <c r="AH362"/>
      <c r="AI362"/>
      <c r="AJ362"/>
      <c r="AK362"/>
      <c r="AL362"/>
      <c r="AM362"/>
      <c r="AN362"/>
      <c r="AO362"/>
      <c r="AP362"/>
      <c r="AQ362"/>
      <c r="AR362"/>
      <c r="AS362"/>
      <c r="AT362"/>
      <c r="AU362"/>
      <c r="AV362"/>
      <c r="AW362"/>
      <c r="AX362" t="inlineStr">
        <is>
          <t>Accumulation</t>
        </is>
      </c>
      <c r="AY362" t="inlineStr">
        <is>
          <t>Residue</t>
        </is>
      </c>
      <c r="AZ362" t="inlineStr">
        <is>
          <t>LOEC</t>
        </is>
      </c>
      <c r="BA362" t="inlineStr">
        <is>
          <t>Whole organism</t>
        </is>
      </c>
      <c r="BB362"/>
      <c r="BC362" t="n">
        <v>3.0</v>
      </c>
      <c r="BD362"/>
      <c r="BE362"/>
      <c r="BF362"/>
      <c r="BG362"/>
      <c r="BH362" t="inlineStr">
        <is>
          <t>Day(s)</t>
        </is>
      </c>
      <c r="BI362"/>
      <c r="BJ362"/>
      <c r="BK362"/>
      <c r="BL362"/>
      <c r="BM362"/>
      <c r="BN362"/>
      <c r="BO362" t="inlineStr">
        <is>
          <t>--</t>
        </is>
      </c>
      <c r="BP362"/>
      <c r="BQ362"/>
      <c r="BR362"/>
      <c r="BS362"/>
      <c r="BT362"/>
      <c r="BU362"/>
      <c r="BV362"/>
      <c r="BW362"/>
      <c r="BX362"/>
      <c r="BY362"/>
      <c r="BZ362"/>
      <c r="CA362"/>
      <c r="CB362"/>
      <c r="CC362"/>
      <c r="CD362" t="inlineStr">
        <is>
          <t>Meng,L., S. Yang, M. Feng, R. Qu, Y. Li, J. Liu, Z. Wang, and C. Sun</t>
        </is>
      </c>
      <c r="CE362" t="n">
        <v>177070.0</v>
      </c>
      <c r="CF362" t="inlineStr">
        <is>
          <t>Toxicity and Bioaccumulation of Copper in Limnodrilus hoffmeisteri Under Different pH Values: Impacts of Perfluorooctane Sulfonate</t>
        </is>
      </c>
      <c r="CG362" t="inlineStr">
        <is>
          <t>J. Hazard. Mater.305:219-228</t>
        </is>
      </c>
      <c r="CH362" t="n">
        <v>2016.0</v>
      </c>
      <c r="CI362" t="inlineStr">
        <is>
          <t>Meng,L., S. Yang, M. Feng, R. Qu, Y. Li, J. Liu, Z. Wang, and C. Sun (2016). Toxicity and Bioaccumulation of Copper in Limnodrilus hoffmeisteri Under Different pH Values: Impacts of Perfluorooctane Sulfonate. J. Hazard. Mater., 305, 219-228. doi:10.1016/j.jhazmat.2015.11.048. ECOREF#:177070</t>
        </is>
      </c>
    </row>
    <row r="363">
      <c r="A363" t="n">
        <v>2795393.0</v>
      </c>
      <c r="B363" t="inlineStr">
        <is>
          <t>1,1,2,2,3,3,4,4,5,5,6,6,7,7,8,8,8-Heptadecafluoro-1-octanesulfonic acid potassium salt</t>
        </is>
      </c>
      <c r="C363"/>
      <c r="D363" t="inlineStr">
        <is>
          <t>Unmeasured</t>
        </is>
      </c>
      <c r="E363"/>
      <c r="F363" t="n">
        <v>98.0</v>
      </c>
      <c r="G363"/>
      <c r="H363"/>
      <c r="I363"/>
      <c r="J363"/>
      <c r="K363" t="inlineStr">
        <is>
          <t>Limnodrilus hoffmeisteri</t>
        </is>
      </c>
      <c r="L363" t="inlineStr">
        <is>
          <t>Tubificid Worm, Oligochaete</t>
        </is>
      </c>
      <c r="M363" t="inlineStr">
        <is>
          <t>Worms</t>
        </is>
      </c>
      <c r="N363"/>
      <c r="O363"/>
      <c r="P363"/>
      <c r="Q363"/>
      <c r="R363"/>
      <c r="S363"/>
      <c r="T363"/>
      <c r="U363"/>
      <c r="V363" t="inlineStr">
        <is>
          <t>Renewal</t>
        </is>
      </c>
      <c r="W363" t="inlineStr">
        <is>
          <t>Fresh water</t>
        </is>
      </c>
      <c r="X363" t="inlineStr">
        <is>
          <t>Lab</t>
        </is>
      </c>
      <c r="Y363" t="n">
        <v>3.0</v>
      </c>
      <c r="Z363" t="inlineStr">
        <is>
          <t>Active ingredient</t>
        </is>
      </c>
      <c r="AA363"/>
      <c r="AB363" t="n">
        <v>2.0</v>
      </c>
      <c r="AC363"/>
      <c r="AD363"/>
      <c r="AE363"/>
      <c r="AF363"/>
      <c r="AG363" t="inlineStr">
        <is>
          <t>AI mg/L</t>
        </is>
      </c>
      <c r="AH363"/>
      <c r="AI363"/>
      <c r="AJ363"/>
      <c r="AK363"/>
      <c r="AL363"/>
      <c r="AM363"/>
      <c r="AN363"/>
      <c r="AO363"/>
      <c r="AP363"/>
      <c r="AQ363"/>
      <c r="AR363"/>
      <c r="AS363"/>
      <c r="AT363"/>
      <c r="AU363"/>
      <c r="AV363"/>
      <c r="AW363"/>
      <c r="AX363" t="inlineStr">
        <is>
          <t>Accumulation</t>
        </is>
      </c>
      <c r="AY363" t="inlineStr">
        <is>
          <t>Residue</t>
        </is>
      </c>
      <c r="AZ363" t="inlineStr">
        <is>
          <t>LOEC</t>
        </is>
      </c>
      <c r="BA363"/>
      <c r="BB363"/>
      <c r="BC363" t="n">
        <v>2.0</v>
      </c>
      <c r="BD363"/>
      <c r="BE363"/>
      <c r="BF363"/>
      <c r="BG363"/>
      <c r="BH363" t="inlineStr">
        <is>
          <t>Day(s)</t>
        </is>
      </c>
      <c r="BI363"/>
      <c r="BJ363"/>
      <c r="BK363"/>
      <c r="BL363"/>
      <c r="BM363"/>
      <c r="BN363"/>
      <c r="BO363" t="inlineStr">
        <is>
          <t>--</t>
        </is>
      </c>
      <c r="BP363"/>
      <c r="BQ363"/>
      <c r="BR363"/>
      <c r="BS363"/>
      <c r="BT363"/>
      <c r="BU363"/>
      <c r="BV363"/>
      <c r="BW363"/>
      <c r="BX363"/>
      <c r="BY363"/>
      <c r="BZ363"/>
      <c r="CA363"/>
      <c r="CB363"/>
      <c r="CC363"/>
      <c r="CD363" t="inlineStr">
        <is>
          <t>Qu,R., J. Liu, L. Wang, and Z. Wang</t>
        </is>
      </c>
      <c r="CE363" t="n">
        <v>175703.0</v>
      </c>
      <c r="CF363" t="inlineStr">
        <is>
          <t>The Toxic Effect and Bioaccumulation in Aquatic Oligochaete Limnodrilus hoffmeisteri After Combined Exposure to Cadmium and Perfluorooctane Sulfonate at Different pH Values</t>
        </is>
      </c>
      <c r="CG363" t="inlineStr">
        <is>
          <t>Chemosphere152:496-502</t>
        </is>
      </c>
      <c r="CH363" t="n">
        <v>2016.0</v>
      </c>
      <c r="CI363" t="inlineStr">
        <is>
          <t>Qu,R., J. Liu, L. Wang, and Z. Wang (2016). The Toxic Effect and Bioaccumulation in Aquatic Oligochaete Limnodrilus hoffmeisteri After Combined Exposure to Cadmium and Perfluorooctane Sulfonate at Different pH Values. Chemosphere, 152, 496-502. doi:10.1016/j.chemosphere.2016.03.024. ECOREF#:175703</t>
        </is>
      </c>
    </row>
    <row r="364">
      <c r="A364" t="n">
        <v>2795393.0</v>
      </c>
      <c r="B364" t="inlineStr">
        <is>
          <t>1,1,2,2,3,3,4,4,5,5,6,6,7,7,8,8,8-Heptadecafluoro-1-octanesulfonic acid potassium salt</t>
        </is>
      </c>
      <c r="C364"/>
      <c r="D364" t="inlineStr">
        <is>
          <t>Unmeasured</t>
        </is>
      </c>
      <c r="E364"/>
      <c r="F364" t="n">
        <v>98.0</v>
      </c>
      <c r="G364"/>
      <c r="H364"/>
      <c r="I364"/>
      <c r="J364"/>
      <c r="K364" t="inlineStr">
        <is>
          <t>Limnodrilus hoffmeisteri</t>
        </is>
      </c>
      <c r="L364" t="inlineStr">
        <is>
          <t>Tubificid Worm, Oligochaete</t>
        </is>
      </c>
      <c r="M364" t="inlineStr">
        <is>
          <t>Worms</t>
        </is>
      </c>
      <c r="N364"/>
      <c r="O364"/>
      <c r="P364"/>
      <c r="Q364"/>
      <c r="R364"/>
      <c r="S364"/>
      <c r="T364"/>
      <c r="U364"/>
      <c r="V364" t="inlineStr">
        <is>
          <t>Renewal</t>
        </is>
      </c>
      <c r="W364" t="inlineStr">
        <is>
          <t>Fresh water</t>
        </is>
      </c>
      <c r="X364" t="inlineStr">
        <is>
          <t>Lab</t>
        </is>
      </c>
      <c r="Y364" t="n">
        <v>3.0</v>
      </c>
      <c r="Z364" t="inlineStr">
        <is>
          <t>Active ingredient</t>
        </is>
      </c>
      <c r="AA364"/>
      <c r="AB364" t="n">
        <v>0.2</v>
      </c>
      <c r="AC364"/>
      <c r="AD364"/>
      <c r="AE364"/>
      <c r="AF364"/>
      <c r="AG364" t="inlineStr">
        <is>
          <t>AI mg/L</t>
        </is>
      </c>
      <c r="AH364"/>
      <c r="AI364"/>
      <c r="AJ364"/>
      <c r="AK364"/>
      <c r="AL364"/>
      <c r="AM364"/>
      <c r="AN364"/>
      <c r="AO364"/>
      <c r="AP364"/>
      <c r="AQ364"/>
      <c r="AR364"/>
      <c r="AS364"/>
      <c r="AT364"/>
      <c r="AU364"/>
      <c r="AV364"/>
      <c r="AW364"/>
      <c r="AX364" t="inlineStr">
        <is>
          <t>Accumulation</t>
        </is>
      </c>
      <c r="AY364" t="inlineStr">
        <is>
          <t>Residue</t>
        </is>
      </c>
      <c r="AZ364" t="inlineStr">
        <is>
          <t>NOEC</t>
        </is>
      </c>
      <c r="BA364"/>
      <c r="BB364"/>
      <c r="BC364" t="n">
        <v>2.0</v>
      </c>
      <c r="BD364"/>
      <c r="BE364"/>
      <c r="BF364"/>
      <c r="BG364"/>
      <c r="BH364" t="inlineStr">
        <is>
          <t>Day(s)</t>
        </is>
      </c>
      <c r="BI364"/>
      <c r="BJ364"/>
      <c r="BK364"/>
      <c r="BL364"/>
      <c r="BM364"/>
      <c r="BN364"/>
      <c r="BO364" t="inlineStr">
        <is>
          <t>--</t>
        </is>
      </c>
      <c r="BP364"/>
      <c r="BQ364"/>
      <c r="BR364"/>
      <c r="BS364"/>
      <c r="BT364"/>
      <c r="BU364"/>
      <c r="BV364"/>
      <c r="BW364"/>
      <c r="BX364"/>
      <c r="BY364"/>
      <c r="BZ364"/>
      <c r="CA364"/>
      <c r="CB364"/>
      <c r="CC364"/>
      <c r="CD364" t="inlineStr">
        <is>
          <t>Qu,R., J. Liu, L. Wang, and Z. Wang</t>
        </is>
      </c>
      <c r="CE364" t="n">
        <v>175703.0</v>
      </c>
      <c r="CF364" t="inlineStr">
        <is>
          <t>The Toxic Effect and Bioaccumulation in Aquatic Oligochaete Limnodrilus hoffmeisteri After Combined Exposure to Cadmium and Perfluorooctane Sulfonate at Different pH Values</t>
        </is>
      </c>
      <c r="CG364" t="inlineStr">
        <is>
          <t>Chemosphere152:496-502</t>
        </is>
      </c>
      <c r="CH364" t="n">
        <v>2016.0</v>
      </c>
      <c r="CI364" t="inlineStr">
        <is>
          <t>Qu,R., J. Liu, L. Wang, and Z. Wang (2016). The Toxic Effect and Bioaccumulation in Aquatic Oligochaete Limnodrilus hoffmeisteri After Combined Exposure to Cadmium and Perfluorooctane Sulfonate at Different pH Values. Chemosphere, 152, 496-502. doi:10.1016/j.chemosphere.2016.03.024. ECOREF#:175703</t>
        </is>
      </c>
    </row>
    <row r="365">
      <c r="A365" t="n">
        <v>2795393.0</v>
      </c>
      <c r="B365" t="inlineStr">
        <is>
          <t>1,1,2,2,3,3,4,4,5,5,6,6,7,7,8,8,8-Heptadecafluoro-1-octanesulfonic acid potassium salt</t>
        </is>
      </c>
      <c r="C365"/>
      <c r="D365" t="inlineStr">
        <is>
          <t>Unmeasured</t>
        </is>
      </c>
      <c r="E365"/>
      <c r="F365" t="n">
        <v>98.0</v>
      </c>
      <c r="G365"/>
      <c r="H365"/>
      <c r="I365"/>
      <c r="J365"/>
      <c r="K365" t="inlineStr">
        <is>
          <t>Limnodrilus hoffmeisteri</t>
        </is>
      </c>
      <c r="L365" t="inlineStr">
        <is>
          <t>Tubificid Worm, Oligochaete</t>
        </is>
      </c>
      <c r="M365" t="inlineStr">
        <is>
          <t>Worms</t>
        </is>
      </c>
      <c r="N365"/>
      <c r="O365"/>
      <c r="P365"/>
      <c r="Q365"/>
      <c r="R365"/>
      <c r="S365"/>
      <c r="T365"/>
      <c r="U365"/>
      <c r="V365" t="inlineStr">
        <is>
          <t>Renewal</t>
        </is>
      </c>
      <c r="W365" t="inlineStr">
        <is>
          <t>Fresh water</t>
        </is>
      </c>
      <c r="X365" t="inlineStr">
        <is>
          <t>Lab</t>
        </is>
      </c>
      <c r="Y365" t="n">
        <v>3.0</v>
      </c>
      <c r="Z365" t="inlineStr">
        <is>
          <t>Active ingredient</t>
        </is>
      </c>
      <c r="AA365"/>
      <c r="AB365" t="n">
        <v>0.2</v>
      </c>
      <c r="AC365"/>
      <c r="AD365"/>
      <c r="AE365"/>
      <c r="AF365"/>
      <c r="AG365" t="inlineStr">
        <is>
          <t>AI mg/L</t>
        </is>
      </c>
      <c r="AH365"/>
      <c r="AI365"/>
      <c r="AJ365"/>
      <c r="AK365"/>
      <c r="AL365"/>
      <c r="AM365"/>
      <c r="AN365"/>
      <c r="AO365"/>
      <c r="AP365"/>
      <c r="AQ365"/>
      <c r="AR365"/>
      <c r="AS365"/>
      <c r="AT365"/>
      <c r="AU365"/>
      <c r="AV365"/>
      <c r="AW365"/>
      <c r="AX365" t="inlineStr">
        <is>
          <t>Accumulation</t>
        </is>
      </c>
      <c r="AY365" t="inlineStr">
        <is>
          <t>Residue</t>
        </is>
      </c>
      <c r="AZ365" t="inlineStr">
        <is>
          <t>NOEC</t>
        </is>
      </c>
      <c r="BA365"/>
      <c r="BB365"/>
      <c r="BC365" t="n">
        <v>2.0</v>
      </c>
      <c r="BD365"/>
      <c r="BE365"/>
      <c r="BF365"/>
      <c r="BG365"/>
      <c r="BH365" t="inlineStr">
        <is>
          <t>Day(s)</t>
        </is>
      </c>
      <c r="BI365"/>
      <c r="BJ365"/>
      <c r="BK365"/>
      <c r="BL365"/>
      <c r="BM365"/>
      <c r="BN365"/>
      <c r="BO365" t="inlineStr">
        <is>
          <t>--</t>
        </is>
      </c>
      <c r="BP365"/>
      <c r="BQ365"/>
      <c r="BR365"/>
      <c r="BS365"/>
      <c r="BT365"/>
      <c r="BU365"/>
      <c r="BV365"/>
      <c r="BW365"/>
      <c r="BX365"/>
      <c r="BY365"/>
      <c r="BZ365"/>
      <c r="CA365"/>
      <c r="CB365"/>
      <c r="CC365"/>
      <c r="CD365" t="inlineStr">
        <is>
          <t>Qu,R., J. Liu, L. Wang, and Z. Wang</t>
        </is>
      </c>
      <c r="CE365" t="n">
        <v>175703.0</v>
      </c>
      <c r="CF365" t="inlineStr">
        <is>
          <t>The Toxic Effect and Bioaccumulation in Aquatic Oligochaete Limnodrilus hoffmeisteri After Combined Exposure to Cadmium and Perfluorooctane Sulfonate at Different pH Values</t>
        </is>
      </c>
      <c r="CG365" t="inlineStr">
        <is>
          <t>Chemosphere152:496-502</t>
        </is>
      </c>
      <c r="CH365" t="n">
        <v>2016.0</v>
      </c>
      <c r="CI365" t="inlineStr">
        <is>
          <t>Qu,R., J. Liu, L. Wang, and Z. Wang (2016). The Toxic Effect and Bioaccumulation in Aquatic Oligochaete Limnodrilus hoffmeisteri After Combined Exposure to Cadmium and Perfluorooctane Sulfonate at Different pH Values. Chemosphere, 152, 496-502. doi:10.1016/j.chemosphere.2016.03.024. ECOREF#:175703</t>
        </is>
      </c>
    </row>
    <row r="366">
      <c r="A366" t="n">
        <v>4021470.0</v>
      </c>
      <c r="B366" t="inlineStr">
        <is>
          <t>1,1,2,2,3,3,4,4,5,5,6,6,7,7,8,8,8-Heptadecafluoro-1-octanesulfonic acid sodium salt (1:1)</t>
        </is>
      </c>
      <c r="C366"/>
      <c r="D366" t="inlineStr">
        <is>
          <t>Measured</t>
        </is>
      </c>
      <c r="E366" t="inlineStr">
        <is>
          <t>&gt;</t>
        </is>
      </c>
      <c r="F366" t="n">
        <v>98.0</v>
      </c>
      <c r="G366"/>
      <c r="H366"/>
      <c r="I366"/>
      <c r="J366"/>
      <c r="K366" t="inlineStr">
        <is>
          <t>Danio rerio</t>
        </is>
      </c>
      <c r="L366" t="inlineStr">
        <is>
          <t>Zebra Danio</t>
        </is>
      </c>
      <c r="M366" t="inlineStr">
        <is>
          <t>Fish; Standard Test Species</t>
        </is>
      </c>
      <c r="N366" t="inlineStr">
        <is>
          <t>Embryo</t>
        </is>
      </c>
      <c r="O366"/>
      <c r="P366" t="n">
        <v>3.0</v>
      </c>
      <c r="Q366"/>
      <c r="R366"/>
      <c r="S366"/>
      <c r="T366"/>
      <c r="U366" t="inlineStr">
        <is>
          <t>Hours post fertilization</t>
        </is>
      </c>
      <c r="V366" t="inlineStr">
        <is>
          <t>Static</t>
        </is>
      </c>
      <c r="W366" t="inlineStr">
        <is>
          <t>Culture</t>
        </is>
      </c>
      <c r="X366" t="inlineStr">
        <is>
          <t>Lab</t>
        </is>
      </c>
      <c r="Y366" t="n">
        <v>4.0</v>
      </c>
      <c r="Z366" t="inlineStr">
        <is>
          <t>Active ingredient</t>
        </is>
      </c>
      <c r="AA366"/>
      <c r="AB366"/>
      <c r="AC366"/>
      <c r="AD366" t="n">
        <v>0.0027181148928</v>
      </c>
      <c r="AE366"/>
      <c r="AF366" t="n">
        <v>0.0027327621632</v>
      </c>
      <c r="AG366" t="inlineStr">
        <is>
          <t>AI mg/L</t>
        </is>
      </c>
      <c r="AH366"/>
      <c r="AI366"/>
      <c r="AJ366"/>
      <c r="AK366"/>
      <c r="AL366"/>
      <c r="AM366"/>
      <c r="AN366"/>
      <c r="AO366"/>
      <c r="AP366"/>
      <c r="AQ366"/>
      <c r="AR366"/>
      <c r="AS366"/>
      <c r="AT366"/>
      <c r="AU366"/>
      <c r="AV366"/>
      <c r="AW366"/>
      <c r="AX366" t="inlineStr">
        <is>
          <t>Accumulation</t>
        </is>
      </c>
      <c r="AY366" t="inlineStr">
        <is>
          <t>Residue</t>
        </is>
      </c>
      <c r="AZ366" t="inlineStr">
        <is>
          <t>BCF</t>
        </is>
      </c>
      <c r="BA366" t="inlineStr">
        <is>
          <t>Whole organism</t>
        </is>
      </c>
      <c r="BB366"/>
      <c r="BC366" t="n">
        <v>2.875</v>
      </c>
      <c r="BD366"/>
      <c r="BE366"/>
      <c r="BF366"/>
      <c r="BG366"/>
      <c r="BH366" t="inlineStr">
        <is>
          <t>Day(s)</t>
        </is>
      </c>
      <c r="BI366"/>
      <c r="BJ366" t="n">
        <v>61.0</v>
      </c>
      <c r="BK366"/>
      <c r="BL366"/>
      <c r="BM366"/>
      <c r="BN366"/>
      <c r="BO366" t="inlineStr">
        <is>
          <t>RA</t>
        </is>
      </c>
      <c r="BP366"/>
      <c r="BQ366"/>
      <c r="BR366"/>
      <c r="BS366"/>
      <c r="BT366"/>
      <c r="BU366"/>
      <c r="BV366"/>
      <c r="BW366"/>
      <c r="BX366"/>
      <c r="BY366"/>
      <c r="BZ366"/>
      <c r="CA366"/>
      <c r="CB366"/>
      <c r="CC366"/>
      <c r="CD366" t="inlineStr">
        <is>
          <t>Lindqvist,D., and E. Wincent</t>
        </is>
      </c>
      <c r="CE366" t="n">
        <v>191181.0</v>
      </c>
      <c r="CF366" t="inlineStr">
        <is>
          <t>Kinetics and Toxicity of an Environmentally Relevant Mixture of Halogenated Organic Compounds in Zebrafish Embryo</t>
        </is>
      </c>
      <c r="CG366" t="inlineStr">
        <is>
          <t>Aquat. Toxicol.252:9 p.</t>
        </is>
      </c>
      <c r="CH366" t="n">
        <v>2022.0</v>
      </c>
      <c r="CI366" t="inlineStr">
        <is>
          <t>Lindqvist,D., and E. Wincent (2022). Kinetics and Toxicity of an Environmentally Relevant Mixture of Halogenated Organic Compounds in Zebrafish Embryo. Aquat. Toxicol., 252, 9 p. doi:10.1016/j.aquatox.2022.106311. ECOREF#:191181</t>
        </is>
      </c>
    </row>
    <row r="367">
      <c r="A367" t="n">
        <v>4021470.0</v>
      </c>
      <c r="B367" t="inlineStr">
        <is>
          <t>1,1,2,2,3,3,4,4,5,5,6,6,7,7,8,8,8-Heptadecafluoro-1-octanesulfonic acid sodium salt (1:1)</t>
        </is>
      </c>
      <c r="C367"/>
      <c r="D367" t="inlineStr">
        <is>
          <t>Measured</t>
        </is>
      </c>
      <c r="E367" t="inlineStr">
        <is>
          <t>&gt;</t>
        </is>
      </c>
      <c r="F367" t="n">
        <v>98.0</v>
      </c>
      <c r="G367"/>
      <c r="H367"/>
      <c r="I367"/>
      <c r="J367"/>
      <c r="K367" t="inlineStr">
        <is>
          <t>Danio rerio</t>
        </is>
      </c>
      <c r="L367" t="inlineStr">
        <is>
          <t>Zebra Danio</t>
        </is>
      </c>
      <c r="M367" t="inlineStr">
        <is>
          <t>Fish; Standard Test Species</t>
        </is>
      </c>
      <c r="N367" t="inlineStr">
        <is>
          <t>Embryo</t>
        </is>
      </c>
      <c r="O367"/>
      <c r="P367" t="n">
        <v>3.0</v>
      </c>
      <c r="Q367"/>
      <c r="R367"/>
      <c r="S367"/>
      <c r="T367"/>
      <c r="U367" t="inlineStr">
        <is>
          <t>Hours post fertilization</t>
        </is>
      </c>
      <c r="V367" t="inlineStr">
        <is>
          <t>Static</t>
        </is>
      </c>
      <c r="W367" t="inlineStr">
        <is>
          <t>Culture</t>
        </is>
      </c>
      <c r="X367" t="inlineStr">
        <is>
          <t>Lab</t>
        </is>
      </c>
      <c r="Y367" t="n">
        <v>4.0</v>
      </c>
      <c r="Z367" t="inlineStr">
        <is>
          <t>Active ingredient</t>
        </is>
      </c>
      <c r="AA367"/>
      <c r="AB367"/>
      <c r="AC367"/>
      <c r="AD367" t="n">
        <v>0.0027181148928</v>
      </c>
      <c r="AE367"/>
      <c r="AF367" t="n">
        <v>0.0027327621632</v>
      </c>
      <c r="AG367" t="inlineStr">
        <is>
          <t>AI mg/L</t>
        </is>
      </c>
      <c r="AH367"/>
      <c r="AI367"/>
      <c r="AJ367"/>
      <c r="AK367"/>
      <c r="AL367"/>
      <c r="AM367"/>
      <c r="AN367"/>
      <c r="AO367"/>
      <c r="AP367"/>
      <c r="AQ367"/>
      <c r="AR367"/>
      <c r="AS367"/>
      <c r="AT367"/>
      <c r="AU367"/>
      <c r="AV367"/>
      <c r="AW367"/>
      <c r="AX367" t="inlineStr">
        <is>
          <t>Accumulation</t>
        </is>
      </c>
      <c r="AY367" t="inlineStr">
        <is>
          <t>Residue</t>
        </is>
      </c>
      <c r="AZ367" t="inlineStr">
        <is>
          <t>BCF</t>
        </is>
      </c>
      <c r="BA367" t="inlineStr">
        <is>
          <t>Whole organism</t>
        </is>
      </c>
      <c r="BB367"/>
      <c r="BC367" t="n">
        <v>4.875</v>
      </c>
      <c r="BD367"/>
      <c r="BE367"/>
      <c r="BF367"/>
      <c r="BG367"/>
      <c r="BH367" t="inlineStr">
        <is>
          <t>Day(s)</t>
        </is>
      </c>
      <c r="BI367"/>
      <c r="BJ367" t="n">
        <v>85.0</v>
      </c>
      <c r="BK367"/>
      <c r="BL367"/>
      <c r="BM367"/>
      <c r="BN367"/>
      <c r="BO367" t="inlineStr">
        <is>
          <t>RA</t>
        </is>
      </c>
      <c r="BP367"/>
      <c r="BQ367"/>
      <c r="BR367"/>
      <c r="BS367"/>
      <c r="BT367"/>
      <c r="BU367"/>
      <c r="BV367"/>
      <c r="BW367"/>
      <c r="BX367"/>
      <c r="BY367"/>
      <c r="BZ367"/>
      <c r="CA367"/>
      <c r="CB367"/>
      <c r="CC367"/>
      <c r="CD367" t="inlineStr">
        <is>
          <t>Lindqvist,D., and E. Wincent</t>
        </is>
      </c>
      <c r="CE367" t="n">
        <v>191181.0</v>
      </c>
      <c r="CF367" t="inlineStr">
        <is>
          <t>Kinetics and Toxicity of an Environmentally Relevant Mixture of Halogenated Organic Compounds in Zebrafish Embryo</t>
        </is>
      </c>
      <c r="CG367" t="inlineStr">
        <is>
          <t>Aquat. Toxicol.252:9 p.</t>
        </is>
      </c>
      <c r="CH367" t="n">
        <v>2022.0</v>
      </c>
      <c r="CI367" t="inlineStr">
        <is>
          <t>Lindqvist,D., and E. Wincent (2022). Kinetics and Toxicity of an Environmentally Relevant Mixture of Halogenated Organic Compounds in Zebrafish Embryo. Aquat. Toxicol., 252, 9 p. doi:10.1016/j.aquatox.2022.106311. ECOREF#:191181</t>
        </is>
      </c>
    </row>
    <row r="368">
      <c r="A368" t="n">
        <v>4021470.0</v>
      </c>
      <c r="B368" t="inlineStr">
        <is>
          <t>1,1,2,2,3,3,4,4,5,5,6,6,7,7,8,8,8-Heptadecafluoro-1-octanesulfonic acid sodium salt (1:1)</t>
        </is>
      </c>
      <c r="C368"/>
      <c r="D368" t="inlineStr">
        <is>
          <t>Measured</t>
        </is>
      </c>
      <c r="E368" t="inlineStr">
        <is>
          <t>&gt;</t>
        </is>
      </c>
      <c r="F368" t="n">
        <v>98.0</v>
      </c>
      <c r="G368"/>
      <c r="H368"/>
      <c r="I368"/>
      <c r="J368"/>
      <c r="K368" t="inlineStr">
        <is>
          <t>Danio rerio</t>
        </is>
      </c>
      <c r="L368" t="inlineStr">
        <is>
          <t>Zebra Danio</t>
        </is>
      </c>
      <c r="M368" t="inlineStr">
        <is>
          <t>Fish; Standard Test Species</t>
        </is>
      </c>
      <c r="N368" t="inlineStr">
        <is>
          <t>Embryo</t>
        </is>
      </c>
      <c r="O368"/>
      <c r="P368" t="n">
        <v>3.0</v>
      </c>
      <c r="Q368"/>
      <c r="R368"/>
      <c r="S368"/>
      <c r="T368"/>
      <c r="U368" t="inlineStr">
        <is>
          <t>Hours post fertilization</t>
        </is>
      </c>
      <c r="V368" t="inlineStr">
        <is>
          <t>Static</t>
        </is>
      </c>
      <c r="W368" t="inlineStr">
        <is>
          <t>Culture</t>
        </is>
      </c>
      <c r="X368" t="inlineStr">
        <is>
          <t>Lab</t>
        </is>
      </c>
      <c r="Y368" t="n">
        <v>4.0</v>
      </c>
      <c r="Z368" t="inlineStr">
        <is>
          <t>Active ingredient</t>
        </is>
      </c>
      <c r="AA368"/>
      <c r="AB368"/>
      <c r="AC368"/>
      <c r="AD368" t="n">
        <v>0.0014134615936</v>
      </c>
      <c r="AE368"/>
      <c r="AF368" t="n">
        <v>0.0015175618368</v>
      </c>
      <c r="AG368" t="inlineStr">
        <is>
          <t>AI mg/L</t>
        </is>
      </c>
      <c r="AH368"/>
      <c r="AI368"/>
      <c r="AJ368"/>
      <c r="AK368"/>
      <c r="AL368"/>
      <c r="AM368"/>
      <c r="AN368"/>
      <c r="AO368"/>
      <c r="AP368"/>
      <c r="AQ368"/>
      <c r="AR368"/>
      <c r="AS368"/>
      <c r="AT368"/>
      <c r="AU368"/>
      <c r="AV368"/>
      <c r="AW368"/>
      <c r="AX368" t="inlineStr">
        <is>
          <t>Accumulation</t>
        </is>
      </c>
      <c r="AY368" t="inlineStr">
        <is>
          <t>Residue</t>
        </is>
      </c>
      <c r="AZ368" t="inlineStr">
        <is>
          <t>BCF</t>
        </is>
      </c>
      <c r="BA368" t="inlineStr">
        <is>
          <t>Whole organism</t>
        </is>
      </c>
      <c r="BB368"/>
      <c r="BC368" t="n">
        <v>2.875</v>
      </c>
      <c r="BD368"/>
      <c r="BE368"/>
      <c r="BF368"/>
      <c r="BG368"/>
      <c r="BH368" t="inlineStr">
        <is>
          <t>Day(s)</t>
        </is>
      </c>
      <c r="BI368"/>
      <c r="BJ368" t="n">
        <v>101.0</v>
      </c>
      <c r="BK368"/>
      <c r="BL368"/>
      <c r="BM368"/>
      <c r="BN368"/>
      <c r="BO368" t="inlineStr">
        <is>
          <t>RA</t>
        </is>
      </c>
      <c r="BP368"/>
      <c r="BQ368"/>
      <c r="BR368"/>
      <c r="BS368"/>
      <c r="BT368"/>
      <c r="BU368"/>
      <c r="BV368"/>
      <c r="BW368"/>
      <c r="BX368"/>
      <c r="BY368"/>
      <c r="BZ368"/>
      <c r="CA368"/>
      <c r="CB368"/>
      <c r="CC368"/>
      <c r="CD368" t="inlineStr">
        <is>
          <t>Lindqvist,D., and E. Wincent</t>
        </is>
      </c>
      <c r="CE368" t="n">
        <v>191181.0</v>
      </c>
      <c r="CF368" t="inlineStr">
        <is>
          <t>Kinetics and Toxicity of an Environmentally Relevant Mixture of Halogenated Organic Compounds in Zebrafish Embryo</t>
        </is>
      </c>
      <c r="CG368" t="inlineStr">
        <is>
          <t>Aquat. Toxicol.252:9 p.</t>
        </is>
      </c>
      <c r="CH368" t="n">
        <v>2022.0</v>
      </c>
      <c r="CI368" t="inlineStr">
        <is>
          <t>Lindqvist,D., and E. Wincent (2022). Kinetics and Toxicity of an Environmentally Relevant Mixture of Halogenated Organic Compounds in Zebrafish Embryo. Aquat. Toxicol., 252, 9 p. doi:10.1016/j.aquatox.2022.106311. ECOREF#:191181</t>
        </is>
      </c>
    </row>
    <row r="369">
      <c r="A369" t="n">
        <v>4021470.0</v>
      </c>
      <c r="B369" t="inlineStr">
        <is>
          <t>1,1,2,2,3,3,4,4,5,5,6,6,7,7,8,8,8-Heptadecafluoro-1-octanesulfonic acid sodium salt (1:1)</t>
        </is>
      </c>
      <c r="C369"/>
      <c r="D369" t="inlineStr">
        <is>
          <t>Measured</t>
        </is>
      </c>
      <c r="E369" t="inlineStr">
        <is>
          <t>&gt;</t>
        </is>
      </c>
      <c r="F369" t="n">
        <v>98.0</v>
      </c>
      <c r="G369"/>
      <c r="H369"/>
      <c r="I369"/>
      <c r="J369"/>
      <c r="K369" t="inlineStr">
        <is>
          <t>Danio rerio</t>
        </is>
      </c>
      <c r="L369" t="inlineStr">
        <is>
          <t>Zebra Danio</t>
        </is>
      </c>
      <c r="M369" t="inlineStr">
        <is>
          <t>Fish; Standard Test Species</t>
        </is>
      </c>
      <c r="N369" t="inlineStr">
        <is>
          <t>Embryo</t>
        </is>
      </c>
      <c r="O369"/>
      <c r="P369" t="n">
        <v>3.0</v>
      </c>
      <c r="Q369"/>
      <c r="R369"/>
      <c r="S369"/>
      <c r="T369"/>
      <c r="U369" t="inlineStr">
        <is>
          <t>Hours post fertilization</t>
        </is>
      </c>
      <c r="V369" t="inlineStr">
        <is>
          <t>Static</t>
        </is>
      </c>
      <c r="W369" t="inlineStr">
        <is>
          <t>Culture</t>
        </is>
      </c>
      <c r="X369" t="inlineStr">
        <is>
          <t>Lab</t>
        </is>
      </c>
      <c r="Y369" t="n">
        <v>4.0</v>
      </c>
      <c r="Z369" t="inlineStr">
        <is>
          <t>Active ingredient</t>
        </is>
      </c>
      <c r="AA369"/>
      <c r="AB369"/>
      <c r="AC369"/>
      <c r="AD369" t="n">
        <v>5.869370496E-4</v>
      </c>
      <c r="AE369"/>
      <c r="AF369" t="n">
        <v>6.345406784E-4</v>
      </c>
      <c r="AG369" t="inlineStr">
        <is>
          <t>AI mg/L</t>
        </is>
      </c>
      <c r="AH369"/>
      <c r="AI369"/>
      <c r="AJ369"/>
      <c r="AK369"/>
      <c r="AL369"/>
      <c r="AM369"/>
      <c r="AN369"/>
      <c r="AO369"/>
      <c r="AP369"/>
      <c r="AQ369"/>
      <c r="AR369"/>
      <c r="AS369"/>
      <c r="AT369"/>
      <c r="AU369"/>
      <c r="AV369"/>
      <c r="AW369"/>
      <c r="AX369" t="inlineStr">
        <is>
          <t>Accumulation</t>
        </is>
      </c>
      <c r="AY369" t="inlineStr">
        <is>
          <t>Residue</t>
        </is>
      </c>
      <c r="AZ369" t="inlineStr">
        <is>
          <t>BCF</t>
        </is>
      </c>
      <c r="BA369" t="inlineStr">
        <is>
          <t>Whole organism</t>
        </is>
      </c>
      <c r="BB369"/>
      <c r="BC369" t="n">
        <v>2.875</v>
      </c>
      <c r="BD369"/>
      <c r="BE369"/>
      <c r="BF369"/>
      <c r="BG369"/>
      <c r="BH369" t="inlineStr">
        <is>
          <t>Day(s)</t>
        </is>
      </c>
      <c r="BI369"/>
      <c r="BJ369" t="n">
        <v>120.0</v>
      </c>
      <c r="BK369"/>
      <c r="BL369"/>
      <c r="BM369"/>
      <c r="BN369"/>
      <c r="BO369" t="inlineStr">
        <is>
          <t>RA</t>
        </is>
      </c>
      <c r="BP369"/>
      <c r="BQ369"/>
      <c r="BR369"/>
      <c r="BS369"/>
      <c r="BT369"/>
      <c r="BU369"/>
      <c r="BV369"/>
      <c r="BW369"/>
      <c r="BX369"/>
      <c r="BY369"/>
      <c r="BZ369"/>
      <c r="CA369"/>
      <c r="CB369"/>
      <c r="CC369"/>
      <c r="CD369" t="inlineStr">
        <is>
          <t>Lindqvist,D., and E. Wincent</t>
        </is>
      </c>
      <c r="CE369" t="n">
        <v>191181.0</v>
      </c>
      <c r="CF369" t="inlineStr">
        <is>
          <t>Kinetics and Toxicity of an Environmentally Relevant Mixture of Halogenated Organic Compounds in Zebrafish Embryo</t>
        </is>
      </c>
      <c r="CG369" t="inlineStr">
        <is>
          <t>Aquat. Toxicol.252:9 p.</t>
        </is>
      </c>
      <c r="CH369" t="n">
        <v>2022.0</v>
      </c>
      <c r="CI369" t="inlineStr">
        <is>
          <t>Lindqvist,D., and E. Wincent (2022). Kinetics and Toxicity of an Environmentally Relevant Mixture of Halogenated Organic Compounds in Zebrafish Embryo. Aquat. Toxicol., 252, 9 p. doi:10.1016/j.aquatox.2022.106311. ECOREF#:191181</t>
        </is>
      </c>
    </row>
    <row r="370">
      <c r="A370" t="n">
        <v>4021470.0</v>
      </c>
      <c r="B370" t="inlineStr">
        <is>
          <t>1,1,2,2,3,3,4,4,5,5,6,6,7,7,8,8,8-Heptadecafluoro-1-octanesulfonic acid sodium salt (1:1)</t>
        </is>
      </c>
      <c r="C370"/>
      <c r="D370" t="inlineStr">
        <is>
          <t>Measured</t>
        </is>
      </c>
      <c r="E370" t="inlineStr">
        <is>
          <t>&gt;</t>
        </is>
      </c>
      <c r="F370" t="n">
        <v>98.0</v>
      </c>
      <c r="G370"/>
      <c r="H370"/>
      <c r="I370"/>
      <c r="J370"/>
      <c r="K370" t="inlineStr">
        <is>
          <t>Danio rerio</t>
        </is>
      </c>
      <c r="L370" t="inlineStr">
        <is>
          <t>Zebra Danio</t>
        </is>
      </c>
      <c r="M370" t="inlineStr">
        <is>
          <t>Fish; Standard Test Species</t>
        </is>
      </c>
      <c r="N370" t="inlineStr">
        <is>
          <t>Embryo</t>
        </is>
      </c>
      <c r="O370"/>
      <c r="P370" t="n">
        <v>3.0</v>
      </c>
      <c r="Q370"/>
      <c r="R370"/>
      <c r="S370"/>
      <c r="T370"/>
      <c r="U370" t="inlineStr">
        <is>
          <t>Hours post fertilization</t>
        </is>
      </c>
      <c r="V370" t="inlineStr">
        <is>
          <t>Static</t>
        </is>
      </c>
      <c r="W370" t="inlineStr">
        <is>
          <t>Culture</t>
        </is>
      </c>
      <c r="X370" t="inlineStr">
        <is>
          <t>Lab</t>
        </is>
      </c>
      <c r="Y370" t="n">
        <v>4.0</v>
      </c>
      <c r="Z370" t="inlineStr">
        <is>
          <t>Active ingredient</t>
        </is>
      </c>
      <c r="AA370"/>
      <c r="AB370"/>
      <c r="AC370"/>
      <c r="AD370" t="n">
        <v>0.0014134615936</v>
      </c>
      <c r="AE370"/>
      <c r="AF370" t="n">
        <v>0.0015175618368</v>
      </c>
      <c r="AG370" t="inlineStr">
        <is>
          <t>AI mg/L</t>
        </is>
      </c>
      <c r="AH370"/>
      <c r="AI370"/>
      <c r="AJ370"/>
      <c r="AK370"/>
      <c r="AL370"/>
      <c r="AM370"/>
      <c r="AN370"/>
      <c r="AO370"/>
      <c r="AP370"/>
      <c r="AQ370"/>
      <c r="AR370"/>
      <c r="AS370"/>
      <c r="AT370"/>
      <c r="AU370"/>
      <c r="AV370"/>
      <c r="AW370"/>
      <c r="AX370" t="inlineStr">
        <is>
          <t>Accumulation</t>
        </is>
      </c>
      <c r="AY370" t="inlineStr">
        <is>
          <t>Residue</t>
        </is>
      </c>
      <c r="AZ370" t="inlineStr">
        <is>
          <t>BCF</t>
        </is>
      </c>
      <c r="BA370" t="inlineStr">
        <is>
          <t>Whole organism</t>
        </is>
      </c>
      <c r="BB370"/>
      <c r="BC370" t="n">
        <v>4.875</v>
      </c>
      <c r="BD370"/>
      <c r="BE370"/>
      <c r="BF370"/>
      <c r="BG370"/>
      <c r="BH370" t="inlineStr">
        <is>
          <t>Day(s)</t>
        </is>
      </c>
      <c r="BI370"/>
      <c r="BJ370" t="n">
        <v>131.0</v>
      </c>
      <c r="BK370"/>
      <c r="BL370"/>
      <c r="BM370"/>
      <c r="BN370"/>
      <c r="BO370" t="inlineStr">
        <is>
          <t>RA</t>
        </is>
      </c>
      <c r="BP370"/>
      <c r="BQ370"/>
      <c r="BR370"/>
      <c r="BS370"/>
      <c r="BT370"/>
      <c r="BU370"/>
      <c r="BV370"/>
      <c r="BW370"/>
      <c r="BX370"/>
      <c r="BY370"/>
      <c r="BZ370"/>
      <c r="CA370"/>
      <c r="CB370"/>
      <c r="CC370"/>
      <c r="CD370" t="inlineStr">
        <is>
          <t>Lindqvist,D., and E. Wincent</t>
        </is>
      </c>
      <c r="CE370" t="n">
        <v>191181.0</v>
      </c>
      <c r="CF370" t="inlineStr">
        <is>
          <t>Kinetics and Toxicity of an Environmentally Relevant Mixture of Halogenated Organic Compounds in Zebrafish Embryo</t>
        </is>
      </c>
      <c r="CG370" t="inlineStr">
        <is>
          <t>Aquat. Toxicol.252:9 p.</t>
        </is>
      </c>
      <c r="CH370" t="n">
        <v>2022.0</v>
      </c>
      <c r="CI370" t="inlineStr">
        <is>
          <t>Lindqvist,D., and E. Wincent (2022). Kinetics and Toxicity of an Environmentally Relevant Mixture of Halogenated Organic Compounds in Zebrafish Embryo. Aquat. Toxicol., 252, 9 p. doi:10.1016/j.aquatox.2022.106311. ECOREF#:191181</t>
        </is>
      </c>
    </row>
    <row r="371">
      <c r="A371" t="n">
        <v>4021470.0</v>
      </c>
      <c r="B371" t="inlineStr">
        <is>
          <t>1,1,2,2,3,3,4,4,5,5,6,6,7,7,8,8,8-Heptadecafluoro-1-octanesulfonic acid sodium salt (1:1)</t>
        </is>
      </c>
      <c r="C371"/>
      <c r="D371" t="inlineStr">
        <is>
          <t>Measured</t>
        </is>
      </c>
      <c r="E371" t="inlineStr">
        <is>
          <t>&gt;</t>
        </is>
      </c>
      <c r="F371" t="n">
        <v>98.0</v>
      </c>
      <c r="G371"/>
      <c r="H371"/>
      <c r="I371"/>
      <c r="J371"/>
      <c r="K371" t="inlineStr">
        <is>
          <t>Danio rerio</t>
        </is>
      </c>
      <c r="L371" t="inlineStr">
        <is>
          <t>Zebra Danio</t>
        </is>
      </c>
      <c r="M371" t="inlineStr">
        <is>
          <t>Fish; Standard Test Species</t>
        </is>
      </c>
      <c r="N371" t="inlineStr">
        <is>
          <t>Embryo</t>
        </is>
      </c>
      <c r="O371"/>
      <c r="P371" t="n">
        <v>3.0</v>
      </c>
      <c r="Q371"/>
      <c r="R371"/>
      <c r="S371"/>
      <c r="T371"/>
      <c r="U371" t="inlineStr">
        <is>
          <t>Hours post fertilization</t>
        </is>
      </c>
      <c r="V371" t="inlineStr">
        <is>
          <t>Static</t>
        </is>
      </c>
      <c r="W371" t="inlineStr">
        <is>
          <t>Culture</t>
        </is>
      </c>
      <c r="X371" t="inlineStr">
        <is>
          <t>Lab</t>
        </is>
      </c>
      <c r="Y371" t="n">
        <v>2.0</v>
      </c>
      <c r="Z371" t="inlineStr">
        <is>
          <t>Active ingredient</t>
        </is>
      </c>
      <c r="AA371"/>
      <c r="AB371"/>
      <c r="AC371"/>
      <c r="AD371" t="n">
        <v>5.393334208E-4</v>
      </c>
      <c r="AE371"/>
      <c r="AF371" t="n">
        <v>6.115235392E-4</v>
      </c>
      <c r="AG371" t="inlineStr">
        <is>
          <t>AI mg/L</t>
        </is>
      </c>
      <c r="AH371"/>
      <c r="AI371"/>
      <c r="AJ371"/>
      <c r="AK371"/>
      <c r="AL371"/>
      <c r="AM371"/>
      <c r="AN371"/>
      <c r="AO371"/>
      <c r="AP371"/>
      <c r="AQ371"/>
      <c r="AR371"/>
      <c r="AS371"/>
      <c r="AT371"/>
      <c r="AU371"/>
      <c r="AV371"/>
      <c r="AW371"/>
      <c r="AX371" t="inlineStr">
        <is>
          <t>Accumulation</t>
        </is>
      </c>
      <c r="AY371" t="inlineStr">
        <is>
          <t>Residue</t>
        </is>
      </c>
      <c r="AZ371" t="inlineStr">
        <is>
          <t>BCF</t>
        </is>
      </c>
      <c r="BA371" t="inlineStr">
        <is>
          <t>Whole organism</t>
        </is>
      </c>
      <c r="BB371"/>
      <c r="BC371" t="n">
        <v>2.875</v>
      </c>
      <c r="BD371"/>
      <c r="BE371"/>
      <c r="BF371"/>
      <c r="BG371"/>
      <c r="BH371" t="inlineStr">
        <is>
          <t>Day(s)</t>
        </is>
      </c>
      <c r="BI371"/>
      <c r="BJ371" t="n">
        <v>146.0</v>
      </c>
      <c r="BK371"/>
      <c r="BL371"/>
      <c r="BM371"/>
      <c r="BN371"/>
      <c r="BO371" t="inlineStr">
        <is>
          <t>RA</t>
        </is>
      </c>
      <c r="BP371"/>
      <c r="BQ371"/>
      <c r="BR371"/>
      <c r="BS371"/>
      <c r="BT371"/>
      <c r="BU371"/>
      <c r="BV371"/>
      <c r="BW371"/>
      <c r="BX371"/>
      <c r="BY371"/>
      <c r="BZ371"/>
      <c r="CA371"/>
      <c r="CB371"/>
      <c r="CC371"/>
      <c r="CD371" t="inlineStr">
        <is>
          <t>Lindqvist,D., and E. Wincent</t>
        </is>
      </c>
      <c r="CE371" t="n">
        <v>191181.0</v>
      </c>
      <c r="CF371" t="inlineStr">
        <is>
          <t>Kinetics and Toxicity of an Environmentally Relevant Mixture of Halogenated Organic Compounds in Zebrafish Embryo</t>
        </is>
      </c>
      <c r="CG371" t="inlineStr">
        <is>
          <t>Aquat. Toxicol.252:9 p.</t>
        </is>
      </c>
      <c r="CH371" t="n">
        <v>2022.0</v>
      </c>
      <c r="CI371" t="inlineStr">
        <is>
          <t>Lindqvist,D., and E. Wincent (2022). Kinetics and Toxicity of an Environmentally Relevant Mixture of Halogenated Organic Compounds in Zebrafish Embryo. Aquat. Toxicol., 252, 9 p. doi:10.1016/j.aquatox.2022.106311. ECOREF#:191181</t>
        </is>
      </c>
    </row>
    <row r="372">
      <c r="A372" t="n">
        <v>4021470.0</v>
      </c>
      <c r="B372" t="inlineStr">
        <is>
          <t>1,1,2,2,3,3,4,4,5,5,6,6,7,7,8,8,8-Heptadecafluoro-1-octanesulfonic acid sodium salt (1:1)</t>
        </is>
      </c>
      <c r="C372"/>
      <c r="D372" t="inlineStr">
        <is>
          <t>Measured</t>
        </is>
      </c>
      <c r="E372" t="inlineStr">
        <is>
          <t>&gt;</t>
        </is>
      </c>
      <c r="F372" t="n">
        <v>98.0</v>
      </c>
      <c r="G372"/>
      <c r="H372"/>
      <c r="I372"/>
      <c r="J372"/>
      <c r="K372" t="inlineStr">
        <is>
          <t>Danio rerio</t>
        </is>
      </c>
      <c r="L372" t="inlineStr">
        <is>
          <t>Zebra Danio</t>
        </is>
      </c>
      <c r="M372" t="inlineStr">
        <is>
          <t>Fish; Standard Test Species</t>
        </is>
      </c>
      <c r="N372" t="inlineStr">
        <is>
          <t>Embryo</t>
        </is>
      </c>
      <c r="O372"/>
      <c r="P372" t="n">
        <v>3.0</v>
      </c>
      <c r="Q372"/>
      <c r="R372"/>
      <c r="S372"/>
      <c r="T372"/>
      <c r="U372" t="inlineStr">
        <is>
          <t>Hours post fertilization</t>
        </is>
      </c>
      <c r="V372" t="inlineStr">
        <is>
          <t>Static</t>
        </is>
      </c>
      <c r="W372" t="inlineStr">
        <is>
          <t>Culture</t>
        </is>
      </c>
      <c r="X372" t="inlineStr">
        <is>
          <t>Lab</t>
        </is>
      </c>
      <c r="Y372" t="n">
        <v>4.0</v>
      </c>
      <c r="Z372" t="inlineStr">
        <is>
          <t>Active ingredient</t>
        </is>
      </c>
      <c r="AA372"/>
      <c r="AB372"/>
      <c r="AC372"/>
      <c r="AD372" t="n">
        <v>5.869370496E-4</v>
      </c>
      <c r="AE372"/>
      <c r="AF372" t="n">
        <v>6.345406784E-4</v>
      </c>
      <c r="AG372" t="inlineStr">
        <is>
          <t>AI mg/L</t>
        </is>
      </c>
      <c r="AH372"/>
      <c r="AI372"/>
      <c r="AJ372"/>
      <c r="AK372"/>
      <c r="AL372"/>
      <c r="AM372"/>
      <c r="AN372"/>
      <c r="AO372"/>
      <c r="AP372"/>
      <c r="AQ372"/>
      <c r="AR372"/>
      <c r="AS372"/>
      <c r="AT372"/>
      <c r="AU372"/>
      <c r="AV372"/>
      <c r="AW372"/>
      <c r="AX372" t="inlineStr">
        <is>
          <t>Accumulation</t>
        </is>
      </c>
      <c r="AY372" t="inlineStr">
        <is>
          <t>Residue</t>
        </is>
      </c>
      <c r="AZ372" t="inlineStr">
        <is>
          <t>BCF</t>
        </is>
      </c>
      <c r="BA372" t="inlineStr">
        <is>
          <t>Whole organism</t>
        </is>
      </c>
      <c r="BB372"/>
      <c r="BC372" t="n">
        <v>4.875</v>
      </c>
      <c r="BD372"/>
      <c r="BE372"/>
      <c r="BF372"/>
      <c r="BG372"/>
      <c r="BH372" t="inlineStr">
        <is>
          <t>Day(s)</t>
        </is>
      </c>
      <c r="BI372"/>
      <c r="BJ372" t="n">
        <v>172.0</v>
      </c>
      <c r="BK372"/>
      <c r="BL372"/>
      <c r="BM372"/>
      <c r="BN372"/>
      <c r="BO372" t="inlineStr">
        <is>
          <t>RA</t>
        </is>
      </c>
      <c r="BP372"/>
      <c r="BQ372"/>
      <c r="BR372"/>
      <c r="BS372"/>
      <c r="BT372"/>
      <c r="BU372"/>
      <c r="BV372"/>
      <c r="BW372"/>
      <c r="BX372"/>
      <c r="BY372"/>
      <c r="BZ372"/>
      <c r="CA372"/>
      <c r="CB372"/>
      <c r="CC372"/>
      <c r="CD372" t="inlineStr">
        <is>
          <t>Lindqvist,D., and E. Wincent</t>
        </is>
      </c>
      <c r="CE372" t="n">
        <v>191181.0</v>
      </c>
      <c r="CF372" t="inlineStr">
        <is>
          <t>Kinetics and Toxicity of an Environmentally Relevant Mixture of Halogenated Organic Compounds in Zebrafish Embryo</t>
        </is>
      </c>
      <c r="CG372" t="inlineStr">
        <is>
          <t>Aquat. Toxicol.252:9 p.</t>
        </is>
      </c>
      <c r="CH372" t="n">
        <v>2022.0</v>
      </c>
      <c r="CI372" t="inlineStr">
        <is>
          <t>Lindqvist,D., and E. Wincent (2022). Kinetics and Toxicity of an Environmentally Relevant Mixture of Halogenated Organic Compounds in Zebrafish Embryo. Aquat. Toxicol., 252, 9 p. doi:10.1016/j.aquatox.2022.106311. ECOREF#:191181</t>
        </is>
      </c>
    </row>
    <row r="373">
      <c r="A373" t="n">
        <v>4021470.0</v>
      </c>
      <c r="B373" t="inlineStr">
        <is>
          <t>1,1,2,2,3,3,4,4,5,5,6,6,7,7,8,8,8-Heptadecafluoro-1-octanesulfonic acid sodium salt (1:1)</t>
        </is>
      </c>
      <c r="C373"/>
      <c r="D373" t="inlineStr">
        <is>
          <t>Measured</t>
        </is>
      </c>
      <c r="E373" t="inlineStr">
        <is>
          <t>&gt;</t>
        </is>
      </c>
      <c r="F373" t="n">
        <v>98.0</v>
      </c>
      <c r="G373"/>
      <c r="H373"/>
      <c r="I373"/>
      <c r="J373"/>
      <c r="K373" t="inlineStr">
        <is>
          <t>Danio rerio</t>
        </is>
      </c>
      <c r="L373" t="inlineStr">
        <is>
          <t>Zebra Danio</t>
        </is>
      </c>
      <c r="M373" t="inlineStr">
        <is>
          <t>Fish; Standard Test Species</t>
        </is>
      </c>
      <c r="N373" t="inlineStr">
        <is>
          <t>Embryo</t>
        </is>
      </c>
      <c r="O373"/>
      <c r="P373" t="n">
        <v>3.0</v>
      </c>
      <c r="Q373"/>
      <c r="R373"/>
      <c r="S373"/>
      <c r="T373"/>
      <c r="U373" t="inlineStr">
        <is>
          <t>Hours post fertilization</t>
        </is>
      </c>
      <c r="V373" t="inlineStr">
        <is>
          <t>Static</t>
        </is>
      </c>
      <c r="W373" t="inlineStr">
        <is>
          <t>Culture</t>
        </is>
      </c>
      <c r="X373" t="inlineStr">
        <is>
          <t>Lab</t>
        </is>
      </c>
      <c r="Y373" t="n">
        <v>2.0</v>
      </c>
      <c r="Z373" t="inlineStr">
        <is>
          <t>Active ingredient</t>
        </is>
      </c>
      <c r="AA373"/>
      <c r="AB373"/>
      <c r="AC373"/>
      <c r="AD373" t="n">
        <v>5.393334208E-4</v>
      </c>
      <c r="AE373"/>
      <c r="AF373" t="n">
        <v>6.115235392E-4</v>
      </c>
      <c r="AG373" t="inlineStr">
        <is>
          <t>AI mg/L</t>
        </is>
      </c>
      <c r="AH373"/>
      <c r="AI373"/>
      <c r="AJ373"/>
      <c r="AK373"/>
      <c r="AL373"/>
      <c r="AM373"/>
      <c r="AN373"/>
      <c r="AO373"/>
      <c r="AP373"/>
      <c r="AQ373"/>
      <c r="AR373"/>
      <c r="AS373"/>
      <c r="AT373"/>
      <c r="AU373"/>
      <c r="AV373"/>
      <c r="AW373"/>
      <c r="AX373" t="inlineStr">
        <is>
          <t>Accumulation</t>
        </is>
      </c>
      <c r="AY373" t="inlineStr">
        <is>
          <t>Residue</t>
        </is>
      </c>
      <c r="AZ373" t="inlineStr">
        <is>
          <t>BCF</t>
        </is>
      </c>
      <c r="BA373" t="inlineStr">
        <is>
          <t>Whole organism</t>
        </is>
      </c>
      <c r="BB373"/>
      <c r="BC373" t="n">
        <v>4.875</v>
      </c>
      <c r="BD373"/>
      <c r="BE373"/>
      <c r="BF373"/>
      <c r="BG373"/>
      <c r="BH373" t="inlineStr">
        <is>
          <t>Day(s)</t>
        </is>
      </c>
      <c r="BI373"/>
      <c r="BJ373" t="n">
        <v>196.0</v>
      </c>
      <c r="BK373"/>
      <c r="BL373"/>
      <c r="BM373"/>
      <c r="BN373"/>
      <c r="BO373" t="inlineStr">
        <is>
          <t>RA</t>
        </is>
      </c>
      <c r="BP373"/>
      <c r="BQ373"/>
      <c r="BR373"/>
      <c r="BS373"/>
      <c r="BT373"/>
      <c r="BU373"/>
      <c r="BV373"/>
      <c r="BW373"/>
      <c r="BX373"/>
      <c r="BY373"/>
      <c r="BZ373"/>
      <c r="CA373"/>
      <c r="CB373"/>
      <c r="CC373"/>
      <c r="CD373" t="inlineStr">
        <is>
          <t>Lindqvist,D., and E. Wincent</t>
        </is>
      </c>
      <c r="CE373" t="n">
        <v>191181.0</v>
      </c>
      <c r="CF373" t="inlineStr">
        <is>
          <t>Kinetics and Toxicity of an Environmentally Relevant Mixture of Halogenated Organic Compounds in Zebrafish Embryo</t>
        </is>
      </c>
      <c r="CG373" t="inlineStr">
        <is>
          <t>Aquat. Toxicol.252:9 p.</t>
        </is>
      </c>
      <c r="CH373" t="n">
        <v>2022.0</v>
      </c>
      <c r="CI373" t="inlineStr">
        <is>
          <t>Lindqvist,D., and E. Wincent (2022). Kinetics and Toxicity of an Environmentally Relevant Mixture of Halogenated Organic Compounds in Zebrafish Embryo. Aquat. Toxicol., 252, 9 p. doi:10.1016/j.aquatox.2022.106311. ECOREF#:191181</t>
        </is>
      </c>
    </row>
    <row r="374">
      <c r="A374" t="n">
        <v>4021470.0</v>
      </c>
      <c r="B374" t="inlineStr">
        <is>
          <t>1,1,2,2,3,3,4,4,5,5,6,6,7,7,8,8,8-Heptadecafluoro-1-octanesulfonic acid sodium salt (1:1)</t>
        </is>
      </c>
      <c r="C374" t="inlineStr">
        <is>
          <t>Technical grade, technical product, technical formulation</t>
        </is>
      </c>
      <c r="D374" t="inlineStr">
        <is>
          <t>Unmeasured</t>
        </is>
      </c>
      <c r="E374"/>
      <c r="F374"/>
      <c r="G374"/>
      <c r="H374"/>
      <c r="I374"/>
      <c r="J374"/>
      <c r="K374" t="inlineStr">
        <is>
          <t>Salmo salar</t>
        </is>
      </c>
      <c r="L374" t="inlineStr">
        <is>
          <t>Atlantic Salmon</t>
        </is>
      </c>
      <c r="M374" t="inlineStr">
        <is>
          <t>Fish; Standard Test Species; U.S. Threatened and Endangered Species</t>
        </is>
      </c>
      <c r="N374" t="inlineStr">
        <is>
          <t>Juvenile</t>
        </is>
      </c>
      <c r="O374"/>
      <c r="P374"/>
      <c r="Q374"/>
      <c r="R374"/>
      <c r="S374"/>
      <c r="T374"/>
      <c r="U374"/>
      <c r="V374" t="inlineStr">
        <is>
          <t>Gavage</t>
        </is>
      </c>
      <c r="W374" t="inlineStr">
        <is>
          <t>Fresh water</t>
        </is>
      </c>
      <c r="X374" t="inlineStr">
        <is>
          <t>Lab</t>
        </is>
      </c>
      <c r="Y374" t="n">
        <v>1.0</v>
      </c>
      <c r="Z374" t="inlineStr">
        <is>
          <t>Active ingredient</t>
        </is>
      </c>
      <c r="AA374"/>
      <c r="AB374" t="n">
        <v>0.2</v>
      </c>
      <c r="AC374"/>
      <c r="AD374"/>
      <c r="AE374"/>
      <c r="AF374"/>
      <c r="AG374" t="inlineStr">
        <is>
          <t>AI mg/kg bdwt</t>
        </is>
      </c>
      <c r="AH374"/>
      <c r="AI374"/>
      <c r="AJ374"/>
      <c r="AK374"/>
      <c r="AL374"/>
      <c r="AM374"/>
      <c r="AN374"/>
      <c r="AO374"/>
      <c r="AP374"/>
      <c r="AQ374"/>
      <c r="AR374"/>
      <c r="AS374"/>
      <c r="AT374"/>
      <c r="AU374"/>
      <c r="AV374"/>
      <c r="AW374"/>
      <c r="AX374" t="inlineStr">
        <is>
          <t>Accumulation</t>
        </is>
      </c>
      <c r="AY374" t="inlineStr">
        <is>
          <t>Residue</t>
        </is>
      </c>
      <c r="AZ374" t="inlineStr">
        <is>
          <t>LOEC</t>
        </is>
      </c>
      <c r="BA374" t="inlineStr">
        <is>
          <t>Blood</t>
        </is>
      </c>
      <c r="BB374"/>
      <c r="BC374" t="n">
        <v>5.0</v>
      </c>
      <c r="BD374"/>
      <c r="BE374"/>
      <c r="BF374"/>
      <c r="BG374"/>
      <c r="BH374" t="inlineStr">
        <is>
          <t>Day(s)</t>
        </is>
      </c>
      <c r="BI374"/>
      <c r="BJ374"/>
      <c r="BK374"/>
      <c r="BL374"/>
      <c r="BM374"/>
      <c r="BN374"/>
      <c r="BO374" t="inlineStr">
        <is>
          <t>--</t>
        </is>
      </c>
      <c r="BP374"/>
      <c r="BQ374"/>
      <c r="BR374"/>
      <c r="BS374"/>
      <c r="BT374"/>
      <c r="BU374"/>
      <c r="BV374"/>
      <c r="BW374"/>
      <c r="BX374"/>
      <c r="BY374"/>
      <c r="BZ374"/>
      <c r="CA374"/>
      <c r="CB374"/>
      <c r="CC374"/>
      <c r="CD374" t="inlineStr">
        <is>
          <t>Mortensen,A.S., R.J. Letcher, M.V. Cangialosi, S. Chu, and A. Arukwe</t>
        </is>
      </c>
      <c r="CE374" t="n">
        <v>175198.0</v>
      </c>
      <c r="CF374" t="inlineStr">
        <is>
          <t>Tissue Bioaccumulation Patterns, Xenobiotic Biotransformation and Steroid Hormone Levels in Atlantic Salmon (Salmo salar) Fed a Diet Containing Perfluorooctane Sulfonic or Perfluorooctane Carboxylic Acids</t>
        </is>
      </c>
      <c r="CG374" t="inlineStr">
        <is>
          <t>Chemosphere83(8): 1035-1044</t>
        </is>
      </c>
      <c r="CH374" t="n">
        <v>2011.0</v>
      </c>
      <c r="CI374"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75">
      <c r="A375" t="n">
        <v>4021470.0</v>
      </c>
      <c r="B375" t="inlineStr">
        <is>
          <t>1,1,2,2,3,3,4,4,5,5,6,6,7,7,8,8,8-Heptadecafluoro-1-octanesulfonic acid sodium salt (1:1)</t>
        </is>
      </c>
      <c r="C375" t="inlineStr">
        <is>
          <t>Technical grade, technical product, technical formulation</t>
        </is>
      </c>
      <c r="D375" t="inlineStr">
        <is>
          <t>Unmeasured</t>
        </is>
      </c>
      <c r="E375"/>
      <c r="F375"/>
      <c r="G375"/>
      <c r="H375"/>
      <c r="I375"/>
      <c r="J375"/>
      <c r="K375" t="inlineStr">
        <is>
          <t>Salmo salar</t>
        </is>
      </c>
      <c r="L375" t="inlineStr">
        <is>
          <t>Atlantic Salmon</t>
        </is>
      </c>
      <c r="M375" t="inlineStr">
        <is>
          <t>Fish; Standard Test Species; U.S. Threatened and Endangered Species</t>
        </is>
      </c>
      <c r="N375" t="inlineStr">
        <is>
          <t>Juvenile</t>
        </is>
      </c>
      <c r="O375"/>
      <c r="P375"/>
      <c r="Q375"/>
      <c r="R375"/>
      <c r="S375"/>
      <c r="T375"/>
      <c r="U375"/>
      <c r="V375" t="inlineStr">
        <is>
          <t>Gavage</t>
        </is>
      </c>
      <c r="W375" t="inlineStr">
        <is>
          <t>Fresh water</t>
        </is>
      </c>
      <c r="X375" t="inlineStr">
        <is>
          <t>Lab</t>
        </is>
      </c>
      <c r="Y375" t="n">
        <v>1.0</v>
      </c>
      <c r="Z375" t="inlineStr">
        <is>
          <t>Active ingredient</t>
        </is>
      </c>
      <c r="AA375"/>
      <c r="AB375" t="n">
        <v>0.2</v>
      </c>
      <c r="AC375"/>
      <c r="AD375"/>
      <c r="AE375"/>
      <c r="AF375"/>
      <c r="AG375" t="inlineStr">
        <is>
          <t>AI mg/kg bdwt</t>
        </is>
      </c>
      <c r="AH375"/>
      <c r="AI375"/>
      <c r="AJ375"/>
      <c r="AK375"/>
      <c r="AL375"/>
      <c r="AM375"/>
      <c r="AN375"/>
      <c r="AO375"/>
      <c r="AP375"/>
      <c r="AQ375"/>
      <c r="AR375"/>
      <c r="AS375"/>
      <c r="AT375"/>
      <c r="AU375"/>
      <c r="AV375"/>
      <c r="AW375"/>
      <c r="AX375" t="inlineStr">
        <is>
          <t>Accumulation</t>
        </is>
      </c>
      <c r="AY375" t="inlineStr">
        <is>
          <t>Residue</t>
        </is>
      </c>
      <c r="AZ375" t="inlineStr">
        <is>
          <t>LOEC</t>
        </is>
      </c>
      <c r="BA375" t="inlineStr">
        <is>
          <t>Liver</t>
        </is>
      </c>
      <c r="BB375"/>
      <c r="BC375" t="n">
        <v>2.0</v>
      </c>
      <c r="BD375"/>
      <c r="BE375"/>
      <c r="BF375"/>
      <c r="BG375"/>
      <c r="BH375" t="inlineStr">
        <is>
          <t>Day(s)</t>
        </is>
      </c>
      <c r="BI375"/>
      <c r="BJ375"/>
      <c r="BK375"/>
      <c r="BL375"/>
      <c r="BM375"/>
      <c r="BN375"/>
      <c r="BO375" t="inlineStr">
        <is>
          <t>--</t>
        </is>
      </c>
      <c r="BP375"/>
      <c r="BQ375"/>
      <c r="BR375"/>
      <c r="BS375"/>
      <c r="BT375"/>
      <c r="BU375"/>
      <c r="BV375"/>
      <c r="BW375"/>
      <c r="BX375"/>
      <c r="BY375"/>
      <c r="BZ375"/>
      <c r="CA375"/>
      <c r="CB375"/>
      <c r="CC375"/>
      <c r="CD375" t="inlineStr">
        <is>
          <t>Mortensen,A.S., R.J. Letcher, M.V. Cangialosi, S. Chu, and A. Arukwe</t>
        </is>
      </c>
      <c r="CE375" t="n">
        <v>175198.0</v>
      </c>
      <c r="CF375" t="inlineStr">
        <is>
          <t>Tissue Bioaccumulation Patterns, Xenobiotic Biotransformation and Steroid Hormone Levels in Atlantic Salmon (Salmo salar) Fed a Diet Containing Perfluorooctane Sulfonic or Perfluorooctane Carboxylic Acids</t>
        </is>
      </c>
      <c r="CG375" t="inlineStr">
        <is>
          <t>Chemosphere83(8): 1035-1044</t>
        </is>
      </c>
      <c r="CH375" t="n">
        <v>2011.0</v>
      </c>
      <c r="CI375"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76">
      <c r="A376" t="n">
        <v>4021470.0</v>
      </c>
      <c r="B376" t="inlineStr">
        <is>
          <t>1,1,2,2,3,3,4,4,5,5,6,6,7,7,8,8,8-Heptadecafluoro-1-octanesulfonic acid sodium salt (1:1)</t>
        </is>
      </c>
      <c r="C376" t="inlineStr">
        <is>
          <t>Technical grade, technical product, technical formulation</t>
        </is>
      </c>
      <c r="D376" t="inlineStr">
        <is>
          <t>Unmeasured</t>
        </is>
      </c>
      <c r="E376"/>
      <c r="F376"/>
      <c r="G376"/>
      <c r="H376"/>
      <c r="I376"/>
      <c r="J376"/>
      <c r="K376" t="inlineStr">
        <is>
          <t>Salmo salar</t>
        </is>
      </c>
      <c r="L376" t="inlineStr">
        <is>
          <t>Atlantic Salmon</t>
        </is>
      </c>
      <c r="M376" t="inlineStr">
        <is>
          <t>Fish; Standard Test Species; U.S. Threatened and Endangered Species</t>
        </is>
      </c>
      <c r="N376" t="inlineStr">
        <is>
          <t>Juvenile</t>
        </is>
      </c>
      <c r="O376"/>
      <c r="P376"/>
      <c r="Q376"/>
      <c r="R376"/>
      <c r="S376"/>
      <c r="T376"/>
      <c r="U376"/>
      <c r="V376" t="inlineStr">
        <is>
          <t>Gavage</t>
        </is>
      </c>
      <c r="W376" t="inlineStr">
        <is>
          <t>Fresh water</t>
        </is>
      </c>
      <c r="X376" t="inlineStr">
        <is>
          <t>Lab</t>
        </is>
      </c>
      <c r="Y376" t="n">
        <v>1.0</v>
      </c>
      <c r="Z376" t="inlineStr">
        <is>
          <t>Active ingredient</t>
        </is>
      </c>
      <c r="AA376"/>
      <c r="AB376" t="n">
        <v>0.2</v>
      </c>
      <c r="AC376"/>
      <c r="AD376"/>
      <c r="AE376"/>
      <c r="AF376"/>
      <c r="AG376" t="inlineStr">
        <is>
          <t>AI mg/kg bdwt</t>
        </is>
      </c>
      <c r="AH376"/>
      <c r="AI376"/>
      <c r="AJ376"/>
      <c r="AK376"/>
      <c r="AL376"/>
      <c r="AM376"/>
      <c r="AN376"/>
      <c r="AO376"/>
      <c r="AP376"/>
      <c r="AQ376"/>
      <c r="AR376"/>
      <c r="AS376"/>
      <c r="AT376"/>
      <c r="AU376"/>
      <c r="AV376"/>
      <c r="AW376"/>
      <c r="AX376" t="inlineStr">
        <is>
          <t>Accumulation</t>
        </is>
      </c>
      <c r="AY376" t="inlineStr">
        <is>
          <t>Residue</t>
        </is>
      </c>
      <c r="AZ376" t="inlineStr">
        <is>
          <t>LOEC</t>
        </is>
      </c>
      <c r="BA376" t="inlineStr">
        <is>
          <t>Liver</t>
        </is>
      </c>
      <c r="BB376"/>
      <c r="BC376" t="n">
        <v>5.0</v>
      </c>
      <c r="BD376"/>
      <c r="BE376"/>
      <c r="BF376"/>
      <c r="BG376"/>
      <c r="BH376" t="inlineStr">
        <is>
          <t>Day(s)</t>
        </is>
      </c>
      <c r="BI376"/>
      <c r="BJ376"/>
      <c r="BK376"/>
      <c r="BL376"/>
      <c r="BM376"/>
      <c r="BN376"/>
      <c r="BO376" t="inlineStr">
        <is>
          <t>--</t>
        </is>
      </c>
      <c r="BP376"/>
      <c r="BQ376"/>
      <c r="BR376"/>
      <c r="BS376"/>
      <c r="BT376"/>
      <c r="BU376"/>
      <c r="BV376"/>
      <c r="BW376"/>
      <c r="BX376"/>
      <c r="BY376"/>
      <c r="BZ376"/>
      <c r="CA376"/>
      <c r="CB376"/>
      <c r="CC376"/>
      <c r="CD376" t="inlineStr">
        <is>
          <t>Mortensen,A.S., R.J. Letcher, M.V. Cangialosi, S. Chu, and A. Arukwe</t>
        </is>
      </c>
      <c r="CE376" t="n">
        <v>175198.0</v>
      </c>
      <c r="CF376" t="inlineStr">
        <is>
          <t>Tissue Bioaccumulation Patterns, Xenobiotic Biotransformation and Steroid Hormone Levels in Atlantic Salmon (Salmo salar) Fed a Diet Containing Perfluorooctane Sulfonic or Perfluorooctane Carboxylic Acids</t>
        </is>
      </c>
      <c r="CG376" t="inlineStr">
        <is>
          <t>Chemosphere83(8): 1035-1044</t>
        </is>
      </c>
      <c r="CH376" t="n">
        <v>2011.0</v>
      </c>
      <c r="CI376"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77">
      <c r="A377" t="n">
        <v>4021470.0</v>
      </c>
      <c r="B377" t="inlineStr">
        <is>
          <t>1,1,2,2,3,3,4,4,5,5,6,6,7,7,8,8,8-Heptadecafluoro-1-octanesulfonic acid sodium salt (1:1)</t>
        </is>
      </c>
      <c r="C377" t="inlineStr">
        <is>
          <t>Technical grade, technical product, technical formulation</t>
        </is>
      </c>
      <c r="D377" t="inlineStr">
        <is>
          <t>Unmeasured</t>
        </is>
      </c>
      <c r="E377"/>
      <c r="F377"/>
      <c r="G377"/>
      <c r="H377"/>
      <c r="I377"/>
      <c r="J377"/>
      <c r="K377" t="inlineStr">
        <is>
          <t>Salmo salar</t>
        </is>
      </c>
      <c r="L377" t="inlineStr">
        <is>
          <t>Atlantic Salmon</t>
        </is>
      </c>
      <c r="M377" t="inlineStr">
        <is>
          <t>Fish; Standard Test Species; U.S. Threatened and Endangered Species</t>
        </is>
      </c>
      <c r="N377" t="inlineStr">
        <is>
          <t>Juvenile</t>
        </is>
      </c>
      <c r="O377"/>
      <c r="P377"/>
      <c r="Q377"/>
      <c r="R377"/>
      <c r="S377"/>
      <c r="T377"/>
      <c r="U377"/>
      <c r="V377" t="inlineStr">
        <is>
          <t>Gavage</t>
        </is>
      </c>
      <c r="W377" t="inlineStr">
        <is>
          <t>Fresh water</t>
        </is>
      </c>
      <c r="X377" t="inlineStr">
        <is>
          <t>Lab</t>
        </is>
      </c>
      <c r="Y377" t="n">
        <v>1.0</v>
      </c>
      <c r="Z377" t="inlineStr">
        <is>
          <t>Active ingredient</t>
        </is>
      </c>
      <c r="AA377"/>
      <c r="AB377" t="n">
        <v>0.2</v>
      </c>
      <c r="AC377"/>
      <c r="AD377"/>
      <c r="AE377"/>
      <c r="AF377"/>
      <c r="AG377" t="inlineStr">
        <is>
          <t>AI mg/kg bdwt</t>
        </is>
      </c>
      <c r="AH377"/>
      <c r="AI377"/>
      <c r="AJ377"/>
      <c r="AK377"/>
      <c r="AL377"/>
      <c r="AM377"/>
      <c r="AN377"/>
      <c r="AO377"/>
      <c r="AP377"/>
      <c r="AQ377"/>
      <c r="AR377"/>
      <c r="AS377"/>
      <c r="AT377"/>
      <c r="AU377"/>
      <c r="AV377"/>
      <c r="AW377"/>
      <c r="AX377" t="inlineStr">
        <is>
          <t>Accumulation</t>
        </is>
      </c>
      <c r="AY377" t="inlineStr">
        <is>
          <t>Residue</t>
        </is>
      </c>
      <c r="AZ377" t="inlineStr">
        <is>
          <t>LOEC</t>
        </is>
      </c>
      <c r="BA377" t="inlineStr">
        <is>
          <t>Blood</t>
        </is>
      </c>
      <c r="BB377"/>
      <c r="BC377" t="n">
        <v>2.0</v>
      </c>
      <c r="BD377"/>
      <c r="BE377"/>
      <c r="BF377"/>
      <c r="BG377"/>
      <c r="BH377" t="inlineStr">
        <is>
          <t>Day(s)</t>
        </is>
      </c>
      <c r="BI377"/>
      <c r="BJ377"/>
      <c r="BK377"/>
      <c r="BL377"/>
      <c r="BM377"/>
      <c r="BN377"/>
      <c r="BO377" t="inlineStr">
        <is>
          <t>--</t>
        </is>
      </c>
      <c r="BP377"/>
      <c r="BQ377"/>
      <c r="BR377"/>
      <c r="BS377"/>
      <c r="BT377"/>
      <c r="BU377"/>
      <c r="BV377"/>
      <c r="BW377"/>
      <c r="BX377"/>
      <c r="BY377"/>
      <c r="BZ377"/>
      <c r="CA377"/>
      <c r="CB377"/>
      <c r="CC377"/>
      <c r="CD377" t="inlineStr">
        <is>
          <t>Mortensen,A.S., R.J. Letcher, M.V. Cangialosi, S. Chu, and A. Arukwe</t>
        </is>
      </c>
      <c r="CE377" t="n">
        <v>175198.0</v>
      </c>
      <c r="CF377" t="inlineStr">
        <is>
          <t>Tissue Bioaccumulation Patterns, Xenobiotic Biotransformation and Steroid Hormone Levels in Atlantic Salmon (Salmo salar) Fed a Diet Containing Perfluorooctane Sulfonic or Perfluorooctane Carboxylic Acids</t>
        </is>
      </c>
      <c r="CG377" t="inlineStr">
        <is>
          <t>Chemosphere83(8): 1035-1044</t>
        </is>
      </c>
      <c r="CH377" t="n">
        <v>2011.0</v>
      </c>
      <c r="CI377"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78">
      <c r="A378" t="n">
        <v>4021470.0</v>
      </c>
      <c r="B378" t="inlineStr">
        <is>
          <t>1,1,2,2,3,3,4,4,5,5,6,6,7,7,8,8,8-Heptadecafluoro-1-octanesulfonic acid sodium salt (1:1)</t>
        </is>
      </c>
      <c r="C378" t="inlineStr">
        <is>
          <t>Technical grade, technical product, technical formulation</t>
        </is>
      </c>
      <c r="D378" t="inlineStr">
        <is>
          <t>Unmeasured</t>
        </is>
      </c>
      <c r="E378"/>
      <c r="F378"/>
      <c r="G378"/>
      <c r="H378"/>
      <c r="I378"/>
      <c r="J378"/>
      <c r="K378" t="inlineStr">
        <is>
          <t>Salmo salar</t>
        </is>
      </c>
      <c r="L378" t="inlineStr">
        <is>
          <t>Atlantic Salmon</t>
        </is>
      </c>
      <c r="M378" t="inlineStr">
        <is>
          <t>Fish; Standard Test Species; U.S. Threatened and Endangered Species</t>
        </is>
      </c>
      <c r="N378" t="inlineStr">
        <is>
          <t>Juvenile</t>
        </is>
      </c>
      <c r="O378"/>
      <c r="P378"/>
      <c r="Q378"/>
      <c r="R378"/>
      <c r="S378"/>
      <c r="T378"/>
      <c r="U378"/>
      <c r="V378" t="inlineStr">
        <is>
          <t>Gavage</t>
        </is>
      </c>
      <c r="W378" t="inlineStr">
        <is>
          <t>Fresh water</t>
        </is>
      </c>
      <c r="X378" t="inlineStr">
        <is>
          <t>Lab</t>
        </is>
      </c>
      <c r="Y378" t="n">
        <v>1.0</v>
      </c>
      <c r="Z378" t="inlineStr">
        <is>
          <t>Active ingredient</t>
        </is>
      </c>
      <c r="AA378"/>
      <c r="AB378" t="n">
        <v>0.2</v>
      </c>
      <c r="AC378"/>
      <c r="AD378"/>
      <c r="AE378"/>
      <c r="AF378"/>
      <c r="AG378" t="inlineStr">
        <is>
          <t>AI mg/kg bdwt</t>
        </is>
      </c>
      <c r="AH378"/>
      <c r="AI378"/>
      <c r="AJ378"/>
      <c r="AK378"/>
      <c r="AL378"/>
      <c r="AM378"/>
      <c r="AN378"/>
      <c r="AO378"/>
      <c r="AP378"/>
      <c r="AQ378"/>
      <c r="AR378"/>
      <c r="AS378"/>
      <c r="AT378"/>
      <c r="AU378"/>
      <c r="AV378"/>
      <c r="AW378"/>
      <c r="AX378" t="inlineStr">
        <is>
          <t>Accumulation</t>
        </is>
      </c>
      <c r="AY378" t="inlineStr">
        <is>
          <t>Residue</t>
        </is>
      </c>
      <c r="AZ378" t="inlineStr">
        <is>
          <t>LOEC</t>
        </is>
      </c>
      <c r="BA378" t="inlineStr">
        <is>
          <t>Liver</t>
        </is>
      </c>
      <c r="BB378"/>
      <c r="BC378" t="n">
        <v>8.0</v>
      </c>
      <c r="BD378"/>
      <c r="BE378"/>
      <c r="BF378"/>
      <c r="BG378"/>
      <c r="BH378" t="inlineStr">
        <is>
          <t>Day(s)</t>
        </is>
      </c>
      <c r="BI378"/>
      <c r="BJ378"/>
      <c r="BK378"/>
      <c r="BL378"/>
      <c r="BM378"/>
      <c r="BN378"/>
      <c r="BO378" t="inlineStr">
        <is>
          <t>--</t>
        </is>
      </c>
      <c r="BP378"/>
      <c r="BQ378"/>
      <c r="BR378"/>
      <c r="BS378"/>
      <c r="BT378"/>
      <c r="BU378"/>
      <c r="BV378"/>
      <c r="BW378"/>
      <c r="BX378"/>
      <c r="BY378"/>
      <c r="BZ378"/>
      <c r="CA378"/>
      <c r="CB378"/>
      <c r="CC378"/>
      <c r="CD378" t="inlineStr">
        <is>
          <t>Mortensen,A.S., R.J. Letcher, M.V. Cangialosi, S. Chu, and A. Arukwe</t>
        </is>
      </c>
      <c r="CE378" t="n">
        <v>175198.0</v>
      </c>
      <c r="CF378" t="inlineStr">
        <is>
          <t>Tissue Bioaccumulation Patterns, Xenobiotic Biotransformation and Steroid Hormone Levels in Atlantic Salmon (Salmo salar) Fed a Diet Containing Perfluorooctane Sulfonic or Perfluorooctane Carboxylic Acids</t>
        </is>
      </c>
      <c r="CG378" t="inlineStr">
        <is>
          <t>Chemosphere83(8): 1035-1044</t>
        </is>
      </c>
      <c r="CH378" t="n">
        <v>2011.0</v>
      </c>
      <c r="CI378"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79">
      <c r="A379" t="n">
        <v>4021470.0</v>
      </c>
      <c r="B379" t="inlineStr">
        <is>
          <t>1,1,2,2,3,3,4,4,5,5,6,6,7,7,8,8,8-Heptadecafluoro-1-octanesulfonic acid sodium salt (1:1)</t>
        </is>
      </c>
      <c r="C379" t="inlineStr">
        <is>
          <t>Technical grade, technical product, technical formulation</t>
        </is>
      </c>
      <c r="D379" t="inlineStr">
        <is>
          <t>Unmeasured</t>
        </is>
      </c>
      <c r="E379"/>
      <c r="F379"/>
      <c r="G379"/>
      <c r="H379"/>
      <c r="I379"/>
      <c r="J379"/>
      <c r="K379" t="inlineStr">
        <is>
          <t>Salmo salar</t>
        </is>
      </c>
      <c r="L379" t="inlineStr">
        <is>
          <t>Atlantic Salmon</t>
        </is>
      </c>
      <c r="M379" t="inlineStr">
        <is>
          <t>Fish; Standard Test Species; U.S. Threatened and Endangered Species</t>
        </is>
      </c>
      <c r="N379" t="inlineStr">
        <is>
          <t>Juvenile</t>
        </is>
      </c>
      <c r="O379"/>
      <c r="P379"/>
      <c r="Q379"/>
      <c r="R379"/>
      <c r="S379"/>
      <c r="T379"/>
      <c r="U379"/>
      <c r="V379" t="inlineStr">
        <is>
          <t>Gavage</t>
        </is>
      </c>
      <c r="W379" t="inlineStr">
        <is>
          <t>Fresh water</t>
        </is>
      </c>
      <c r="X379" t="inlineStr">
        <is>
          <t>Lab</t>
        </is>
      </c>
      <c r="Y379" t="n">
        <v>1.0</v>
      </c>
      <c r="Z379" t="inlineStr">
        <is>
          <t>Active ingredient</t>
        </is>
      </c>
      <c r="AA379"/>
      <c r="AB379" t="n">
        <v>0.2</v>
      </c>
      <c r="AC379"/>
      <c r="AD379"/>
      <c r="AE379"/>
      <c r="AF379"/>
      <c r="AG379" t="inlineStr">
        <is>
          <t>AI mg/kg bdwt</t>
        </is>
      </c>
      <c r="AH379"/>
      <c r="AI379"/>
      <c r="AJ379"/>
      <c r="AK379"/>
      <c r="AL379"/>
      <c r="AM379"/>
      <c r="AN379"/>
      <c r="AO379"/>
      <c r="AP379"/>
      <c r="AQ379"/>
      <c r="AR379"/>
      <c r="AS379"/>
      <c r="AT379"/>
      <c r="AU379"/>
      <c r="AV379"/>
      <c r="AW379"/>
      <c r="AX379" t="inlineStr">
        <is>
          <t>Accumulation</t>
        </is>
      </c>
      <c r="AY379" t="inlineStr">
        <is>
          <t>Residue</t>
        </is>
      </c>
      <c r="AZ379" t="inlineStr">
        <is>
          <t>LOEC</t>
        </is>
      </c>
      <c r="BA379" t="inlineStr">
        <is>
          <t>Blood</t>
        </is>
      </c>
      <c r="BB379"/>
      <c r="BC379" t="n">
        <v>14.0</v>
      </c>
      <c r="BD379"/>
      <c r="BE379"/>
      <c r="BF379"/>
      <c r="BG379"/>
      <c r="BH379" t="inlineStr">
        <is>
          <t>Day(s)</t>
        </is>
      </c>
      <c r="BI379"/>
      <c r="BJ379"/>
      <c r="BK379"/>
      <c r="BL379"/>
      <c r="BM379"/>
      <c r="BN379"/>
      <c r="BO379" t="inlineStr">
        <is>
          <t>--</t>
        </is>
      </c>
      <c r="BP379"/>
      <c r="BQ379"/>
      <c r="BR379"/>
      <c r="BS379"/>
      <c r="BT379"/>
      <c r="BU379"/>
      <c r="BV379"/>
      <c r="BW379"/>
      <c r="BX379"/>
      <c r="BY379"/>
      <c r="BZ379"/>
      <c r="CA379"/>
      <c r="CB379"/>
      <c r="CC379"/>
      <c r="CD379" t="inlineStr">
        <is>
          <t>Mortensen,A.S., R.J. Letcher, M.V. Cangialosi, S. Chu, and A. Arukwe</t>
        </is>
      </c>
      <c r="CE379" t="n">
        <v>175198.0</v>
      </c>
      <c r="CF379" t="inlineStr">
        <is>
          <t>Tissue Bioaccumulation Patterns, Xenobiotic Biotransformation and Steroid Hormone Levels in Atlantic Salmon (Salmo salar) Fed a Diet Containing Perfluorooctane Sulfonic or Perfluorooctane Carboxylic Acids</t>
        </is>
      </c>
      <c r="CG379" t="inlineStr">
        <is>
          <t>Chemosphere83(8): 1035-1044</t>
        </is>
      </c>
      <c r="CH379" t="n">
        <v>2011.0</v>
      </c>
      <c r="CI379"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80">
      <c r="A380" t="n">
        <v>4021470.0</v>
      </c>
      <c r="B380" t="inlineStr">
        <is>
          <t>1,1,2,2,3,3,4,4,5,5,6,6,7,7,8,8,8-Heptadecafluoro-1-octanesulfonic acid sodium salt (1:1)</t>
        </is>
      </c>
      <c r="C380" t="inlineStr">
        <is>
          <t>Technical grade, technical product, technical formulation</t>
        </is>
      </c>
      <c r="D380" t="inlineStr">
        <is>
          <t>Unmeasured</t>
        </is>
      </c>
      <c r="E380"/>
      <c r="F380"/>
      <c r="G380"/>
      <c r="H380"/>
      <c r="I380"/>
      <c r="J380"/>
      <c r="K380" t="inlineStr">
        <is>
          <t>Salmo salar</t>
        </is>
      </c>
      <c r="L380" t="inlineStr">
        <is>
          <t>Atlantic Salmon</t>
        </is>
      </c>
      <c r="M380" t="inlineStr">
        <is>
          <t>Fish; Standard Test Species; U.S. Threatened and Endangered Species</t>
        </is>
      </c>
      <c r="N380" t="inlineStr">
        <is>
          <t>Juvenile</t>
        </is>
      </c>
      <c r="O380"/>
      <c r="P380"/>
      <c r="Q380"/>
      <c r="R380"/>
      <c r="S380"/>
      <c r="T380"/>
      <c r="U380"/>
      <c r="V380" t="inlineStr">
        <is>
          <t>Gavage</t>
        </is>
      </c>
      <c r="W380" t="inlineStr">
        <is>
          <t>Fresh water</t>
        </is>
      </c>
      <c r="X380" t="inlineStr">
        <is>
          <t>Lab</t>
        </is>
      </c>
      <c r="Y380" t="n">
        <v>1.0</v>
      </c>
      <c r="Z380" t="inlineStr">
        <is>
          <t>Active ingredient</t>
        </is>
      </c>
      <c r="AA380"/>
      <c r="AB380" t="n">
        <v>0.2</v>
      </c>
      <c r="AC380"/>
      <c r="AD380"/>
      <c r="AE380"/>
      <c r="AF380"/>
      <c r="AG380" t="inlineStr">
        <is>
          <t>AI mg/kg bdwt</t>
        </is>
      </c>
      <c r="AH380"/>
      <c r="AI380"/>
      <c r="AJ380"/>
      <c r="AK380"/>
      <c r="AL380"/>
      <c r="AM380"/>
      <c r="AN380"/>
      <c r="AO380"/>
      <c r="AP380"/>
      <c r="AQ380"/>
      <c r="AR380"/>
      <c r="AS380"/>
      <c r="AT380"/>
      <c r="AU380"/>
      <c r="AV380"/>
      <c r="AW380"/>
      <c r="AX380" t="inlineStr">
        <is>
          <t>Accumulation</t>
        </is>
      </c>
      <c r="AY380" t="inlineStr">
        <is>
          <t>Residue</t>
        </is>
      </c>
      <c r="AZ380" t="inlineStr">
        <is>
          <t>LOEC</t>
        </is>
      </c>
      <c r="BA380" t="inlineStr">
        <is>
          <t>Kidney</t>
        </is>
      </c>
      <c r="BB380"/>
      <c r="BC380" t="n">
        <v>2.0</v>
      </c>
      <c r="BD380"/>
      <c r="BE380"/>
      <c r="BF380"/>
      <c r="BG380"/>
      <c r="BH380" t="inlineStr">
        <is>
          <t>Day(s)</t>
        </is>
      </c>
      <c r="BI380"/>
      <c r="BJ380"/>
      <c r="BK380"/>
      <c r="BL380"/>
      <c r="BM380"/>
      <c r="BN380"/>
      <c r="BO380" t="inlineStr">
        <is>
          <t>--</t>
        </is>
      </c>
      <c r="BP380"/>
      <c r="BQ380"/>
      <c r="BR380"/>
      <c r="BS380"/>
      <c r="BT380"/>
      <c r="BU380"/>
      <c r="BV380"/>
      <c r="BW380"/>
      <c r="BX380"/>
      <c r="BY380"/>
      <c r="BZ380"/>
      <c r="CA380"/>
      <c r="CB380"/>
      <c r="CC380"/>
      <c r="CD380" t="inlineStr">
        <is>
          <t>Mortensen,A.S., R.J. Letcher, M.V. Cangialosi, S. Chu, and A. Arukwe</t>
        </is>
      </c>
      <c r="CE380" t="n">
        <v>175198.0</v>
      </c>
      <c r="CF380" t="inlineStr">
        <is>
          <t>Tissue Bioaccumulation Patterns, Xenobiotic Biotransformation and Steroid Hormone Levels in Atlantic Salmon (Salmo salar) Fed a Diet Containing Perfluorooctane Sulfonic or Perfluorooctane Carboxylic Acids</t>
        </is>
      </c>
      <c r="CG380" t="inlineStr">
        <is>
          <t>Chemosphere83(8): 1035-1044</t>
        </is>
      </c>
      <c r="CH380" t="n">
        <v>2011.0</v>
      </c>
      <c r="CI380"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81">
      <c r="A381" t="n">
        <v>4021470.0</v>
      </c>
      <c r="B381" t="inlineStr">
        <is>
          <t>1,1,2,2,3,3,4,4,5,5,6,6,7,7,8,8,8-Heptadecafluoro-1-octanesulfonic acid sodium salt (1:1)</t>
        </is>
      </c>
      <c r="C381" t="inlineStr">
        <is>
          <t>Technical grade, technical product, technical formulation</t>
        </is>
      </c>
      <c r="D381" t="inlineStr">
        <is>
          <t>Unmeasured</t>
        </is>
      </c>
      <c r="E381"/>
      <c r="F381"/>
      <c r="G381"/>
      <c r="H381"/>
      <c r="I381"/>
      <c r="J381"/>
      <c r="K381" t="inlineStr">
        <is>
          <t>Salmo salar</t>
        </is>
      </c>
      <c r="L381" t="inlineStr">
        <is>
          <t>Atlantic Salmon</t>
        </is>
      </c>
      <c r="M381" t="inlineStr">
        <is>
          <t>Fish; Standard Test Species; U.S. Threatened and Endangered Species</t>
        </is>
      </c>
      <c r="N381" t="inlineStr">
        <is>
          <t>Juvenile</t>
        </is>
      </c>
      <c r="O381"/>
      <c r="P381"/>
      <c r="Q381"/>
      <c r="R381"/>
      <c r="S381"/>
      <c r="T381"/>
      <c r="U381"/>
      <c r="V381" t="inlineStr">
        <is>
          <t>Gavage</t>
        </is>
      </c>
      <c r="W381" t="inlineStr">
        <is>
          <t>Fresh water</t>
        </is>
      </c>
      <c r="X381" t="inlineStr">
        <is>
          <t>Lab</t>
        </is>
      </c>
      <c r="Y381" t="n">
        <v>1.0</v>
      </c>
      <c r="Z381" t="inlineStr">
        <is>
          <t>Active ingredient</t>
        </is>
      </c>
      <c r="AA381"/>
      <c r="AB381" t="n">
        <v>0.2</v>
      </c>
      <c r="AC381"/>
      <c r="AD381"/>
      <c r="AE381"/>
      <c r="AF381"/>
      <c r="AG381" t="inlineStr">
        <is>
          <t>AI mg/kg bdwt</t>
        </is>
      </c>
      <c r="AH381"/>
      <c r="AI381"/>
      <c r="AJ381"/>
      <c r="AK381"/>
      <c r="AL381"/>
      <c r="AM381"/>
      <c r="AN381"/>
      <c r="AO381"/>
      <c r="AP381"/>
      <c r="AQ381"/>
      <c r="AR381"/>
      <c r="AS381"/>
      <c r="AT381"/>
      <c r="AU381"/>
      <c r="AV381"/>
      <c r="AW381"/>
      <c r="AX381" t="inlineStr">
        <is>
          <t>Accumulation</t>
        </is>
      </c>
      <c r="AY381" t="inlineStr">
        <is>
          <t>Residue</t>
        </is>
      </c>
      <c r="AZ381" t="inlineStr">
        <is>
          <t>LOEC</t>
        </is>
      </c>
      <c r="BA381" t="inlineStr">
        <is>
          <t>Kidney</t>
        </is>
      </c>
      <c r="BB381"/>
      <c r="BC381" t="n">
        <v>14.0</v>
      </c>
      <c r="BD381"/>
      <c r="BE381"/>
      <c r="BF381"/>
      <c r="BG381"/>
      <c r="BH381" t="inlineStr">
        <is>
          <t>Day(s)</t>
        </is>
      </c>
      <c r="BI381"/>
      <c r="BJ381"/>
      <c r="BK381"/>
      <c r="BL381"/>
      <c r="BM381"/>
      <c r="BN381"/>
      <c r="BO381" t="inlineStr">
        <is>
          <t>--</t>
        </is>
      </c>
      <c r="BP381"/>
      <c r="BQ381"/>
      <c r="BR381"/>
      <c r="BS381"/>
      <c r="BT381"/>
      <c r="BU381"/>
      <c r="BV381"/>
      <c r="BW381"/>
      <c r="BX381"/>
      <c r="BY381"/>
      <c r="BZ381"/>
      <c r="CA381"/>
      <c r="CB381"/>
      <c r="CC381"/>
      <c r="CD381" t="inlineStr">
        <is>
          <t>Mortensen,A.S., R.J. Letcher, M.V. Cangialosi, S. Chu, and A. Arukwe</t>
        </is>
      </c>
      <c r="CE381" t="n">
        <v>175198.0</v>
      </c>
      <c r="CF381" t="inlineStr">
        <is>
          <t>Tissue Bioaccumulation Patterns, Xenobiotic Biotransformation and Steroid Hormone Levels in Atlantic Salmon (Salmo salar) Fed a Diet Containing Perfluorooctane Sulfonic or Perfluorooctane Carboxylic Acids</t>
        </is>
      </c>
      <c r="CG381" t="inlineStr">
        <is>
          <t>Chemosphere83(8): 1035-1044</t>
        </is>
      </c>
      <c r="CH381" t="n">
        <v>2011.0</v>
      </c>
      <c r="CI381"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82">
      <c r="A382" t="n">
        <v>4021470.0</v>
      </c>
      <c r="B382" t="inlineStr">
        <is>
          <t>1,1,2,2,3,3,4,4,5,5,6,6,7,7,8,8,8-Heptadecafluoro-1-octanesulfonic acid sodium salt (1:1)</t>
        </is>
      </c>
      <c r="C382" t="inlineStr">
        <is>
          <t>Technical grade, technical product, technical formulation</t>
        </is>
      </c>
      <c r="D382" t="inlineStr">
        <is>
          <t>Unmeasured</t>
        </is>
      </c>
      <c r="E382"/>
      <c r="F382"/>
      <c r="G382"/>
      <c r="H382"/>
      <c r="I382"/>
      <c r="J382"/>
      <c r="K382" t="inlineStr">
        <is>
          <t>Salmo salar</t>
        </is>
      </c>
      <c r="L382" t="inlineStr">
        <is>
          <t>Atlantic Salmon</t>
        </is>
      </c>
      <c r="M382" t="inlineStr">
        <is>
          <t>Fish; Standard Test Species; U.S. Threatened and Endangered Species</t>
        </is>
      </c>
      <c r="N382" t="inlineStr">
        <is>
          <t>Juvenile</t>
        </is>
      </c>
      <c r="O382"/>
      <c r="P382"/>
      <c r="Q382"/>
      <c r="R382"/>
      <c r="S382"/>
      <c r="T382"/>
      <c r="U382"/>
      <c r="V382" t="inlineStr">
        <is>
          <t>Gavage</t>
        </is>
      </c>
      <c r="W382" t="inlineStr">
        <is>
          <t>Fresh water</t>
        </is>
      </c>
      <c r="X382" t="inlineStr">
        <is>
          <t>Lab</t>
        </is>
      </c>
      <c r="Y382" t="n">
        <v>1.0</v>
      </c>
      <c r="Z382" t="inlineStr">
        <is>
          <t>Active ingredient</t>
        </is>
      </c>
      <c r="AA382"/>
      <c r="AB382" t="n">
        <v>0.2</v>
      </c>
      <c r="AC382"/>
      <c r="AD382"/>
      <c r="AE382"/>
      <c r="AF382"/>
      <c r="AG382" t="inlineStr">
        <is>
          <t>AI mg/kg bdwt</t>
        </is>
      </c>
      <c r="AH382"/>
      <c r="AI382"/>
      <c r="AJ382"/>
      <c r="AK382"/>
      <c r="AL382"/>
      <c r="AM382"/>
      <c r="AN382"/>
      <c r="AO382"/>
      <c r="AP382"/>
      <c r="AQ382"/>
      <c r="AR382"/>
      <c r="AS382"/>
      <c r="AT382"/>
      <c r="AU382"/>
      <c r="AV382"/>
      <c r="AW382"/>
      <c r="AX382" t="inlineStr">
        <is>
          <t>Accumulation</t>
        </is>
      </c>
      <c r="AY382" t="inlineStr">
        <is>
          <t>Residue</t>
        </is>
      </c>
      <c r="AZ382" t="inlineStr">
        <is>
          <t>LOEC</t>
        </is>
      </c>
      <c r="BA382" t="inlineStr">
        <is>
          <t>Liver</t>
        </is>
      </c>
      <c r="BB382"/>
      <c r="BC382" t="n">
        <v>14.0</v>
      </c>
      <c r="BD382"/>
      <c r="BE382"/>
      <c r="BF382"/>
      <c r="BG382"/>
      <c r="BH382" t="inlineStr">
        <is>
          <t>Day(s)</t>
        </is>
      </c>
      <c r="BI382"/>
      <c r="BJ382"/>
      <c r="BK382"/>
      <c r="BL382"/>
      <c r="BM382"/>
      <c r="BN382"/>
      <c r="BO382" t="inlineStr">
        <is>
          <t>--</t>
        </is>
      </c>
      <c r="BP382"/>
      <c r="BQ382"/>
      <c r="BR382"/>
      <c r="BS382"/>
      <c r="BT382"/>
      <c r="BU382"/>
      <c r="BV382"/>
      <c r="BW382"/>
      <c r="BX382"/>
      <c r="BY382"/>
      <c r="BZ382"/>
      <c r="CA382"/>
      <c r="CB382"/>
      <c r="CC382"/>
      <c r="CD382" t="inlineStr">
        <is>
          <t>Mortensen,A.S., R.J. Letcher, M.V. Cangialosi, S. Chu, and A. Arukwe</t>
        </is>
      </c>
      <c r="CE382" t="n">
        <v>175198.0</v>
      </c>
      <c r="CF382" t="inlineStr">
        <is>
          <t>Tissue Bioaccumulation Patterns, Xenobiotic Biotransformation and Steroid Hormone Levels in Atlantic Salmon (Salmo salar) Fed a Diet Containing Perfluorooctane Sulfonic or Perfluorooctane Carboxylic Acids</t>
        </is>
      </c>
      <c r="CG382" t="inlineStr">
        <is>
          <t>Chemosphere83(8): 1035-1044</t>
        </is>
      </c>
      <c r="CH382" t="n">
        <v>2011.0</v>
      </c>
      <c r="CI382"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83">
      <c r="A383" t="n">
        <v>4021470.0</v>
      </c>
      <c r="B383" t="inlineStr">
        <is>
          <t>1,1,2,2,3,3,4,4,5,5,6,6,7,7,8,8,8-Heptadecafluoro-1-octanesulfonic acid sodium salt (1:1)</t>
        </is>
      </c>
      <c r="C383" t="inlineStr">
        <is>
          <t>Technical grade, technical product, technical formulation</t>
        </is>
      </c>
      <c r="D383" t="inlineStr">
        <is>
          <t>Unmeasured</t>
        </is>
      </c>
      <c r="E383"/>
      <c r="F383"/>
      <c r="G383"/>
      <c r="H383"/>
      <c r="I383"/>
      <c r="J383"/>
      <c r="K383" t="inlineStr">
        <is>
          <t>Salmo salar</t>
        </is>
      </c>
      <c r="L383" t="inlineStr">
        <is>
          <t>Atlantic Salmon</t>
        </is>
      </c>
      <c r="M383" t="inlineStr">
        <is>
          <t>Fish; Standard Test Species; U.S. Threatened and Endangered Species</t>
        </is>
      </c>
      <c r="N383" t="inlineStr">
        <is>
          <t>Juvenile</t>
        </is>
      </c>
      <c r="O383"/>
      <c r="P383"/>
      <c r="Q383"/>
      <c r="R383"/>
      <c r="S383"/>
      <c r="T383"/>
      <c r="U383"/>
      <c r="V383" t="inlineStr">
        <is>
          <t>Gavage</t>
        </is>
      </c>
      <c r="W383" t="inlineStr">
        <is>
          <t>Fresh water</t>
        </is>
      </c>
      <c r="X383" t="inlineStr">
        <is>
          <t>Lab</t>
        </is>
      </c>
      <c r="Y383" t="n">
        <v>1.0</v>
      </c>
      <c r="Z383" t="inlineStr">
        <is>
          <t>Active ingredient</t>
        </is>
      </c>
      <c r="AA383"/>
      <c r="AB383" t="n">
        <v>0.2</v>
      </c>
      <c r="AC383"/>
      <c r="AD383"/>
      <c r="AE383"/>
      <c r="AF383"/>
      <c r="AG383" t="inlineStr">
        <is>
          <t>AI mg/kg bdwt</t>
        </is>
      </c>
      <c r="AH383"/>
      <c r="AI383"/>
      <c r="AJ383"/>
      <c r="AK383"/>
      <c r="AL383"/>
      <c r="AM383"/>
      <c r="AN383"/>
      <c r="AO383"/>
      <c r="AP383"/>
      <c r="AQ383"/>
      <c r="AR383"/>
      <c r="AS383"/>
      <c r="AT383"/>
      <c r="AU383"/>
      <c r="AV383"/>
      <c r="AW383"/>
      <c r="AX383" t="inlineStr">
        <is>
          <t>Accumulation</t>
        </is>
      </c>
      <c r="AY383" t="inlineStr">
        <is>
          <t>Residue</t>
        </is>
      </c>
      <c r="AZ383" t="inlineStr">
        <is>
          <t>LOEC</t>
        </is>
      </c>
      <c r="BA383" t="inlineStr">
        <is>
          <t>Kidney</t>
        </is>
      </c>
      <c r="BB383"/>
      <c r="BC383" t="n">
        <v>5.0</v>
      </c>
      <c r="BD383"/>
      <c r="BE383"/>
      <c r="BF383"/>
      <c r="BG383"/>
      <c r="BH383" t="inlineStr">
        <is>
          <t>Day(s)</t>
        </is>
      </c>
      <c r="BI383"/>
      <c r="BJ383"/>
      <c r="BK383"/>
      <c r="BL383"/>
      <c r="BM383"/>
      <c r="BN383"/>
      <c r="BO383" t="inlineStr">
        <is>
          <t>--</t>
        </is>
      </c>
      <c r="BP383"/>
      <c r="BQ383"/>
      <c r="BR383"/>
      <c r="BS383"/>
      <c r="BT383"/>
      <c r="BU383"/>
      <c r="BV383"/>
      <c r="BW383"/>
      <c r="BX383"/>
      <c r="BY383"/>
      <c r="BZ383"/>
      <c r="CA383"/>
      <c r="CB383"/>
      <c r="CC383"/>
      <c r="CD383" t="inlineStr">
        <is>
          <t>Mortensen,A.S., R.J. Letcher, M.V. Cangialosi, S. Chu, and A. Arukwe</t>
        </is>
      </c>
      <c r="CE383" t="n">
        <v>175198.0</v>
      </c>
      <c r="CF383" t="inlineStr">
        <is>
          <t>Tissue Bioaccumulation Patterns, Xenobiotic Biotransformation and Steroid Hormone Levels in Atlantic Salmon (Salmo salar) Fed a Diet Containing Perfluorooctane Sulfonic or Perfluorooctane Carboxylic Acids</t>
        </is>
      </c>
      <c r="CG383" t="inlineStr">
        <is>
          <t>Chemosphere83(8): 1035-1044</t>
        </is>
      </c>
      <c r="CH383" t="n">
        <v>2011.0</v>
      </c>
      <c r="CI383"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84">
      <c r="A384" t="n">
        <v>4021470.0</v>
      </c>
      <c r="B384" t="inlineStr">
        <is>
          <t>1,1,2,2,3,3,4,4,5,5,6,6,7,7,8,8,8-Heptadecafluoro-1-octanesulfonic acid sodium salt (1:1)</t>
        </is>
      </c>
      <c r="C384" t="inlineStr">
        <is>
          <t>Technical grade, technical product, technical formulation</t>
        </is>
      </c>
      <c r="D384" t="inlineStr">
        <is>
          <t>Unmeasured</t>
        </is>
      </c>
      <c r="E384"/>
      <c r="F384"/>
      <c r="G384"/>
      <c r="H384"/>
      <c r="I384"/>
      <c r="J384"/>
      <c r="K384" t="inlineStr">
        <is>
          <t>Salmo salar</t>
        </is>
      </c>
      <c r="L384" t="inlineStr">
        <is>
          <t>Atlantic Salmon</t>
        </is>
      </c>
      <c r="M384" t="inlineStr">
        <is>
          <t>Fish; Standard Test Species; U.S. Threatened and Endangered Species</t>
        </is>
      </c>
      <c r="N384" t="inlineStr">
        <is>
          <t>Juvenile</t>
        </is>
      </c>
      <c r="O384"/>
      <c r="P384"/>
      <c r="Q384"/>
      <c r="R384"/>
      <c r="S384"/>
      <c r="T384"/>
      <c r="U384"/>
      <c r="V384" t="inlineStr">
        <is>
          <t>Gavage</t>
        </is>
      </c>
      <c r="W384" t="inlineStr">
        <is>
          <t>Fresh water</t>
        </is>
      </c>
      <c r="X384" t="inlineStr">
        <is>
          <t>Lab</t>
        </is>
      </c>
      <c r="Y384" t="n">
        <v>1.0</v>
      </c>
      <c r="Z384" t="inlineStr">
        <is>
          <t>Active ingredient</t>
        </is>
      </c>
      <c r="AA384"/>
      <c r="AB384" t="n">
        <v>0.2</v>
      </c>
      <c r="AC384"/>
      <c r="AD384"/>
      <c r="AE384"/>
      <c r="AF384"/>
      <c r="AG384" t="inlineStr">
        <is>
          <t>AI mg/kg bdwt</t>
        </is>
      </c>
      <c r="AH384"/>
      <c r="AI384"/>
      <c r="AJ384"/>
      <c r="AK384"/>
      <c r="AL384"/>
      <c r="AM384"/>
      <c r="AN384"/>
      <c r="AO384"/>
      <c r="AP384"/>
      <c r="AQ384"/>
      <c r="AR384"/>
      <c r="AS384"/>
      <c r="AT384"/>
      <c r="AU384"/>
      <c r="AV384"/>
      <c r="AW384"/>
      <c r="AX384" t="inlineStr">
        <is>
          <t>Accumulation</t>
        </is>
      </c>
      <c r="AY384" t="inlineStr">
        <is>
          <t>Residue</t>
        </is>
      </c>
      <c r="AZ384" t="inlineStr">
        <is>
          <t>LOEC</t>
        </is>
      </c>
      <c r="BA384" t="inlineStr">
        <is>
          <t>Blood</t>
        </is>
      </c>
      <c r="BB384"/>
      <c r="BC384" t="n">
        <v>8.0</v>
      </c>
      <c r="BD384"/>
      <c r="BE384"/>
      <c r="BF384"/>
      <c r="BG384"/>
      <c r="BH384" t="inlineStr">
        <is>
          <t>Day(s)</t>
        </is>
      </c>
      <c r="BI384"/>
      <c r="BJ384"/>
      <c r="BK384"/>
      <c r="BL384"/>
      <c r="BM384"/>
      <c r="BN384"/>
      <c r="BO384" t="inlineStr">
        <is>
          <t>--</t>
        </is>
      </c>
      <c r="BP384"/>
      <c r="BQ384"/>
      <c r="BR384"/>
      <c r="BS384"/>
      <c r="BT384"/>
      <c r="BU384"/>
      <c r="BV384"/>
      <c r="BW384"/>
      <c r="BX384"/>
      <c r="BY384"/>
      <c r="BZ384"/>
      <c r="CA384"/>
      <c r="CB384"/>
      <c r="CC384"/>
      <c r="CD384" t="inlineStr">
        <is>
          <t>Mortensen,A.S., R.J. Letcher, M.V. Cangialosi, S. Chu, and A. Arukwe</t>
        </is>
      </c>
      <c r="CE384" t="n">
        <v>175198.0</v>
      </c>
      <c r="CF384" t="inlineStr">
        <is>
          <t>Tissue Bioaccumulation Patterns, Xenobiotic Biotransformation and Steroid Hormone Levels in Atlantic Salmon (Salmo salar) Fed a Diet Containing Perfluorooctane Sulfonic or Perfluorooctane Carboxylic Acids</t>
        </is>
      </c>
      <c r="CG384" t="inlineStr">
        <is>
          <t>Chemosphere83(8): 1035-1044</t>
        </is>
      </c>
      <c r="CH384" t="n">
        <v>2011.0</v>
      </c>
      <c r="CI384"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85">
      <c r="A385" t="n">
        <v>4021470.0</v>
      </c>
      <c r="B385" t="inlineStr">
        <is>
          <t>1,1,2,2,3,3,4,4,5,5,6,6,7,7,8,8,8-Heptadecafluoro-1-octanesulfonic acid sodium salt (1:1)</t>
        </is>
      </c>
      <c r="C385" t="inlineStr">
        <is>
          <t>Technical grade, technical product, technical formulation</t>
        </is>
      </c>
      <c r="D385" t="inlineStr">
        <is>
          <t>Unmeasured</t>
        </is>
      </c>
      <c r="E385"/>
      <c r="F385"/>
      <c r="G385"/>
      <c r="H385"/>
      <c r="I385"/>
      <c r="J385"/>
      <c r="K385" t="inlineStr">
        <is>
          <t>Salmo salar</t>
        </is>
      </c>
      <c r="L385" t="inlineStr">
        <is>
          <t>Atlantic Salmon</t>
        </is>
      </c>
      <c r="M385" t="inlineStr">
        <is>
          <t>Fish; Standard Test Species; U.S. Threatened and Endangered Species</t>
        </is>
      </c>
      <c r="N385" t="inlineStr">
        <is>
          <t>Juvenile</t>
        </is>
      </c>
      <c r="O385"/>
      <c r="P385"/>
      <c r="Q385"/>
      <c r="R385"/>
      <c r="S385"/>
      <c r="T385"/>
      <c r="U385"/>
      <c r="V385" t="inlineStr">
        <is>
          <t>Gavage</t>
        </is>
      </c>
      <c r="W385" t="inlineStr">
        <is>
          <t>Fresh water</t>
        </is>
      </c>
      <c r="X385" t="inlineStr">
        <is>
          <t>Lab</t>
        </is>
      </c>
      <c r="Y385" t="n">
        <v>1.0</v>
      </c>
      <c r="Z385" t="inlineStr">
        <is>
          <t>Active ingredient</t>
        </is>
      </c>
      <c r="AA385"/>
      <c r="AB385" t="n">
        <v>0.2</v>
      </c>
      <c r="AC385"/>
      <c r="AD385"/>
      <c r="AE385"/>
      <c r="AF385"/>
      <c r="AG385" t="inlineStr">
        <is>
          <t>AI mg/kg bdwt</t>
        </is>
      </c>
      <c r="AH385"/>
      <c r="AI385"/>
      <c r="AJ385"/>
      <c r="AK385"/>
      <c r="AL385"/>
      <c r="AM385"/>
      <c r="AN385"/>
      <c r="AO385"/>
      <c r="AP385"/>
      <c r="AQ385"/>
      <c r="AR385"/>
      <c r="AS385"/>
      <c r="AT385"/>
      <c r="AU385"/>
      <c r="AV385"/>
      <c r="AW385"/>
      <c r="AX385" t="inlineStr">
        <is>
          <t>Accumulation</t>
        </is>
      </c>
      <c r="AY385" t="inlineStr">
        <is>
          <t>Residue</t>
        </is>
      </c>
      <c r="AZ385" t="inlineStr">
        <is>
          <t>LOEC</t>
        </is>
      </c>
      <c r="BA385" t="inlineStr">
        <is>
          <t>Kidney</t>
        </is>
      </c>
      <c r="BB385"/>
      <c r="BC385" t="n">
        <v>8.0</v>
      </c>
      <c r="BD385"/>
      <c r="BE385"/>
      <c r="BF385"/>
      <c r="BG385"/>
      <c r="BH385" t="inlineStr">
        <is>
          <t>Day(s)</t>
        </is>
      </c>
      <c r="BI385"/>
      <c r="BJ385"/>
      <c r="BK385"/>
      <c r="BL385"/>
      <c r="BM385"/>
      <c r="BN385"/>
      <c r="BO385" t="inlineStr">
        <is>
          <t>--</t>
        </is>
      </c>
      <c r="BP385"/>
      <c r="BQ385"/>
      <c r="BR385"/>
      <c r="BS385"/>
      <c r="BT385"/>
      <c r="BU385"/>
      <c r="BV385"/>
      <c r="BW385"/>
      <c r="BX385"/>
      <c r="BY385"/>
      <c r="BZ385"/>
      <c r="CA385"/>
      <c r="CB385"/>
      <c r="CC385"/>
      <c r="CD385" t="inlineStr">
        <is>
          <t>Mortensen,A.S., R.J. Letcher, M.V. Cangialosi, S. Chu, and A. Arukwe</t>
        </is>
      </c>
      <c r="CE385" t="n">
        <v>175198.0</v>
      </c>
      <c r="CF385" t="inlineStr">
        <is>
          <t>Tissue Bioaccumulation Patterns, Xenobiotic Biotransformation and Steroid Hormone Levels in Atlantic Salmon (Salmo salar) Fed a Diet Containing Perfluorooctane Sulfonic or Perfluorooctane Carboxylic Acids</t>
        </is>
      </c>
      <c r="CG385" t="inlineStr">
        <is>
          <t>Chemosphere83(8): 1035-1044</t>
        </is>
      </c>
      <c r="CH385" t="n">
        <v>2011.0</v>
      </c>
      <c r="CI385"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row>
    <row r="386">
      <c r="A386" t="n">
        <v>4021470.0</v>
      </c>
      <c r="B386" t="inlineStr">
        <is>
          <t>1,1,2,2,3,3,4,4,5,5,6,6,7,7,8,8,8-Heptadecafluoro-1-octanesulfonic acid sodium salt (1:1)</t>
        </is>
      </c>
      <c r="C386" t="inlineStr">
        <is>
          <t>Technical grade, technical product, technical formulation</t>
        </is>
      </c>
      <c r="D386" t="inlineStr">
        <is>
          <t>Unmeasured</t>
        </is>
      </c>
      <c r="E386"/>
      <c r="F386"/>
      <c r="G386"/>
      <c r="H386"/>
      <c r="I386"/>
      <c r="J386"/>
      <c r="K386" t="inlineStr">
        <is>
          <t>Salmo salar</t>
        </is>
      </c>
      <c r="L386" t="inlineStr">
        <is>
          <t>Atlantic Salmon</t>
        </is>
      </c>
      <c r="M386" t="inlineStr">
        <is>
          <t>Fish; Standard Test Species; U.S. Threatened and Endangered Species</t>
        </is>
      </c>
      <c r="N386" t="inlineStr">
        <is>
          <t>Embryo</t>
        </is>
      </c>
      <c r="O386"/>
      <c r="P386"/>
      <c r="Q386"/>
      <c r="R386"/>
      <c r="S386"/>
      <c r="T386"/>
      <c r="U386"/>
      <c r="V386" t="inlineStr">
        <is>
          <t>Renewal</t>
        </is>
      </c>
      <c r="W386" t="inlineStr">
        <is>
          <t>Fresh water</t>
        </is>
      </c>
      <c r="X386" t="inlineStr">
        <is>
          <t>Lab</t>
        </is>
      </c>
      <c r="Y386" t="n">
        <v>2.0</v>
      </c>
      <c r="Z386" t="inlineStr">
        <is>
          <t>Active ingredient</t>
        </is>
      </c>
      <c r="AA386"/>
      <c r="AB386" t="n">
        <v>0.1</v>
      </c>
      <c r="AC386"/>
      <c r="AD386"/>
      <c r="AE386"/>
      <c r="AF386"/>
      <c r="AG386" t="inlineStr">
        <is>
          <t>AI mg/L</t>
        </is>
      </c>
      <c r="AH386"/>
      <c r="AI386"/>
      <c r="AJ386"/>
      <c r="AK386"/>
      <c r="AL386"/>
      <c r="AM386"/>
      <c r="AN386"/>
      <c r="AO386"/>
      <c r="AP386"/>
      <c r="AQ386"/>
      <c r="AR386"/>
      <c r="AS386"/>
      <c r="AT386"/>
      <c r="AU386"/>
      <c r="AV386"/>
      <c r="AW386"/>
      <c r="AX386" t="inlineStr">
        <is>
          <t>Accumulation</t>
        </is>
      </c>
      <c r="AY386" t="inlineStr">
        <is>
          <t>Residue</t>
        </is>
      </c>
      <c r="AZ386" t="inlineStr">
        <is>
          <t>LOEC</t>
        </is>
      </c>
      <c r="BA386" t="inlineStr">
        <is>
          <t>Whole organism</t>
        </is>
      </c>
      <c r="BB386"/>
      <c r="BC386" t="n">
        <v>42.0</v>
      </c>
      <c r="BD386"/>
      <c r="BE386"/>
      <c r="BF386"/>
      <c r="BG386"/>
      <c r="BH386" t="inlineStr">
        <is>
          <t>Day(s)</t>
        </is>
      </c>
      <c r="BI386"/>
      <c r="BJ386"/>
      <c r="BK386"/>
      <c r="BL386"/>
      <c r="BM386"/>
      <c r="BN386"/>
      <c r="BO386" t="inlineStr">
        <is>
          <t>--</t>
        </is>
      </c>
      <c r="BP386"/>
      <c r="BQ386"/>
      <c r="BR386"/>
      <c r="BS386"/>
      <c r="BT386"/>
      <c r="BU386"/>
      <c r="BV386"/>
      <c r="BW386"/>
      <c r="BX386"/>
      <c r="BY386"/>
      <c r="BZ386"/>
      <c r="CA386"/>
      <c r="CB386"/>
      <c r="CC386"/>
      <c r="CD386" t="inlineStr">
        <is>
          <t>Arukwe,A., M.V. Cangialosi, R.J. Letcher, E. Rocha, and A.S. Mortensen</t>
        </is>
      </c>
      <c r="CE386" t="n">
        <v>166317.0</v>
      </c>
      <c r="CF386" t="inlineStr">
        <is>
          <t>Changes in Morphometry and Association Between Whole-Body Fatty Acids and Steroid Hormone Profiles in Relation to Bioaccumulation Patterns in Salmon Larvae Exposed to Perfluorooctane Sulfonic or Perfluorooctane Carboxyl</t>
        </is>
      </c>
      <c r="CG386" t="inlineStr">
        <is>
          <t>Aquat. Toxicol.130/131:219-230</t>
        </is>
      </c>
      <c r="CH386" t="n">
        <v>2013.0</v>
      </c>
      <c r="CI386"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387">
      <c r="A387" t="n">
        <v>4021470.0</v>
      </c>
      <c r="B387" t="inlineStr">
        <is>
          <t>1,1,2,2,3,3,4,4,5,5,6,6,7,7,8,8,8-Heptadecafluoro-1-octanesulfonic acid sodium salt (1:1)</t>
        </is>
      </c>
      <c r="C387" t="inlineStr">
        <is>
          <t>Technical grade, technical product, technical formulation</t>
        </is>
      </c>
      <c r="D387" t="inlineStr">
        <is>
          <t>Unmeasured</t>
        </is>
      </c>
      <c r="E387"/>
      <c r="F387"/>
      <c r="G387"/>
      <c r="H387"/>
      <c r="I387"/>
      <c r="J387"/>
      <c r="K387" t="inlineStr">
        <is>
          <t>Salmo salar</t>
        </is>
      </c>
      <c r="L387" t="inlineStr">
        <is>
          <t>Atlantic Salmon</t>
        </is>
      </c>
      <c r="M387" t="inlineStr">
        <is>
          <t>Fish; Standard Test Species; U.S. Threatened and Endangered Species</t>
        </is>
      </c>
      <c r="N387" t="inlineStr">
        <is>
          <t>Embryo</t>
        </is>
      </c>
      <c r="O387"/>
      <c r="P387"/>
      <c r="Q387"/>
      <c r="R387"/>
      <c r="S387"/>
      <c r="T387"/>
      <c r="U387"/>
      <c r="V387" t="inlineStr">
        <is>
          <t>Renewal</t>
        </is>
      </c>
      <c r="W387" t="inlineStr">
        <is>
          <t>Fresh water</t>
        </is>
      </c>
      <c r="X387" t="inlineStr">
        <is>
          <t>Lab</t>
        </is>
      </c>
      <c r="Y387" t="n">
        <v>2.0</v>
      </c>
      <c r="Z387" t="inlineStr">
        <is>
          <t>Active ingredient</t>
        </is>
      </c>
      <c r="AA387"/>
      <c r="AB387" t="n">
        <v>0.1</v>
      </c>
      <c r="AC387"/>
      <c r="AD387"/>
      <c r="AE387"/>
      <c r="AF387"/>
      <c r="AG387" t="inlineStr">
        <is>
          <t>AI mg/L</t>
        </is>
      </c>
      <c r="AH387"/>
      <c r="AI387"/>
      <c r="AJ387"/>
      <c r="AK387"/>
      <c r="AL387"/>
      <c r="AM387"/>
      <c r="AN387"/>
      <c r="AO387"/>
      <c r="AP387"/>
      <c r="AQ387"/>
      <c r="AR387"/>
      <c r="AS387"/>
      <c r="AT387"/>
      <c r="AU387"/>
      <c r="AV387"/>
      <c r="AW387"/>
      <c r="AX387" t="inlineStr">
        <is>
          <t>Accumulation</t>
        </is>
      </c>
      <c r="AY387" t="inlineStr">
        <is>
          <t>Residue</t>
        </is>
      </c>
      <c r="AZ387" t="inlineStr">
        <is>
          <t>LOEC</t>
        </is>
      </c>
      <c r="BA387" t="inlineStr">
        <is>
          <t>Whole organism</t>
        </is>
      </c>
      <c r="BB387"/>
      <c r="BC387" t="n">
        <v>14.0</v>
      </c>
      <c r="BD387"/>
      <c r="BE387"/>
      <c r="BF387"/>
      <c r="BG387"/>
      <c r="BH387" t="inlineStr">
        <is>
          <t>Day(s)</t>
        </is>
      </c>
      <c r="BI387"/>
      <c r="BJ387"/>
      <c r="BK387"/>
      <c r="BL387"/>
      <c r="BM387"/>
      <c r="BN387"/>
      <c r="BO387" t="inlineStr">
        <is>
          <t>--</t>
        </is>
      </c>
      <c r="BP387"/>
      <c r="BQ387"/>
      <c r="BR387"/>
      <c r="BS387"/>
      <c r="BT387"/>
      <c r="BU387"/>
      <c r="BV387"/>
      <c r="BW387"/>
      <c r="BX387"/>
      <c r="BY387"/>
      <c r="BZ387"/>
      <c r="CA387"/>
      <c r="CB387"/>
      <c r="CC387"/>
      <c r="CD387" t="inlineStr">
        <is>
          <t>Arukwe,A., M.V. Cangialosi, R.J. Letcher, E. Rocha, and A.S. Mortensen</t>
        </is>
      </c>
      <c r="CE387" t="n">
        <v>166317.0</v>
      </c>
      <c r="CF387" t="inlineStr">
        <is>
          <t>Changes in Morphometry and Association Between Whole-Body Fatty Acids and Steroid Hormone Profiles in Relation to Bioaccumulation Patterns in Salmon Larvae Exposed to Perfluorooctane Sulfonic or Perfluorooctane Carboxyl</t>
        </is>
      </c>
      <c r="CG387" t="inlineStr">
        <is>
          <t>Aquat. Toxicol.130/131:219-230</t>
        </is>
      </c>
      <c r="CH387" t="n">
        <v>2013.0</v>
      </c>
      <c r="CI387"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388">
      <c r="A388" t="n">
        <v>4021470.0</v>
      </c>
      <c r="B388" t="inlineStr">
        <is>
          <t>1,1,2,2,3,3,4,4,5,5,6,6,7,7,8,8,8-Heptadecafluoro-1-octanesulfonic acid sodium salt (1:1)</t>
        </is>
      </c>
      <c r="C388" t="inlineStr">
        <is>
          <t>Technical grade, technical product, technical formulation</t>
        </is>
      </c>
      <c r="D388" t="inlineStr">
        <is>
          <t>Unmeasured</t>
        </is>
      </c>
      <c r="E388"/>
      <c r="F388"/>
      <c r="G388"/>
      <c r="H388"/>
      <c r="I388"/>
      <c r="J388"/>
      <c r="K388" t="inlineStr">
        <is>
          <t>Salmo salar</t>
        </is>
      </c>
      <c r="L388" t="inlineStr">
        <is>
          <t>Atlantic Salmon</t>
        </is>
      </c>
      <c r="M388" t="inlineStr">
        <is>
          <t>Fish; Standard Test Species; U.S. Threatened and Endangered Species</t>
        </is>
      </c>
      <c r="N388" t="inlineStr">
        <is>
          <t>Embryo</t>
        </is>
      </c>
      <c r="O388"/>
      <c r="P388"/>
      <c r="Q388"/>
      <c r="R388"/>
      <c r="S388"/>
      <c r="T388"/>
      <c r="U388"/>
      <c r="V388" t="inlineStr">
        <is>
          <t>Renewal</t>
        </is>
      </c>
      <c r="W388" t="inlineStr">
        <is>
          <t>Fresh water</t>
        </is>
      </c>
      <c r="X388" t="inlineStr">
        <is>
          <t>Lab</t>
        </is>
      </c>
      <c r="Y388" t="n">
        <v>2.0</v>
      </c>
      <c r="Z388" t="inlineStr">
        <is>
          <t>Active ingredient</t>
        </is>
      </c>
      <c r="AA388"/>
      <c r="AB388" t="n">
        <v>0.1</v>
      </c>
      <c r="AC388"/>
      <c r="AD388"/>
      <c r="AE388"/>
      <c r="AF388"/>
      <c r="AG388" t="inlineStr">
        <is>
          <t>AI mg/L</t>
        </is>
      </c>
      <c r="AH388"/>
      <c r="AI388"/>
      <c r="AJ388"/>
      <c r="AK388"/>
      <c r="AL388"/>
      <c r="AM388"/>
      <c r="AN388"/>
      <c r="AO388"/>
      <c r="AP388"/>
      <c r="AQ388"/>
      <c r="AR388"/>
      <c r="AS388"/>
      <c r="AT388"/>
      <c r="AU388"/>
      <c r="AV388"/>
      <c r="AW388"/>
      <c r="AX388" t="inlineStr">
        <is>
          <t>Accumulation</t>
        </is>
      </c>
      <c r="AY388" t="inlineStr">
        <is>
          <t>Residue</t>
        </is>
      </c>
      <c r="AZ388" t="inlineStr">
        <is>
          <t>LOEC</t>
        </is>
      </c>
      <c r="BA388" t="inlineStr">
        <is>
          <t>Whole organism</t>
        </is>
      </c>
      <c r="BB388"/>
      <c r="BC388" t="n">
        <v>49.0</v>
      </c>
      <c r="BD388"/>
      <c r="BE388"/>
      <c r="BF388"/>
      <c r="BG388"/>
      <c r="BH388" t="inlineStr">
        <is>
          <t>Day(s)</t>
        </is>
      </c>
      <c r="BI388"/>
      <c r="BJ388"/>
      <c r="BK388"/>
      <c r="BL388"/>
      <c r="BM388"/>
      <c r="BN388"/>
      <c r="BO388" t="inlineStr">
        <is>
          <t>--</t>
        </is>
      </c>
      <c r="BP388"/>
      <c r="BQ388"/>
      <c r="BR388"/>
      <c r="BS388"/>
      <c r="BT388"/>
      <c r="BU388"/>
      <c r="BV388"/>
      <c r="BW388"/>
      <c r="BX388"/>
      <c r="BY388"/>
      <c r="BZ388"/>
      <c r="CA388"/>
      <c r="CB388"/>
      <c r="CC388"/>
      <c r="CD388" t="inlineStr">
        <is>
          <t>Arukwe,A., M.V. Cangialosi, R.J. Letcher, E. Rocha, and A.S. Mortensen</t>
        </is>
      </c>
      <c r="CE388" t="n">
        <v>166317.0</v>
      </c>
      <c r="CF388" t="inlineStr">
        <is>
          <t>Changes in Morphometry and Association Between Whole-Body Fatty Acids and Steroid Hormone Profiles in Relation to Bioaccumulation Patterns in Salmon Larvae Exposed to Perfluorooctane Sulfonic or Perfluorooctane Carboxyl</t>
        </is>
      </c>
      <c r="CG388" t="inlineStr">
        <is>
          <t>Aquat. Toxicol.130/131:219-230</t>
        </is>
      </c>
      <c r="CH388" t="n">
        <v>2013.0</v>
      </c>
      <c r="CI388"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389">
      <c r="A389" t="n">
        <v>4021470.0</v>
      </c>
      <c r="B389" t="inlineStr">
        <is>
          <t>1,1,2,2,3,3,4,4,5,5,6,6,7,7,8,8,8-Heptadecafluoro-1-octanesulfonic acid sodium salt (1:1)</t>
        </is>
      </c>
      <c r="C389" t="inlineStr">
        <is>
          <t>Technical grade, technical product, technical formulation</t>
        </is>
      </c>
      <c r="D389" t="inlineStr">
        <is>
          <t>Unmeasured</t>
        </is>
      </c>
      <c r="E389"/>
      <c r="F389"/>
      <c r="G389"/>
      <c r="H389"/>
      <c r="I389"/>
      <c r="J389"/>
      <c r="K389" t="inlineStr">
        <is>
          <t>Salmo salar</t>
        </is>
      </c>
      <c r="L389" t="inlineStr">
        <is>
          <t>Atlantic Salmon</t>
        </is>
      </c>
      <c r="M389" t="inlineStr">
        <is>
          <t>Fish; Standard Test Species; U.S. Threatened and Endangered Species</t>
        </is>
      </c>
      <c r="N389" t="inlineStr">
        <is>
          <t>Embryo</t>
        </is>
      </c>
      <c r="O389"/>
      <c r="P389"/>
      <c r="Q389"/>
      <c r="R389"/>
      <c r="S389"/>
      <c r="T389"/>
      <c r="U389"/>
      <c r="V389" t="inlineStr">
        <is>
          <t>Renewal</t>
        </is>
      </c>
      <c r="W389" t="inlineStr">
        <is>
          <t>Fresh water</t>
        </is>
      </c>
      <c r="X389" t="inlineStr">
        <is>
          <t>Lab</t>
        </is>
      </c>
      <c r="Y389" t="n">
        <v>2.0</v>
      </c>
      <c r="Z389" t="inlineStr">
        <is>
          <t>Active ingredient</t>
        </is>
      </c>
      <c r="AA389"/>
      <c r="AB389" t="n">
        <v>0.1</v>
      </c>
      <c r="AC389"/>
      <c r="AD389"/>
      <c r="AE389"/>
      <c r="AF389"/>
      <c r="AG389" t="inlineStr">
        <is>
          <t>AI mg/L</t>
        </is>
      </c>
      <c r="AH389"/>
      <c r="AI389"/>
      <c r="AJ389"/>
      <c r="AK389"/>
      <c r="AL389"/>
      <c r="AM389"/>
      <c r="AN389"/>
      <c r="AO389"/>
      <c r="AP389"/>
      <c r="AQ389"/>
      <c r="AR389"/>
      <c r="AS389"/>
      <c r="AT389"/>
      <c r="AU389"/>
      <c r="AV389"/>
      <c r="AW389"/>
      <c r="AX389" t="inlineStr">
        <is>
          <t>Accumulation</t>
        </is>
      </c>
      <c r="AY389" t="inlineStr">
        <is>
          <t>Residue</t>
        </is>
      </c>
      <c r="AZ389" t="inlineStr">
        <is>
          <t>LOEC</t>
        </is>
      </c>
      <c r="BA389" t="inlineStr">
        <is>
          <t>Whole organism</t>
        </is>
      </c>
      <c r="BB389"/>
      <c r="BC389" t="n">
        <v>35.0</v>
      </c>
      <c r="BD389"/>
      <c r="BE389"/>
      <c r="BF389"/>
      <c r="BG389"/>
      <c r="BH389" t="inlineStr">
        <is>
          <t>Day(s)</t>
        </is>
      </c>
      <c r="BI389"/>
      <c r="BJ389"/>
      <c r="BK389"/>
      <c r="BL389"/>
      <c r="BM389"/>
      <c r="BN389"/>
      <c r="BO389" t="inlineStr">
        <is>
          <t>--</t>
        </is>
      </c>
      <c r="BP389"/>
      <c r="BQ389"/>
      <c r="BR389"/>
      <c r="BS389"/>
      <c r="BT389"/>
      <c r="BU389"/>
      <c r="BV389"/>
      <c r="BW389"/>
      <c r="BX389"/>
      <c r="BY389"/>
      <c r="BZ389"/>
      <c r="CA389"/>
      <c r="CB389"/>
      <c r="CC389"/>
      <c r="CD389" t="inlineStr">
        <is>
          <t>Arukwe,A., M.V. Cangialosi, R.J. Letcher, E. Rocha, and A.S. Mortensen</t>
        </is>
      </c>
      <c r="CE389" t="n">
        <v>166317.0</v>
      </c>
      <c r="CF389" t="inlineStr">
        <is>
          <t>Changes in Morphometry and Association Between Whole-Body Fatty Acids and Steroid Hormone Profiles in Relation to Bioaccumulation Patterns in Salmon Larvae Exposed to Perfluorooctane Sulfonic or Perfluorooctane Carboxyl</t>
        </is>
      </c>
      <c r="CG389" t="inlineStr">
        <is>
          <t>Aquat. Toxicol.130/131:219-230</t>
        </is>
      </c>
      <c r="CH389" t="n">
        <v>2013.0</v>
      </c>
      <c r="CI389"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390">
      <c r="A390" t="n">
        <v>4021470.0</v>
      </c>
      <c r="B390" t="inlineStr">
        <is>
          <t>1,1,2,2,3,3,4,4,5,5,6,6,7,7,8,8,8-Heptadecafluoro-1-octanesulfonic acid sodium salt (1:1)</t>
        </is>
      </c>
      <c r="C390" t="inlineStr">
        <is>
          <t>Technical grade, technical product, technical formulation</t>
        </is>
      </c>
      <c r="D390" t="inlineStr">
        <is>
          <t>Unmeasured</t>
        </is>
      </c>
      <c r="E390"/>
      <c r="F390"/>
      <c r="G390"/>
      <c r="H390"/>
      <c r="I390"/>
      <c r="J390"/>
      <c r="K390" t="inlineStr">
        <is>
          <t>Salmo salar</t>
        </is>
      </c>
      <c r="L390" t="inlineStr">
        <is>
          <t>Atlantic Salmon</t>
        </is>
      </c>
      <c r="M390" t="inlineStr">
        <is>
          <t>Fish; Standard Test Species; U.S. Threatened and Endangered Species</t>
        </is>
      </c>
      <c r="N390" t="inlineStr">
        <is>
          <t>Embryo</t>
        </is>
      </c>
      <c r="O390"/>
      <c r="P390"/>
      <c r="Q390"/>
      <c r="R390"/>
      <c r="S390"/>
      <c r="T390"/>
      <c r="U390"/>
      <c r="V390" t="inlineStr">
        <is>
          <t>Renewal</t>
        </is>
      </c>
      <c r="W390" t="inlineStr">
        <is>
          <t>Fresh water</t>
        </is>
      </c>
      <c r="X390" t="inlineStr">
        <is>
          <t>Lab</t>
        </is>
      </c>
      <c r="Y390" t="n">
        <v>2.0</v>
      </c>
      <c r="Z390" t="inlineStr">
        <is>
          <t>Active ingredient</t>
        </is>
      </c>
      <c r="AA390"/>
      <c r="AB390" t="n">
        <v>0.1</v>
      </c>
      <c r="AC390"/>
      <c r="AD390"/>
      <c r="AE390"/>
      <c r="AF390"/>
      <c r="AG390" t="inlineStr">
        <is>
          <t>AI mg/L</t>
        </is>
      </c>
      <c r="AH390"/>
      <c r="AI390"/>
      <c r="AJ390"/>
      <c r="AK390"/>
      <c r="AL390"/>
      <c r="AM390"/>
      <c r="AN390"/>
      <c r="AO390"/>
      <c r="AP390"/>
      <c r="AQ390"/>
      <c r="AR390"/>
      <c r="AS390"/>
      <c r="AT390"/>
      <c r="AU390"/>
      <c r="AV390"/>
      <c r="AW390"/>
      <c r="AX390" t="inlineStr">
        <is>
          <t>Accumulation</t>
        </is>
      </c>
      <c r="AY390" t="inlineStr">
        <is>
          <t>Residue</t>
        </is>
      </c>
      <c r="AZ390" t="inlineStr">
        <is>
          <t>LOEC</t>
        </is>
      </c>
      <c r="BA390" t="inlineStr">
        <is>
          <t>Whole organism</t>
        </is>
      </c>
      <c r="BB390"/>
      <c r="BC390" t="n">
        <v>21.0</v>
      </c>
      <c r="BD390"/>
      <c r="BE390"/>
      <c r="BF390"/>
      <c r="BG390"/>
      <c r="BH390" t="inlineStr">
        <is>
          <t>Day(s)</t>
        </is>
      </c>
      <c r="BI390"/>
      <c r="BJ390"/>
      <c r="BK390"/>
      <c r="BL390"/>
      <c r="BM390"/>
      <c r="BN390"/>
      <c r="BO390" t="inlineStr">
        <is>
          <t>--</t>
        </is>
      </c>
      <c r="BP390"/>
      <c r="BQ390"/>
      <c r="BR390"/>
      <c r="BS390"/>
      <c r="BT390"/>
      <c r="BU390"/>
      <c r="BV390"/>
      <c r="BW390"/>
      <c r="BX390"/>
      <c r="BY390"/>
      <c r="BZ390"/>
      <c r="CA390"/>
      <c r="CB390"/>
      <c r="CC390"/>
      <c r="CD390" t="inlineStr">
        <is>
          <t>Arukwe,A., M.V. Cangialosi, R.J. Letcher, E. Rocha, and A.S. Mortensen</t>
        </is>
      </c>
      <c r="CE390" t="n">
        <v>166317.0</v>
      </c>
      <c r="CF390" t="inlineStr">
        <is>
          <t>Changes in Morphometry and Association Between Whole-Body Fatty Acids and Steroid Hormone Profiles in Relation to Bioaccumulation Patterns in Salmon Larvae Exposed to Perfluorooctane Sulfonic or Perfluorooctane Carboxyl</t>
        </is>
      </c>
      <c r="CG390" t="inlineStr">
        <is>
          <t>Aquat. Toxicol.130/131:219-230</t>
        </is>
      </c>
      <c r="CH390" t="n">
        <v>2013.0</v>
      </c>
      <c r="CI390"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row>
    <row r="391">
      <c r="A391" t="n">
        <v>2.7619972E7</v>
      </c>
      <c r="B391" t="inlineStr">
        <is>
          <t>3,3,4,4,5,5,6,6,7,7,8,8,8-Tridecafluoro-1-octanesulfonic acid</t>
        </is>
      </c>
      <c r="C391"/>
      <c r="D391" t="inlineStr">
        <is>
          <t>Unmeasured values (some measured values reported in article)</t>
        </is>
      </c>
      <c r="E391"/>
      <c r="F391"/>
      <c r="G391"/>
      <c r="H391"/>
      <c r="I391"/>
      <c r="J391"/>
      <c r="K391" t="inlineStr">
        <is>
          <t>Ambystoma tigrinum</t>
        </is>
      </c>
      <c r="L391" t="inlineStr">
        <is>
          <t>Tiger Salamander</t>
        </is>
      </c>
      <c r="M391" t="inlineStr">
        <is>
          <t>Amphibians</t>
        </is>
      </c>
      <c r="N391" t="inlineStr">
        <is>
          <t>Larva</t>
        </is>
      </c>
      <c r="O391"/>
      <c r="P391"/>
      <c r="Q391"/>
      <c r="R391"/>
      <c r="S391"/>
      <c r="T391"/>
      <c r="U391"/>
      <c r="V391" t="inlineStr">
        <is>
          <t>Renewal</t>
        </is>
      </c>
      <c r="W391" t="inlineStr">
        <is>
          <t>Fresh water</t>
        </is>
      </c>
      <c r="X391" t="inlineStr">
        <is>
          <t>Lab</t>
        </is>
      </c>
      <c r="Y391" t="n">
        <v>4.0</v>
      </c>
      <c r="Z391" t="inlineStr">
        <is>
          <t>Active ingredient</t>
        </is>
      </c>
      <c r="AA391"/>
      <c r="AB391"/>
      <c r="AC391"/>
      <c r="AD391" t="n">
        <v>0.01</v>
      </c>
      <c r="AE391"/>
      <c r="AF391" t="n">
        <v>1.0</v>
      </c>
      <c r="AG391" t="inlineStr">
        <is>
          <t>AI mg/L</t>
        </is>
      </c>
      <c r="AH391"/>
      <c r="AI391"/>
      <c r="AJ391"/>
      <c r="AK391"/>
      <c r="AL391"/>
      <c r="AM391"/>
      <c r="AN391"/>
      <c r="AO391"/>
      <c r="AP391"/>
      <c r="AQ391"/>
      <c r="AR391"/>
      <c r="AS391"/>
      <c r="AT391"/>
      <c r="AU391"/>
      <c r="AV391"/>
      <c r="AW391"/>
      <c r="AX391" t="inlineStr">
        <is>
          <t>Accumulation</t>
        </is>
      </c>
      <c r="AY391" t="inlineStr">
        <is>
          <t>Residue</t>
        </is>
      </c>
      <c r="AZ391"/>
      <c r="BA391" t="inlineStr">
        <is>
          <t>Whole organism</t>
        </is>
      </c>
      <c r="BB391"/>
      <c r="BC391"/>
      <c r="BD391"/>
      <c r="BE391" t="n">
        <v>10.0</v>
      </c>
      <c r="BF391"/>
      <c r="BG391" t="n">
        <v>40.0</v>
      </c>
      <c r="BH391" t="inlineStr">
        <is>
          <t>Day(s)</t>
        </is>
      </c>
      <c r="BI391"/>
      <c r="BJ391"/>
      <c r="BK391"/>
      <c r="BL391"/>
      <c r="BM391"/>
      <c r="BN391"/>
      <c r="BO391" t="inlineStr">
        <is>
          <t>--</t>
        </is>
      </c>
      <c r="BP391"/>
      <c r="BQ391"/>
      <c r="BR391"/>
      <c r="BS391"/>
      <c r="BT391"/>
      <c r="BU391"/>
      <c r="BV391"/>
      <c r="BW391"/>
      <c r="BX391"/>
      <c r="BY391"/>
      <c r="BZ391"/>
      <c r="CA391"/>
      <c r="CB391"/>
      <c r="CC391"/>
      <c r="CD391" t="inlineStr">
        <is>
          <t>Hoover,G.M.</t>
        </is>
      </c>
      <c r="CE391" t="n">
        <v>180874.0</v>
      </c>
      <c r="CF391" t="inlineStr">
        <is>
          <t>Effects of Per/Polyfluoroalkyl Substance Exposure on Larval Amphibians</t>
        </is>
      </c>
      <c r="CG391" t="inlineStr">
        <is>
          <t>Ph.D.Thesis, Purdue University, West Lafayette, IN:119 p.</t>
        </is>
      </c>
      <c r="CH391" t="n">
        <v>2018.0</v>
      </c>
      <c r="CI391" t="inlineStr">
        <is>
          <t>Hoover,G.M. (2018). Effects of Per/Polyfluoroalkyl Substance Exposure on Larval Amphibians. Ph.D.Thesis, Purdue University, West Lafayette, IN, 119 p. ECOREF#:180874</t>
        </is>
      </c>
    </row>
    <row r="392">
      <c r="A392" t="n">
        <v>2.7619972E7</v>
      </c>
      <c r="B392" t="inlineStr">
        <is>
          <t>3,3,4,4,5,5,6,6,7,7,8,8,8-Tridecafluoro-1-octanesulfonic acid</t>
        </is>
      </c>
      <c r="C392"/>
      <c r="D392" t="inlineStr">
        <is>
          <t>Unmeasured values (some measured values reported in article)</t>
        </is>
      </c>
      <c r="E392"/>
      <c r="F392"/>
      <c r="G392"/>
      <c r="H392"/>
      <c r="I392"/>
      <c r="J392"/>
      <c r="K392" t="inlineStr">
        <is>
          <t>Anaxyrus americanus</t>
        </is>
      </c>
      <c r="L392" t="inlineStr">
        <is>
          <t xml:space="preserve">American Toad </t>
        </is>
      </c>
      <c r="M392" t="inlineStr">
        <is>
          <t>Amphibians</t>
        </is>
      </c>
      <c r="N392" t="inlineStr">
        <is>
          <t>Tadpole</t>
        </is>
      </c>
      <c r="O392"/>
      <c r="P392"/>
      <c r="Q392"/>
      <c r="R392"/>
      <c r="S392"/>
      <c r="T392"/>
      <c r="U392"/>
      <c r="V392" t="inlineStr">
        <is>
          <t>Renewal</t>
        </is>
      </c>
      <c r="W392" t="inlineStr">
        <is>
          <t>Fresh water</t>
        </is>
      </c>
      <c r="X392" t="inlineStr">
        <is>
          <t>Lab</t>
        </is>
      </c>
      <c r="Y392" t="n">
        <v>4.0</v>
      </c>
      <c r="Z392" t="inlineStr">
        <is>
          <t>Active ingredient</t>
        </is>
      </c>
      <c r="AA392"/>
      <c r="AB392"/>
      <c r="AC392"/>
      <c r="AD392" t="n">
        <v>0.01</v>
      </c>
      <c r="AE392"/>
      <c r="AF392" t="n">
        <v>1.0</v>
      </c>
      <c r="AG392" t="inlineStr">
        <is>
          <t>AI mg/L</t>
        </is>
      </c>
      <c r="AH392"/>
      <c r="AI392"/>
      <c r="AJ392"/>
      <c r="AK392"/>
      <c r="AL392"/>
      <c r="AM392"/>
      <c r="AN392"/>
      <c r="AO392"/>
      <c r="AP392"/>
      <c r="AQ392"/>
      <c r="AR392"/>
      <c r="AS392"/>
      <c r="AT392"/>
      <c r="AU392"/>
      <c r="AV392"/>
      <c r="AW392"/>
      <c r="AX392" t="inlineStr">
        <is>
          <t>Accumulation</t>
        </is>
      </c>
      <c r="AY392" t="inlineStr">
        <is>
          <t>Residue</t>
        </is>
      </c>
      <c r="AZ392"/>
      <c r="BA392" t="inlineStr">
        <is>
          <t>Whole organism</t>
        </is>
      </c>
      <c r="BB392"/>
      <c r="BC392"/>
      <c r="BD392"/>
      <c r="BE392" t="n">
        <v>10.0</v>
      </c>
      <c r="BF392"/>
      <c r="BG392" t="n">
        <v>35.0</v>
      </c>
      <c r="BH392" t="inlineStr">
        <is>
          <t>Day(s)</t>
        </is>
      </c>
      <c r="BI392"/>
      <c r="BJ392"/>
      <c r="BK392"/>
      <c r="BL392"/>
      <c r="BM392"/>
      <c r="BN392"/>
      <c r="BO392" t="inlineStr">
        <is>
          <t>--</t>
        </is>
      </c>
      <c r="BP392"/>
      <c r="BQ392"/>
      <c r="BR392"/>
      <c r="BS392"/>
      <c r="BT392"/>
      <c r="BU392"/>
      <c r="BV392"/>
      <c r="BW392"/>
      <c r="BX392"/>
      <c r="BY392"/>
      <c r="BZ392"/>
      <c r="CA392"/>
      <c r="CB392"/>
      <c r="CC392"/>
      <c r="CD392" t="inlineStr">
        <is>
          <t>Hoover,G.M.</t>
        </is>
      </c>
      <c r="CE392" t="n">
        <v>180874.0</v>
      </c>
      <c r="CF392" t="inlineStr">
        <is>
          <t>Effects of Per/Polyfluoroalkyl Substance Exposure on Larval Amphibians</t>
        </is>
      </c>
      <c r="CG392" t="inlineStr">
        <is>
          <t>Ph.D.Thesis, Purdue University, West Lafayette, IN:119 p.</t>
        </is>
      </c>
      <c r="CH392" t="n">
        <v>2018.0</v>
      </c>
      <c r="CI392" t="inlineStr">
        <is>
          <t>Hoover,G.M. (2018). Effects of Per/Polyfluoroalkyl Substance Exposure on Larval Amphibians. Ph.D.Thesis, Purdue University, West Lafayette, IN, 119 p. ECOREF#:180874</t>
        </is>
      </c>
    </row>
    <row r="393">
      <c r="A393" t="n">
        <v>2.7619972E7</v>
      </c>
      <c r="B393" t="inlineStr">
        <is>
          <t>3,3,4,4,5,5,6,6,7,7,8,8,8-Tridecafluoro-1-octanesulfonic acid</t>
        </is>
      </c>
      <c r="C393"/>
      <c r="D393" t="inlineStr">
        <is>
          <t>Chemical analysis reported</t>
        </is>
      </c>
      <c r="E393"/>
      <c r="F393"/>
      <c r="G393"/>
      <c r="H393"/>
      <c r="I393"/>
      <c r="J393"/>
      <c r="K393" t="inlineStr">
        <is>
          <t>Lithobates pipiens</t>
        </is>
      </c>
      <c r="L393" t="inlineStr">
        <is>
          <t>Leopard Frog</t>
        </is>
      </c>
      <c r="M393" t="inlineStr">
        <is>
          <t>Amphibians; Standard Test Species</t>
        </is>
      </c>
      <c r="N393" t="inlineStr">
        <is>
          <t>Tadpole</t>
        </is>
      </c>
      <c r="O393"/>
      <c r="P393" t="n">
        <v>26.0</v>
      </c>
      <c r="Q393"/>
      <c r="R393"/>
      <c r="S393"/>
      <c r="T393"/>
      <c r="U393" t="inlineStr">
        <is>
          <t>Gosner stage</t>
        </is>
      </c>
      <c r="V393" t="inlineStr">
        <is>
          <t>Renewal</t>
        </is>
      </c>
      <c r="W393" t="inlineStr">
        <is>
          <t>Fresh water</t>
        </is>
      </c>
      <c r="X393" t="inlineStr">
        <is>
          <t>Lab</t>
        </is>
      </c>
      <c r="Y393" t="n">
        <v>4.0</v>
      </c>
      <c r="Z393" t="inlineStr">
        <is>
          <t>Active ingredient</t>
        </is>
      </c>
      <c r="AA393"/>
      <c r="AB393" t="n">
        <v>0.01</v>
      </c>
      <c r="AC393"/>
      <c r="AD393"/>
      <c r="AE393"/>
      <c r="AF393"/>
      <c r="AG393" t="inlineStr">
        <is>
          <t>AI mg/L</t>
        </is>
      </c>
      <c r="AH393"/>
      <c r="AI393"/>
      <c r="AJ393"/>
      <c r="AK393"/>
      <c r="AL393"/>
      <c r="AM393"/>
      <c r="AN393"/>
      <c r="AO393"/>
      <c r="AP393"/>
      <c r="AQ393"/>
      <c r="AR393"/>
      <c r="AS393"/>
      <c r="AT393"/>
      <c r="AU393"/>
      <c r="AV393"/>
      <c r="AW393"/>
      <c r="AX393" t="inlineStr">
        <is>
          <t>Accumulation</t>
        </is>
      </c>
      <c r="AY393" t="inlineStr">
        <is>
          <t>Residue</t>
        </is>
      </c>
      <c r="AZ393" t="inlineStr">
        <is>
          <t>BCF</t>
        </is>
      </c>
      <c r="BA393" t="inlineStr">
        <is>
          <t>Whole organism</t>
        </is>
      </c>
      <c r="BB393"/>
      <c r="BC393" t="n">
        <v>40.0</v>
      </c>
      <c r="BD393"/>
      <c r="BE393"/>
      <c r="BF393"/>
      <c r="BG393"/>
      <c r="BH393" t="inlineStr">
        <is>
          <t>Day(s)</t>
        </is>
      </c>
      <c r="BI393"/>
      <c r="BJ393"/>
      <c r="BK393" t="inlineStr">
        <is>
          <t>&gt;</t>
        </is>
      </c>
      <c r="BL393" t="n">
        <v>0.01</v>
      </c>
      <c r="BM393" t="inlineStr">
        <is>
          <t>&lt;</t>
        </is>
      </c>
      <c r="BN393" t="n">
        <v>0.1</v>
      </c>
      <c r="BO393" t="inlineStr">
        <is>
          <t>RA</t>
        </is>
      </c>
      <c r="BP393"/>
      <c r="BQ393"/>
      <c r="BR393"/>
      <c r="BS393"/>
      <c r="BT393"/>
      <c r="BU393"/>
      <c r="BV393"/>
      <c r="BW393"/>
      <c r="BX393"/>
      <c r="BY393"/>
      <c r="BZ393"/>
      <c r="CA393"/>
      <c r="CB393"/>
      <c r="CC393"/>
      <c r="CD393" t="inlineStr">
        <is>
          <t>Hoover,G.M., M.F. Chislock, B.J. Tornabene, S.C. Guffey, Y.J. Choi, C. De Perre, J.T. Hoverman, L.S. Lee, and M.S. Sepu</t>
        </is>
      </c>
      <c r="CE393" t="n">
        <v>176982.0</v>
      </c>
      <c r="CF393" t="inlineStr">
        <is>
          <t>Uptake and Depuration of Four Per/Polyfluoroalkyl Substances (PFASs) in Northern Leopard Frog Rana pipiens Tadpoles</t>
        </is>
      </c>
      <c r="CG393" t="inlineStr">
        <is>
          <t>Environ. Sci. Technol. Lett.4(10): 399-403</t>
        </is>
      </c>
      <c r="CH393" t="n">
        <v>2017.0</v>
      </c>
      <c r="CI393"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94">
      <c r="A394" t="n">
        <v>2.7619972E7</v>
      </c>
      <c r="B394" t="inlineStr">
        <is>
          <t>3,3,4,4,5,5,6,6,7,7,8,8,8-Tridecafluoro-1-octanesulfonic acid</t>
        </is>
      </c>
      <c r="C394"/>
      <c r="D394" t="inlineStr">
        <is>
          <t>Chemical analysis reported</t>
        </is>
      </c>
      <c r="E394"/>
      <c r="F394"/>
      <c r="G394"/>
      <c r="H394"/>
      <c r="I394"/>
      <c r="J394"/>
      <c r="K394" t="inlineStr">
        <is>
          <t>Lithobates pipiens</t>
        </is>
      </c>
      <c r="L394" t="inlineStr">
        <is>
          <t>Leopard Frog</t>
        </is>
      </c>
      <c r="M394" t="inlineStr">
        <is>
          <t>Amphibians; Standard Test Species</t>
        </is>
      </c>
      <c r="N394" t="inlineStr">
        <is>
          <t>Tadpole</t>
        </is>
      </c>
      <c r="O394"/>
      <c r="P394" t="n">
        <v>26.0</v>
      </c>
      <c r="Q394"/>
      <c r="R394"/>
      <c r="S394"/>
      <c r="T394"/>
      <c r="U394" t="inlineStr">
        <is>
          <t>Gosner stage</t>
        </is>
      </c>
      <c r="V394" t="inlineStr">
        <is>
          <t>Renewal</t>
        </is>
      </c>
      <c r="W394" t="inlineStr">
        <is>
          <t>Fresh water</t>
        </is>
      </c>
      <c r="X394" t="inlineStr">
        <is>
          <t>Lab</t>
        </is>
      </c>
      <c r="Y394" t="n">
        <v>4.0</v>
      </c>
      <c r="Z394" t="inlineStr">
        <is>
          <t>Active ingredient</t>
        </is>
      </c>
      <c r="AA394"/>
      <c r="AB394" t="n">
        <v>0.1</v>
      </c>
      <c r="AC394"/>
      <c r="AD394"/>
      <c r="AE394"/>
      <c r="AF394"/>
      <c r="AG394" t="inlineStr">
        <is>
          <t>AI mg/L</t>
        </is>
      </c>
      <c r="AH394"/>
      <c r="AI394"/>
      <c r="AJ394"/>
      <c r="AK394"/>
      <c r="AL394"/>
      <c r="AM394"/>
      <c r="AN394"/>
      <c r="AO394"/>
      <c r="AP394"/>
      <c r="AQ394"/>
      <c r="AR394"/>
      <c r="AS394"/>
      <c r="AT394"/>
      <c r="AU394"/>
      <c r="AV394"/>
      <c r="AW394"/>
      <c r="AX394" t="inlineStr">
        <is>
          <t>Accumulation</t>
        </is>
      </c>
      <c r="AY394" t="inlineStr">
        <is>
          <t>Residue</t>
        </is>
      </c>
      <c r="AZ394" t="inlineStr">
        <is>
          <t>BCF</t>
        </is>
      </c>
      <c r="BA394" t="inlineStr">
        <is>
          <t>Whole organism</t>
        </is>
      </c>
      <c r="BB394"/>
      <c r="BC394" t="n">
        <v>10.0</v>
      </c>
      <c r="BD394"/>
      <c r="BE394"/>
      <c r="BF394"/>
      <c r="BG394"/>
      <c r="BH394" t="inlineStr">
        <is>
          <t>Day(s)</t>
        </is>
      </c>
      <c r="BI394"/>
      <c r="BJ394"/>
      <c r="BK394" t="inlineStr">
        <is>
          <t>&gt;</t>
        </is>
      </c>
      <c r="BL394" t="n">
        <v>0.1</v>
      </c>
      <c r="BM394" t="inlineStr">
        <is>
          <t>&lt;</t>
        </is>
      </c>
      <c r="BN394" t="n">
        <v>1.0</v>
      </c>
      <c r="BO394" t="inlineStr">
        <is>
          <t>RA</t>
        </is>
      </c>
      <c r="BP394"/>
      <c r="BQ394"/>
      <c r="BR394"/>
      <c r="BS394"/>
      <c r="BT394"/>
      <c r="BU394"/>
      <c r="BV394"/>
      <c r="BW394"/>
      <c r="BX394"/>
      <c r="BY394"/>
      <c r="BZ394"/>
      <c r="CA394"/>
      <c r="CB394"/>
      <c r="CC394"/>
      <c r="CD394" t="inlineStr">
        <is>
          <t>Hoover,G.M., M.F. Chislock, B.J. Tornabene, S.C. Guffey, Y.J. Choi, C. De Perre, J.T. Hoverman, L.S. Lee, and M.S. Sepu</t>
        </is>
      </c>
      <c r="CE394" t="n">
        <v>176982.0</v>
      </c>
      <c r="CF394" t="inlineStr">
        <is>
          <t>Uptake and Depuration of Four Per/Polyfluoroalkyl Substances (PFASs) in Northern Leopard Frog Rana pipiens Tadpoles</t>
        </is>
      </c>
      <c r="CG394" t="inlineStr">
        <is>
          <t>Environ. Sci. Technol. Lett.4(10): 399-403</t>
        </is>
      </c>
      <c r="CH394" t="n">
        <v>2017.0</v>
      </c>
      <c r="CI394"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95">
      <c r="A395" t="n">
        <v>2.7619972E7</v>
      </c>
      <c r="B395" t="inlineStr">
        <is>
          <t>3,3,4,4,5,5,6,6,7,7,8,8,8-Tridecafluoro-1-octanesulfonic acid</t>
        </is>
      </c>
      <c r="C395"/>
      <c r="D395" t="inlineStr">
        <is>
          <t>Chemical analysis reported</t>
        </is>
      </c>
      <c r="E395"/>
      <c r="F395"/>
      <c r="G395"/>
      <c r="H395"/>
      <c r="I395"/>
      <c r="J395"/>
      <c r="K395" t="inlineStr">
        <is>
          <t>Lithobates pipiens</t>
        </is>
      </c>
      <c r="L395" t="inlineStr">
        <is>
          <t>Leopard Frog</t>
        </is>
      </c>
      <c r="M395" t="inlineStr">
        <is>
          <t>Amphibians; Standard Test Species</t>
        </is>
      </c>
      <c r="N395" t="inlineStr">
        <is>
          <t>Tadpole</t>
        </is>
      </c>
      <c r="O395"/>
      <c r="P395" t="n">
        <v>26.0</v>
      </c>
      <c r="Q395"/>
      <c r="R395"/>
      <c r="S395"/>
      <c r="T395"/>
      <c r="U395" t="inlineStr">
        <is>
          <t>Gosner stage</t>
        </is>
      </c>
      <c r="V395" t="inlineStr">
        <is>
          <t>Renewal</t>
        </is>
      </c>
      <c r="W395" t="inlineStr">
        <is>
          <t>Fresh water</t>
        </is>
      </c>
      <c r="X395" t="inlineStr">
        <is>
          <t>Lab</t>
        </is>
      </c>
      <c r="Y395" t="n">
        <v>4.0</v>
      </c>
      <c r="Z395" t="inlineStr">
        <is>
          <t>Active ingredient</t>
        </is>
      </c>
      <c r="AA395"/>
      <c r="AB395" t="n">
        <v>0.1</v>
      </c>
      <c r="AC395"/>
      <c r="AD395"/>
      <c r="AE395"/>
      <c r="AF395"/>
      <c r="AG395" t="inlineStr">
        <is>
          <t>AI mg/L</t>
        </is>
      </c>
      <c r="AH395"/>
      <c r="AI395"/>
      <c r="AJ395"/>
      <c r="AK395"/>
      <c r="AL395"/>
      <c r="AM395"/>
      <c r="AN395"/>
      <c r="AO395"/>
      <c r="AP395"/>
      <c r="AQ395"/>
      <c r="AR395"/>
      <c r="AS395"/>
      <c r="AT395"/>
      <c r="AU395"/>
      <c r="AV395"/>
      <c r="AW395"/>
      <c r="AX395" t="inlineStr">
        <is>
          <t>Accumulation</t>
        </is>
      </c>
      <c r="AY395" t="inlineStr">
        <is>
          <t>Residue</t>
        </is>
      </c>
      <c r="AZ395" t="inlineStr">
        <is>
          <t>BCF</t>
        </is>
      </c>
      <c r="BA395" t="inlineStr">
        <is>
          <t>Whole organism</t>
        </is>
      </c>
      <c r="BB395"/>
      <c r="BC395" t="n">
        <v>30.0</v>
      </c>
      <c r="BD395"/>
      <c r="BE395"/>
      <c r="BF395"/>
      <c r="BG395"/>
      <c r="BH395" t="inlineStr">
        <is>
          <t>Day(s)</t>
        </is>
      </c>
      <c r="BI395"/>
      <c r="BJ395"/>
      <c r="BK395" t="inlineStr">
        <is>
          <t>&gt;</t>
        </is>
      </c>
      <c r="BL395" t="n">
        <v>0.1</v>
      </c>
      <c r="BM395" t="inlineStr">
        <is>
          <t>&lt;</t>
        </is>
      </c>
      <c r="BN395" t="n">
        <v>1.0</v>
      </c>
      <c r="BO395" t="inlineStr">
        <is>
          <t>RA</t>
        </is>
      </c>
      <c r="BP395"/>
      <c r="BQ395"/>
      <c r="BR395"/>
      <c r="BS395"/>
      <c r="BT395"/>
      <c r="BU395"/>
      <c r="BV395"/>
      <c r="BW395"/>
      <c r="BX395"/>
      <c r="BY395"/>
      <c r="BZ395"/>
      <c r="CA395"/>
      <c r="CB395"/>
      <c r="CC395"/>
      <c r="CD395" t="inlineStr">
        <is>
          <t>Hoover,G.M., M.F. Chislock, B.J. Tornabene, S.C. Guffey, Y.J. Choi, C. De Perre, J.T. Hoverman, L.S. Lee, and M.S. Sepu</t>
        </is>
      </c>
      <c r="CE395" t="n">
        <v>176982.0</v>
      </c>
      <c r="CF395" t="inlineStr">
        <is>
          <t>Uptake and Depuration of Four Per/Polyfluoroalkyl Substances (PFASs) in Northern Leopard Frog Rana pipiens Tadpoles</t>
        </is>
      </c>
      <c r="CG395" t="inlineStr">
        <is>
          <t>Environ. Sci. Technol. Lett.4(10): 399-403</t>
        </is>
      </c>
      <c r="CH395" t="n">
        <v>2017.0</v>
      </c>
      <c r="CI395"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96">
      <c r="A396" t="n">
        <v>2.7619972E7</v>
      </c>
      <c r="B396" t="inlineStr">
        <is>
          <t>3,3,4,4,5,5,6,6,7,7,8,8,8-Tridecafluoro-1-octanesulfonic acid</t>
        </is>
      </c>
      <c r="C396"/>
      <c r="D396" t="inlineStr">
        <is>
          <t>Chemical analysis reported</t>
        </is>
      </c>
      <c r="E396"/>
      <c r="F396"/>
      <c r="G396"/>
      <c r="H396"/>
      <c r="I396"/>
      <c r="J396"/>
      <c r="K396" t="inlineStr">
        <is>
          <t>Lithobates pipiens</t>
        </is>
      </c>
      <c r="L396" t="inlineStr">
        <is>
          <t>Leopard Frog</t>
        </is>
      </c>
      <c r="M396" t="inlineStr">
        <is>
          <t>Amphibians; Standard Test Species</t>
        </is>
      </c>
      <c r="N396" t="inlineStr">
        <is>
          <t>Tadpole</t>
        </is>
      </c>
      <c r="O396"/>
      <c r="P396" t="n">
        <v>26.0</v>
      </c>
      <c r="Q396"/>
      <c r="R396"/>
      <c r="S396"/>
      <c r="T396"/>
      <c r="U396" t="inlineStr">
        <is>
          <t>Gosner stage</t>
        </is>
      </c>
      <c r="V396" t="inlineStr">
        <is>
          <t>Renewal</t>
        </is>
      </c>
      <c r="W396" t="inlineStr">
        <is>
          <t>Fresh water</t>
        </is>
      </c>
      <c r="X396" t="inlineStr">
        <is>
          <t>Lab</t>
        </is>
      </c>
      <c r="Y396" t="n">
        <v>4.0</v>
      </c>
      <c r="Z396" t="inlineStr">
        <is>
          <t>Active ingredient</t>
        </is>
      </c>
      <c r="AA396"/>
      <c r="AB396" t="n">
        <v>1.0</v>
      </c>
      <c r="AC396"/>
      <c r="AD396"/>
      <c r="AE396"/>
      <c r="AF396"/>
      <c r="AG396" t="inlineStr">
        <is>
          <t>AI mg/L</t>
        </is>
      </c>
      <c r="AH396"/>
      <c r="AI396"/>
      <c r="AJ396"/>
      <c r="AK396"/>
      <c r="AL396"/>
      <c r="AM396"/>
      <c r="AN396"/>
      <c r="AO396"/>
      <c r="AP396"/>
      <c r="AQ396"/>
      <c r="AR396"/>
      <c r="AS396"/>
      <c r="AT396"/>
      <c r="AU396"/>
      <c r="AV396"/>
      <c r="AW396"/>
      <c r="AX396" t="inlineStr">
        <is>
          <t>Accumulation</t>
        </is>
      </c>
      <c r="AY396" t="inlineStr">
        <is>
          <t>Residue</t>
        </is>
      </c>
      <c r="AZ396" t="inlineStr">
        <is>
          <t>BCF</t>
        </is>
      </c>
      <c r="BA396" t="inlineStr">
        <is>
          <t>Whole organism</t>
        </is>
      </c>
      <c r="BB396"/>
      <c r="BC396" t="n">
        <v>40.0</v>
      </c>
      <c r="BD396"/>
      <c r="BE396"/>
      <c r="BF396"/>
      <c r="BG396"/>
      <c r="BH396" t="inlineStr">
        <is>
          <t>Day(s)</t>
        </is>
      </c>
      <c r="BI396"/>
      <c r="BJ396"/>
      <c r="BK396" t="inlineStr">
        <is>
          <t>&gt;</t>
        </is>
      </c>
      <c r="BL396" t="n">
        <v>0.1</v>
      </c>
      <c r="BM396" t="inlineStr">
        <is>
          <t>&lt;</t>
        </is>
      </c>
      <c r="BN396" t="n">
        <v>1.0</v>
      </c>
      <c r="BO396" t="inlineStr">
        <is>
          <t>RA</t>
        </is>
      </c>
      <c r="BP396"/>
      <c r="BQ396"/>
      <c r="BR396"/>
      <c r="BS396"/>
      <c r="BT396"/>
      <c r="BU396"/>
      <c r="BV396"/>
      <c r="BW396"/>
      <c r="BX396"/>
      <c r="BY396"/>
      <c r="BZ396"/>
      <c r="CA396"/>
      <c r="CB396"/>
      <c r="CC396"/>
      <c r="CD396" t="inlineStr">
        <is>
          <t>Hoover,G.M., M.F. Chislock, B.J. Tornabene, S.C. Guffey, Y.J. Choi, C. De Perre, J.T. Hoverman, L.S. Lee, and M.S. Sepu</t>
        </is>
      </c>
      <c r="CE396" t="n">
        <v>176982.0</v>
      </c>
      <c r="CF396" t="inlineStr">
        <is>
          <t>Uptake and Depuration of Four Per/Polyfluoroalkyl Substances (PFASs) in Northern Leopard Frog Rana pipiens Tadpoles</t>
        </is>
      </c>
      <c r="CG396" t="inlineStr">
        <is>
          <t>Environ. Sci. Technol. Lett.4(10): 399-403</t>
        </is>
      </c>
      <c r="CH396" t="n">
        <v>2017.0</v>
      </c>
      <c r="CI396"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97">
      <c r="A397" t="n">
        <v>2.7619972E7</v>
      </c>
      <c r="B397" t="inlineStr">
        <is>
          <t>3,3,4,4,5,5,6,6,7,7,8,8,8-Tridecafluoro-1-octanesulfonic acid</t>
        </is>
      </c>
      <c r="C397"/>
      <c r="D397" t="inlineStr">
        <is>
          <t>Chemical analysis reported</t>
        </is>
      </c>
      <c r="E397"/>
      <c r="F397"/>
      <c r="G397"/>
      <c r="H397"/>
      <c r="I397"/>
      <c r="J397"/>
      <c r="K397" t="inlineStr">
        <is>
          <t>Lithobates pipiens</t>
        </is>
      </c>
      <c r="L397" t="inlineStr">
        <is>
          <t>Leopard Frog</t>
        </is>
      </c>
      <c r="M397" t="inlineStr">
        <is>
          <t>Amphibians; Standard Test Species</t>
        </is>
      </c>
      <c r="N397" t="inlineStr">
        <is>
          <t>Tadpole</t>
        </is>
      </c>
      <c r="O397"/>
      <c r="P397" t="n">
        <v>26.0</v>
      </c>
      <c r="Q397"/>
      <c r="R397"/>
      <c r="S397"/>
      <c r="T397"/>
      <c r="U397" t="inlineStr">
        <is>
          <t>Gosner stage</t>
        </is>
      </c>
      <c r="V397" t="inlineStr">
        <is>
          <t>Renewal</t>
        </is>
      </c>
      <c r="W397" t="inlineStr">
        <is>
          <t>Fresh water</t>
        </is>
      </c>
      <c r="X397" t="inlineStr">
        <is>
          <t>Lab</t>
        </is>
      </c>
      <c r="Y397" t="n">
        <v>4.0</v>
      </c>
      <c r="Z397" t="inlineStr">
        <is>
          <t>Active ingredient</t>
        </is>
      </c>
      <c r="AA397"/>
      <c r="AB397" t="n">
        <v>0.01</v>
      </c>
      <c r="AC397"/>
      <c r="AD397"/>
      <c r="AE397"/>
      <c r="AF397"/>
      <c r="AG397" t="inlineStr">
        <is>
          <t>AI mg/L</t>
        </is>
      </c>
      <c r="AH397"/>
      <c r="AI397"/>
      <c r="AJ397"/>
      <c r="AK397"/>
      <c r="AL397"/>
      <c r="AM397"/>
      <c r="AN397"/>
      <c r="AO397"/>
      <c r="AP397"/>
      <c r="AQ397"/>
      <c r="AR397"/>
      <c r="AS397"/>
      <c r="AT397"/>
      <c r="AU397"/>
      <c r="AV397"/>
      <c r="AW397"/>
      <c r="AX397" t="inlineStr">
        <is>
          <t>Accumulation</t>
        </is>
      </c>
      <c r="AY397" t="inlineStr">
        <is>
          <t>Residue</t>
        </is>
      </c>
      <c r="AZ397" t="inlineStr">
        <is>
          <t>BCF</t>
        </is>
      </c>
      <c r="BA397" t="inlineStr">
        <is>
          <t>Whole organism</t>
        </is>
      </c>
      <c r="BB397"/>
      <c r="BC397" t="n">
        <v>30.0</v>
      </c>
      <c r="BD397"/>
      <c r="BE397"/>
      <c r="BF397"/>
      <c r="BG397"/>
      <c r="BH397" t="inlineStr">
        <is>
          <t>Day(s)</t>
        </is>
      </c>
      <c r="BI397"/>
      <c r="BJ397"/>
      <c r="BK397" t="inlineStr">
        <is>
          <t>&gt;</t>
        </is>
      </c>
      <c r="BL397" t="n">
        <v>0.1</v>
      </c>
      <c r="BM397" t="inlineStr">
        <is>
          <t>&lt;</t>
        </is>
      </c>
      <c r="BN397" t="n">
        <v>1.0</v>
      </c>
      <c r="BO397" t="inlineStr">
        <is>
          <t>RA</t>
        </is>
      </c>
      <c r="BP397"/>
      <c r="BQ397"/>
      <c r="BR397"/>
      <c r="BS397"/>
      <c r="BT397"/>
      <c r="BU397"/>
      <c r="BV397"/>
      <c r="BW397"/>
      <c r="BX397"/>
      <c r="BY397"/>
      <c r="BZ397"/>
      <c r="CA397"/>
      <c r="CB397"/>
      <c r="CC397"/>
      <c r="CD397" t="inlineStr">
        <is>
          <t>Hoover,G.M., M.F. Chislock, B.J. Tornabene, S.C. Guffey, Y.J. Choi, C. De Perre, J.T. Hoverman, L.S. Lee, and M.S. Sepu</t>
        </is>
      </c>
      <c r="CE397" t="n">
        <v>176982.0</v>
      </c>
      <c r="CF397" t="inlineStr">
        <is>
          <t>Uptake and Depuration of Four Per/Polyfluoroalkyl Substances (PFASs) in Northern Leopard Frog Rana pipiens Tadpoles</t>
        </is>
      </c>
      <c r="CG397" t="inlineStr">
        <is>
          <t>Environ. Sci. Technol. Lett.4(10): 399-403</t>
        </is>
      </c>
      <c r="CH397" t="n">
        <v>2017.0</v>
      </c>
      <c r="CI397"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98">
      <c r="A398" t="n">
        <v>2.7619972E7</v>
      </c>
      <c r="B398" t="inlineStr">
        <is>
          <t>3,3,4,4,5,5,6,6,7,7,8,8,8-Tridecafluoro-1-octanesulfonic acid</t>
        </is>
      </c>
      <c r="C398"/>
      <c r="D398" t="inlineStr">
        <is>
          <t>Chemical analysis reported</t>
        </is>
      </c>
      <c r="E398"/>
      <c r="F398"/>
      <c r="G398"/>
      <c r="H398"/>
      <c r="I398"/>
      <c r="J398"/>
      <c r="K398" t="inlineStr">
        <is>
          <t>Lithobates pipiens</t>
        </is>
      </c>
      <c r="L398" t="inlineStr">
        <is>
          <t>Leopard Frog</t>
        </is>
      </c>
      <c r="M398" t="inlineStr">
        <is>
          <t>Amphibians; Standard Test Species</t>
        </is>
      </c>
      <c r="N398" t="inlineStr">
        <is>
          <t>Tadpole</t>
        </is>
      </c>
      <c r="O398"/>
      <c r="P398" t="n">
        <v>26.0</v>
      </c>
      <c r="Q398"/>
      <c r="R398"/>
      <c r="S398"/>
      <c r="T398"/>
      <c r="U398" t="inlineStr">
        <is>
          <t>Gosner stage</t>
        </is>
      </c>
      <c r="V398" t="inlineStr">
        <is>
          <t>Renewal</t>
        </is>
      </c>
      <c r="W398" t="inlineStr">
        <is>
          <t>Fresh water</t>
        </is>
      </c>
      <c r="X398" t="inlineStr">
        <is>
          <t>Lab</t>
        </is>
      </c>
      <c r="Y398" t="n">
        <v>4.0</v>
      </c>
      <c r="Z398" t="inlineStr">
        <is>
          <t>Active ingredient</t>
        </is>
      </c>
      <c r="AA398"/>
      <c r="AB398" t="n">
        <v>1.0</v>
      </c>
      <c r="AC398"/>
      <c r="AD398"/>
      <c r="AE398"/>
      <c r="AF398"/>
      <c r="AG398" t="inlineStr">
        <is>
          <t>AI mg/L</t>
        </is>
      </c>
      <c r="AH398"/>
      <c r="AI398"/>
      <c r="AJ398"/>
      <c r="AK398"/>
      <c r="AL398"/>
      <c r="AM398"/>
      <c r="AN398"/>
      <c r="AO398"/>
      <c r="AP398"/>
      <c r="AQ398"/>
      <c r="AR398"/>
      <c r="AS398"/>
      <c r="AT398"/>
      <c r="AU398"/>
      <c r="AV398"/>
      <c r="AW398"/>
      <c r="AX398" t="inlineStr">
        <is>
          <t>Accumulation</t>
        </is>
      </c>
      <c r="AY398" t="inlineStr">
        <is>
          <t>Residue</t>
        </is>
      </c>
      <c r="AZ398" t="inlineStr">
        <is>
          <t>BCF</t>
        </is>
      </c>
      <c r="BA398" t="inlineStr">
        <is>
          <t>Whole organism</t>
        </is>
      </c>
      <c r="BB398"/>
      <c r="BC398" t="n">
        <v>30.0</v>
      </c>
      <c r="BD398"/>
      <c r="BE398"/>
      <c r="BF398"/>
      <c r="BG398"/>
      <c r="BH398" t="inlineStr">
        <is>
          <t>Day(s)</t>
        </is>
      </c>
      <c r="BI398"/>
      <c r="BJ398"/>
      <c r="BK398" t="inlineStr">
        <is>
          <t>&gt;</t>
        </is>
      </c>
      <c r="BL398" t="n">
        <v>0.1</v>
      </c>
      <c r="BM398" t="inlineStr">
        <is>
          <t>&lt;</t>
        </is>
      </c>
      <c r="BN398" t="n">
        <v>1.0</v>
      </c>
      <c r="BO398" t="inlineStr">
        <is>
          <t>RA</t>
        </is>
      </c>
      <c r="BP398"/>
      <c r="BQ398"/>
      <c r="BR398"/>
      <c r="BS398"/>
      <c r="BT398"/>
      <c r="BU398"/>
      <c r="BV398"/>
      <c r="BW398"/>
      <c r="BX398"/>
      <c r="BY398"/>
      <c r="BZ398"/>
      <c r="CA398"/>
      <c r="CB398"/>
      <c r="CC398"/>
      <c r="CD398" t="inlineStr">
        <is>
          <t>Hoover,G.M., M.F. Chislock, B.J. Tornabene, S.C. Guffey, Y.J. Choi, C. De Perre, J.T. Hoverman, L.S. Lee, and M.S. Sepu</t>
        </is>
      </c>
      <c r="CE398" t="n">
        <v>176982.0</v>
      </c>
      <c r="CF398" t="inlineStr">
        <is>
          <t>Uptake and Depuration of Four Per/Polyfluoroalkyl Substances (PFASs) in Northern Leopard Frog Rana pipiens Tadpoles</t>
        </is>
      </c>
      <c r="CG398" t="inlineStr">
        <is>
          <t>Environ. Sci. Technol. Lett.4(10): 399-403</t>
        </is>
      </c>
      <c r="CH398" t="n">
        <v>2017.0</v>
      </c>
      <c r="CI398"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399">
      <c r="A399" t="n">
        <v>2.7619972E7</v>
      </c>
      <c r="B399" t="inlineStr">
        <is>
          <t>3,3,4,4,5,5,6,6,7,7,8,8,8-Tridecafluoro-1-octanesulfonic acid</t>
        </is>
      </c>
      <c r="C399"/>
      <c r="D399" t="inlineStr">
        <is>
          <t>Chemical analysis reported</t>
        </is>
      </c>
      <c r="E399"/>
      <c r="F399"/>
      <c r="G399"/>
      <c r="H399"/>
      <c r="I399"/>
      <c r="J399"/>
      <c r="K399" t="inlineStr">
        <is>
          <t>Lithobates pipiens</t>
        </is>
      </c>
      <c r="L399" t="inlineStr">
        <is>
          <t>Leopard Frog</t>
        </is>
      </c>
      <c r="M399" t="inlineStr">
        <is>
          <t>Amphibians; Standard Test Species</t>
        </is>
      </c>
      <c r="N399" t="inlineStr">
        <is>
          <t>Tadpole</t>
        </is>
      </c>
      <c r="O399"/>
      <c r="P399" t="n">
        <v>26.0</v>
      </c>
      <c r="Q399"/>
      <c r="R399"/>
      <c r="S399"/>
      <c r="T399"/>
      <c r="U399" t="inlineStr">
        <is>
          <t>Gosner stage</t>
        </is>
      </c>
      <c r="V399" t="inlineStr">
        <is>
          <t>Renewal</t>
        </is>
      </c>
      <c r="W399" t="inlineStr">
        <is>
          <t>Fresh water</t>
        </is>
      </c>
      <c r="X399" t="inlineStr">
        <is>
          <t>Lab</t>
        </is>
      </c>
      <c r="Y399" t="n">
        <v>4.0</v>
      </c>
      <c r="Z399" t="inlineStr">
        <is>
          <t>Active ingredient</t>
        </is>
      </c>
      <c r="AA399"/>
      <c r="AB399" t="n">
        <v>1.0</v>
      </c>
      <c r="AC399"/>
      <c r="AD399"/>
      <c r="AE399"/>
      <c r="AF399"/>
      <c r="AG399" t="inlineStr">
        <is>
          <t>AI mg/L</t>
        </is>
      </c>
      <c r="AH399"/>
      <c r="AI399"/>
      <c r="AJ399"/>
      <c r="AK399"/>
      <c r="AL399"/>
      <c r="AM399"/>
      <c r="AN399"/>
      <c r="AO399"/>
      <c r="AP399"/>
      <c r="AQ399"/>
      <c r="AR399"/>
      <c r="AS399"/>
      <c r="AT399"/>
      <c r="AU399"/>
      <c r="AV399"/>
      <c r="AW399"/>
      <c r="AX399" t="inlineStr">
        <is>
          <t>Accumulation</t>
        </is>
      </c>
      <c r="AY399" t="inlineStr">
        <is>
          <t>Residue</t>
        </is>
      </c>
      <c r="AZ399" t="inlineStr">
        <is>
          <t>BCF</t>
        </is>
      </c>
      <c r="BA399" t="inlineStr">
        <is>
          <t>Whole organism</t>
        </is>
      </c>
      <c r="BB399"/>
      <c r="BC399" t="n">
        <v>10.0</v>
      </c>
      <c r="BD399"/>
      <c r="BE399"/>
      <c r="BF399"/>
      <c r="BG399"/>
      <c r="BH399" t="inlineStr">
        <is>
          <t>Day(s)</t>
        </is>
      </c>
      <c r="BI399"/>
      <c r="BJ399"/>
      <c r="BK399" t="inlineStr">
        <is>
          <t>&gt;</t>
        </is>
      </c>
      <c r="BL399" t="n">
        <v>0.1</v>
      </c>
      <c r="BM399" t="inlineStr">
        <is>
          <t>&lt;</t>
        </is>
      </c>
      <c r="BN399" t="n">
        <v>1.0</v>
      </c>
      <c r="BO399" t="inlineStr">
        <is>
          <t>RA</t>
        </is>
      </c>
      <c r="BP399"/>
      <c r="BQ399"/>
      <c r="BR399"/>
      <c r="BS399"/>
      <c r="BT399"/>
      <c r="BU399"/>
      <c r="BV399"/>
      <c r="BW399"/>
      <c r="BX399"/>
      <c r="BY399"/>
      <c r="BZ399"/>
      <c r="CA399"/>
      <c r="CB399"/>
      <c r="CC399"/>
      <c r="CD399" t="inlineStr">
        <is>
          <t>Hoover,G.M., M.F. Chislock, B.J. Tornabene, S.C. Guffey, Y.J. Choi, C. De Perre, J.T. Hoverman, L.S. Lee, and M.S. Sepu</t>
        </is>
      </c>
      <c r="CE399" t="n">
        <v>176982.0</v>
      </c>
      <c r="CF399" t="inlineStr">
        <is>
          <t>Uptake and Depuration of Four Per/Polyfluoroalkyl Substances (PFASs) in Northern Leopard Frog Rana pipiens Tadpoles</t>
        </is>
      </c>
      <c r="CG399" t="inlineStr">
        <is>
          <t>Environ. Sci. Technol. Lett.4(10): 399-403</t>
        </is>
      </c>
      <c r="CH399" t="n">
        <v>2017.0</v>
      </c>
      <c r="CI399"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00">
      <c r="A400" t="n">
        <v>2.7619972E7</v>
      </c>
      <c r="B400" t="inlineStr">
        <is>
          <t>3,3,4,4,5,5,6,6,7,7,8,8,8-Tridecafluoro-1-octanesulfonic acid</t>
        </is>
      </c>
      <c r="C400"/>
      <c r="D400" t="inlineStr">
        <is>
          <t>Chemical analysis reported</t>
        </is>
      </c>
      <c r="E400"/>
      <c r="F400"/>
      <c r="G400"/>
      <c r="H400"/>
      <c r="I400"/>
      <c r="J400"/>
      <c r="K400" t="inlineStr">
        <is>
          <t>Lithobates pipiens</t>
        </is>
      </c>
      <c r="L400" t="inlineStr">
        <is>
          <t>Leopard Frog</t>
        </is>
      </c>
      <c r="M400" t="inlineStr">
        <is>
          <t>Amphibians; Standard Test Species</t>
        </is>
      </c>
      <c r="N400" t="inlineStr">
        <is>
          <t>Tadpole</t>
        </is>
      </c>
      <c r="O400"/>
      <c r="P400" t="n">
        <v>26.0</v>
      </c>
      <c r="Q400"/>
      <c r="R400"/>
      <c r="S400"/>
      <c r="T400"/>
      <c r="U400" t="inlineStr">
        <is>
          <t>Gosner stage</t>
        </is>
      </c>
      <c r="V400" t="inlineStr">
        <is>
          <t>Renewal</t>
        </is>
      </c>
      <c r="W400" t="inlineStr">
        <is>
          <t>Fresh water</t>
        </is>
      </c>
      <c r="X400" t="inlineStr">
        <is>
          <t>Lab</t>
        </is>
      </c>
      <c r="Y400" t="n">
        <v>4.0</v>
      </c>
      <c r="Z400" t="inlineStr">
        <is>
          <t>Active ingredient</t>
        </is>
      </c>
      <c r="AA400"/>
      <c r="AB400" t="n">
        <v>0.1</v>
      </c>
      <c r="AC400"/>
      <c r="AD400"/>
      <c r="AE400"/>
      <c r="AF400"/>
      <c r="AG400" t="inlineStr">
        <is>
          <t>AI mg/L</t>
        </is>
      </c>
      <c r="AH400"/>
      <c r="AI400"/>
      <c r="AJ400"/>
      <c r="AK400"/>
      <c r="AL400"/>
      <c r="AM400"/>
      <c r="AN400"/>
      <c r="AO400"/>
      <c r="AP400"/>
      <c r="AQ400"/>
      <c r="AR400"/>
      <c r="AS400"/>
      <c r="AT400"/>
      <c r="AU400"/>
      <c r="AV400"/>
      <c r="AW400"/>
      <c r="AX400" t="inlineStr">
        <is>
          <t>Accumulation</t>
        </is>
      </c>
      <c r="AY400" t="inlineStr">
        <is>
          <t>Residue</t>
        </is>
      </c>
      <c r="AZ400" t="inlineStr">
        <is>
          <t>BCF</t>
        </is>
      </c>
      <c r="BA400" t="inlineStr">
        <is>
          <t>Whole organism</t>
        </is>
      </c>
      <c r="BB400"/>
      <c r="BC400" t="n">
        <v>40.0</v>
      </c>
      <c r="BD400"/>
      <c r="BE400"/>
      <c r="BF400"/>
      <c r="BG400"/>
      <c r="BH400" t="inlineStr">
        <is>
          <t>Day(s)</t>
        </is>
      </c>
      <c r="BI400"/>
      <c r="BJ400"/>
      <c r="BK400" t="inlineStr">
        <is>
          <t>&gt;</t>
        </is>
      </c>
      <c r="BL400" t="n">
        <v>0.1</v>
      </c>
      <c r="BM400" t="inlineStr">
        <is>
          <t>&lt;</t>
        </is>
      </c>
      <c r="BN400" t="n">
        <v>1.0</v>
      </c>
      <c r="BO400" t="inlineStr">
        <is>
          <t>RA</t>
        </is>
      </c>
      <c r="BP400"/>
      <c r="BQ400"/>
      <c r="BR400"/>
      <c r="BS400"/>
      <c r="BT400"/>
      <c r="BU400"/>
      <c r="BV400"/>
      <c r="BW400"/>
      <c r="BX400"/>
      <c r="BY400"/>
      <c r="BZ400"/>
      <c r="CA400"/>
      <c r="CB400"/>
      <c r="CC400"/>
      <c r="CD400" t="inlineStr">
        <is>
          <t>Hoover,G.M., M.F. Chislock, B.J. Tornabene, S.C. Guffey, Y.J. Choi, C. De Perre, J.T. Hoverman, L.S. Lee, and M.S. Sepu</t>
        </is>
      </c>
      <c r="CE400" t="n">
        <v>176982.0</v>
      </c>
      <c r="CF400" t="inlineStr">
        <is>
          <t>Uptake and Depuration of Four Per/Polyfluoroalkyl Substances (PFASs) in Northern Leopard Frog Rana pipiens Tadpoles</t>
        </is>
      </c>
      <c r="CG400" t="inlineStr">
        <is>
          <t>Environ. Sci. Technol. Lett.4(10): 399-403</t>
        </is>
      </c>
      <c r="CH400" t="n">
        <v>2017.0</v>
      </c>
      <c r="CI400"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01">
      <c r="A401" t="n">
        <v>2.7619972E7</v>
      </c>
      <c r="B401" t="inlineStr">
        <is>
          <t>3,3,4,4,5,5,6,6,7,7,8,8,8-Tridecafluoro-1-octanesulfonic acid</t>
        </is>
      </c>
      <c r="C401"/>
      <c r="D401" t="inlineStr">
        <is>
          <t>Chemical analysis reported</t>
        </is>
      </c>
      <c r="E401"/>
      <c r="F401"/>
      <c r="G401"/>
      <c r="H401"/>
      <c r="I401"/>
      <c r="J401"/>
      <c r="K401" t="inlineStr">
        <is>
          <t>Lithobates pipiens</t>
        </is>
      </c>
      <c r="L401" t="inlineStr">
        <is>
          <t>Leopard Frog</t>
        </is>
      </c>
      <c r="M401" t="inlineStr">
        <is>
          <t>Amphibians; Standard Test Species</t>
        </is>
      </c>
      <c r="N401" t="inlineStr">
        <is>
          <t>Tadpole</t>
        </is>
      </c>
      <c r="O401"/>
      <c r="P401" t="n">
        <v>26.0</v>
      </c>
      <c r="Q401"/>
      <c r="R401"/>
      <c r="S401"/>
      <c r="T401"/>
      <c r="U401" t="inlineStr">
        <is>
          <t>Gosner stage</t>
        </is>
      </c>
      <c r="V401" t="inlineStr">
        <is>
          <t>Renewal</t>
        </is>
      </c>
      <c r="W401" t="inlineStr">
        <is>
          <t>Fresh water</t>
        </is>
      </c>
      <c r="X401" t="inlineStr">
        <is>
          <t>Lab</t>
        </is>
      </c>
      <c r="Y401" t="n">
        <v>4.0</v>
      </c>
      <c r="Z401" t="inlineStr">
        <is>
          <t>Active ingredient</t>
        </is>
      </c>
      <c r="AA401"/>
      <c r="AB401" t="n">
        <v>1.0</v>
      </c>
      <c r="AC401"/>
      <c r="AD401"/>
      <c r="AE401"/>
      <c r="AF401"/>
      <c r="AG401" t="inlineStr">
        <is>
          <t>AI mg/L</t>
        </is>
      </c>
      <c r="AH401"/>
      <c r="AI401"/>
      <c r="AJ401"/>
      <c r="AK401"/>
      <c r="AL401"/>
      <c r="AM401"/>
      <c r="AN401"/>
      <c r="AO401"/>
      <c r="AP401"/>
      <c r="AQ401"/>
      <c r="AR401"/>
      <c r="AS401"/>
      <c r="AT401"/>
      <c r="AU401"/>
      <c r="AV401"/>
      <c r="AW401"/>
      <c r="AX401" t="inlineStr">
        <is>
          <t>Accumulation</t>
        </is>
      </c>
      <c r="AY401" t="inlineStr">
        <is>
          <t>Residue</t>
        </is>
      </c>
      <c r="AZ401" t="inlineStr">
        <is>
          <t>BCF</t>
        </is>
      </c>
      <c r="BA401" t="inlineStr">
        <is>
          <t>Whole organism</t>
        </is>
      </c>
      <c r="BB401"/>
      <c r="BC401" t="n">
        <v>20.0</v>
      </c>
      <c r="BD401"/>
      <c r="BE401"/>
      <c r="BF401"/>
      <c r="BG401"/>
      <c r="BH401" t="inlineStr">
        <is>
          <t>Day(s)</t>
        </is>
      </c>
      <c r="BI401"/>
      <c r="BJ401"/>
      <c r="BK401" t="inlineStr">
        <is>
          <t>&gt;</t>
        </is>
      </c>
      <c r="BL401" t="n">
        <v>0.1</v>
      </c>
      <c r="BM401" t="inlineStr">
        <is>
          <t>&lt;</t>
        </is>
      </c>
      <c r="BN401" t="n">
        <v>1.0</v>
      </c>
      <c r="BO401" t="inlineStr">
        <is>
          <t>RA</t>
        </is>
      </c>
      <c r="BP401"/>
      <c r="BQ401"/>
      <c r="BR401"/>
      <c r="BS401"/>
      <c r="BT401"/>
      <c r="BU401"/>
      <c r="BV401"/>
      <c r="BW401"/>
      <c r="BX401"/>
      <c r="BY401"/>
      <c r="BZ401"/>
      <c r="CA401"/>
      <c r="CB401"/>
      <c r="CC401"/>
      <c r="CD401" t="inlineStr">
        <is>
          <t>Hoover,G.M., M.F. Chislock, B.J. Tornabene, S.C. Guffey, Y.J. Choi, C. De Perre, J.T. Hoverman, L.S. Lee, and M.S. Sepu</t>
        </is>
      </c>
      <c r="CE401" t="n">
        <v>176982.0</v>
      </c>
      <c r="CF401" t="inlineStr">
        <is>
          <t>Uptake and Depuration of Four Per/Polyfluoroalkyl Substances (PFASs) in Northern Leopard Frog Rana pipiens Tadpoles</t>
        </is>
      </c>
      <c r="CG401" t="inlineStr">
        <is>
          <t>Environ. Sci. Technol. Lett.4(10): 399-403</t>
        </is>
      </c>
      <c r="CH401" t="n">
        <v>2017.0</v>
      </c>
      <c r="CI401"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02">
      <c r="A402" t="n">
        <v>2.7619972E7</v>
      </c>
      <c r="B402" t="inlineStr">
        <is>
          <t>3,3,4,4,5,5,6,6,7,7,8,8,8-Tridecafluoro-1-octanesulfonic acid</t>
        </is>
      </c>
      <c r="C402"/>
      <c r="D402" t="inlineStr">
        <is>
          <t>Chemical analysis reported</t>
        </is>
      </c>
      <c r="E402"/>
      <c r="F402"/>
      <c r="G402"/>
      <c r="H402"/>
      <c r="I402"/>
      <c r="J402"/>
      <c r="K402" t="inlineStr">
        <is>
          <t>Lithobates pipiens</t>
        </is>
      </c>
      <c r="L402" t="inlineStr">
        <is>
          <t>Leopard Frog</t>
        </is>
      </c>
      <c r="M402" t="inlineStr">
        <is>
          <t>Amphibians; Standard Test Species</t>
        </is>
      </c>
      <c r="N402" t="inlineStr">
        <is>
          <t>Tadpole</t>
        </is>
      </c>
      <c r="O402"/>
      <c r="P402" t="n">
        <v>26.0</v>
      </c>
      <c r="Q402"/>
      <c r="R402"/>
      <c r="S402"/>
      <c r="T402"/>
      <c r="U402" t="inlineStr">
        <is>
          <t>Gosner stage</t>
        </is>
      </c>
      <c r="V402" t="inlineStr">
        <is>
          <t>Renewal</t>
        </is>
      </c>
      <c r="W402" t="inlineStr">
        <is>
          <t>Fresh water</t>
        </is>
      </c>
      <c r="X402" t="inlineStr">
        <is>
          <t>Lab</t>
        </is>
      </c>
      <c r="Y402" t="n">
        <v>4.0</v>
      </c>
      <c r="Z402" t="inlineStr">
        <is>
          <t>Active ingredient</t>
        </is>
      </c>
      <c r="AA402"/>
      <c r="AB402" t="n">
        <v>0.1</v>
      </c>
      <c r="AC402"/>
      <c r="AD402"/>
      <c r="AE402"/>
      <c r="AF402"/>
      <c r="AG402" t="inlineStr">
        <is>
          <t>AI mg/L</t>
        </is>
      </c>
      <c r="AH402"/>
      <c r="AI402"/>
      <c r="AJ402"/>
      <c r="AK402"/>
      <c r="AL402"/>
      <c r="AM402"/>
      <c r="AN402"/>
      <c r="AO402"/>
      <c r="AP402"/>
      <c r="AQ402"/>
      <c r="AR402"/>
      <c r="AS402"/>
      <c r="AT402"/>
      <c r="AU402"/>
      <c r="AV402"/>
      <c r="AW402"/>
      <c r="AX402" t="inlineStr">
        <is>
          <t>Accumulation</t>
        </is>
      </c>
      <c r="AY402" t="inlineStr">
        <is>
          <t>Residue</t>
        </is>
      </c>
      <c r="AZ402" t="inlineStr">
        <is>
          <t>BCF</t>
        </is>
      </c>
      <c r="BA402" t="inlineStr">
        <is>
          <t>Whole organism</t>
        </is>
      </c>
      <c r="BB402"/>
      <c r="BC402" t="n">
        <v>20.0</v>
      </c>
      <c r="BD402"/>
      <c r="BE402"/>
      <c r="BF402"/>
      <c r="BG402"/>
      <c r="BH402" t="inlineStr">
        <is>
          <t>Day(s)</t>
        </is>
      </c>
      <c r="BI402"/>
      <c r="BJ402"/>
      <c r="BK402" t="inlineStr">
        <is>
          <t>&gt;</t>
        </is>
      </c>
      <c r="BL402" t="n">
        <v>0.1</v>
      </c>
      <c r="BM402" t="inlineStr">
        <is>
          <t>&lt;</t>
        </is>
      </c>
      <c r="BN402" t="n">
        <v>1.0</v>
      </c>
      <c r="BO402" t="inlineStr">
        <is>
          <t>RA</t>
        </is>
      </c>
      <c r="BP402"/>
      <c r="BQ402"/>
      <c r="BR402"/>
      <c r="BS402"/>
      <c r="BT402"/>
      <c r="BU402"/>
      <c r="BV402"/>
      <c r="BW402"/>
      <c r="BX402"/>
      <c r="BY402"/>
      <c r="BZ402"/>
      <c r="CA402"/>
      <c r="CB402"/>
      <c r="CC402"/>
      <c r="CD402" t="inlineStr">
        <is>
          <t>Hoover,G.M., M.F. Chislock, B.J. Tornabene, S.C. Guffey, Y.J. Choi, C. De Perre, J.T. Hoverman, L.S. Lee, and M.S. Sepu</t>
        </is>
      </c>
      <c r="CE402" t="n">
        <v>176982.0</v>
      </c>
      <c r="CF402" t="inlineStr">
        <is>
          <t>Uptake and Depuration of Four Per/Polyfluoroalkyl Substances (PFASs) in Northern Leopard Frog Rana pipiens Tadpoles</t>
        </is>
      </c>
      <c r="CG402" t="inlineStr">
        <is>
          <t>Environ. Sci. Technol. Lett.4(10): 399-403</t>
        </is>
      </c>
      <c r="CH402" t="n">
        <v>2017.0</v>
      </c>
      <c r="CI402"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03">
      <c r="A403" t="n">
        <v>2.7619972E7</v>
      </c>
      <c r="B403" t="inlineStr">
        <is>
          <t>3,3,4,4,5,5,6,6,7,7,8,8,8-Tridecafluoro-1-octanesulfonic acid</t>
        </is>
      </c>
      <c r="C403"/>
      <c r="D403" t="inlineStr">
        <is>
          <t>Chemical analysis reported</t>
        </is>
      </c>
      <c r="E403"/>
      <c r="F403"/>
      <c r="G403"/>
      <c r="H403"/>
      <c r="I403"/>
      <c r="J403"/>
      <c r="K403" t="inlineStr">
        <is>
          <t>Lithobates pipiens</t>
        </is>
      </c>
      <c r="L403" t="inlineStr">
        <is>
          <t>Leopard Frog</t>
        </is>
      </c>
      <c r="M403" t="inlineStr">
        <is>
          <t>Amphibians; Standard Test Species</t>
        </is>
      </c>
      <c r="N403" t="inlineStr">
        <is>
          <t>Tadpole</t>
        </is>
      </c>
      <c r="O403"/>
      <c r="P403" t="n">
        <v>26.0</v>
      </c>
      <c r="Q403"/>
      <c r="R403"/>
      <c r="S403"/>
      <c r="T403"/>
      <c r="U403" t="inlineStr">
        <is>
          <t>Gosner stage</t>
        </is>
      </c>
      <c r="V403" t="inlineStr">
        <is>
          <t>Renewal</t>
        </is>
      </c>
      <c r="W403" t="inlineStr">
        <is>
          <t>Fresh water</t>
        </is>
      </c>
      <c r="X403" t="inlineStr">
        <is>
          <t>Lab</t>
        </is>
      </c>
      <c r="Y403" t="n">
        <v>4.0</v>
      </c>
      <c r="Z403" t="inlineStr">
        <is>
          <t>Active ingredient</t>
        </is>
      </c>
      <c r="AA403"/>
      <c r="AB403" t="n">
        <v>0.01</v>
      </c>
      <c r="AC403"/>
      <c r="AD403"/>
      <c r="AE403"/>
      <c r="AF403"/>
      <c r="AG403" t="inlineStr">
        <is>
          <t>AI mg/L</t>
        </is>
      </c>
      <c r="AH403"/>
      <c r="AI403"/>
      <c r="AJ403"/>
      <c r="AK403"/>
      <c r="AL403"/>
      <c r="AM403"/>
      <c r="AN403"/>
      <c r="AO403"/>
      <c r="AP403"/>
      <c r="AQ403"/>
      <c r="AR403"/>
      <c r="AS403"/>
      <c r="AT403"/>
      <c r="AU403"/>
      <c r="AV403"/>
      <c r="AW403"/>
      <c r="AX403" t="inlineStr">
        <is>
          <t>Accumulation</t>
        </is>
      </c>
      <c r="AY403" t="inlineStr">
        <is>
          <t>Residue</t>
        </is>
      </c>
      <c r="AZ403" t="inlineStr">
        <is>
          <t>BCF</t>
        </is>
      </c>
      <c r="BA403" t="inlineStr">
        <is>
          <t>Whole organism</t>
        </is>
      </c>
      <c r="BB403"/>
      <c r="BC403" t="n">
        <v>20.0</v>
      </c>
      <c r="BD403"/>
      <c r="BE403"/>
      <c r="BF403"/>
      <c r="BG403"/>
      <c r="BH403" t="inlineStr">
        <is>
          <t>Day(s)</t>
        </is>
      </c>
      <c r="BI403"/>
      <c r="BJ403"/>
      <c r="BK403" t="inlineStr">
        <is>
          <t>&gt;</t>
        </is>
      </c>
      <c r="BL403" t="n">
        <v>1.0</v>
      </c>
      <c r="BM403" t="inlineStr">
        <is>
          <t>&lt;</t>
        </is>
      </c>
      <c r="BN403" t="n">
        <v>10.0</v>
      </c>
      <c r="BO403" t="inlineStr">
        <is>
          <t>RA</t>
        </is>
      </c>
      <c r="BP403"/>
      <c r="BQ403"/>
      <c r="BR403"/>
      <c r="BS403"/>
      <c r="BT403"/>
      <c r="BU403"/>
      <c r="BV403"/>
      <c r="BW403"/>
      <c r="BX403"/>
      <c r="BY403"/>
      <c r="BZ403"/>
      <c r="CA403"/>
      <c r="CB403"/>
      <c r="CC403"/>
      <c r="CD403" t="inlineStr">
        <is>
          <t>Hoover,G.M., M.F. Chislock, B.J. Tornabene, S.C. Guffey, Y.J. Choi, C. De Perre, J.T. Hoverman, L.S. Lee, and M.S. Sepu</t>
        </is>
      </c>
      <c r="CE403" t="n">
        <v>176982.0</v>
      </c>
      <c r="CF403" t="inlineStr">
        <is>
          <t>Uptake and Depuration of Four Per/Polyfluoroalkyl Substances (PFASs) in Northern Leopard Frog Rana pipiens Tadpoles</t>
        </is>
      </c>
      <c r="CG403" t="inlineStr">
        <is>
          <t>Environ. Sci. Technol. Lett.4(10): 399-403</t>
        </is>
      </c>
      <c r="CH403" t="n">
        <v>2017.0</v>
      </c>
      <c r="CI403"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04">
      <c r="A404" t="n">
        <v>2.7619972E7</v>
      </c>
      <c r="B404" t="inlineStr">
        <is>
          <t>3,3,4,4,5,5,6,6,7,7,8,8,8-Tridecafluoro-1-octanesulfonic acid</t>
        </is>
      </c>
      <c r="C404"/>
      <c r="D404" t="inlineStr">
        <is>
          <t>Chemical analysis reported</t>
        </is>
      </c>
      <c r="E404"/>
      <c r="F404"/>
      <c r="G404"/>
      <c r="H404"/>
      <c r="I404"/>
      <c r="J404"/>
      <c r="K404" t="inlineStr">
        <is>
          <t>Lithobates pipiens</t>
        </is>
      </c>
      <c r="L404" t="inlineStr">
        <is>
          <t>Leopard Frog</t>
        </is>
      </c>
      <c r="M404" t="inlineStr">
        <is>
          <t>Amphibians; Standard Test Species</t>
        </is>
      </c>
      <c r="N404" t="inlineStr">
        <is>
          <t>Tadpole</t>
        </is>
      </c>
      <c r="O404"/>
      <c r="P404" t="n">
        <v>26.0</v>
      </c>
      <c r="Q404"/>
      <c r="R404"/>
      <c r="S404"/>
      <c r="T404"/>
      <c r="U404" t="inlineStr">
        <is>
          <t>Gosner stage</t>
        </is>
      </c>
      <c r="V404" t="inlineStr">
        <is>
          <t>Renewal</t>
        </is>
      </c>
      <c r="W404" t="inlineStr">
        <is>
          <t>Fresh water</t>
        </is>
      </c>
      <c r="X404" t="inlineStr">
        <is>
          <t>Lab</t>
        </is>
      </c>
      <c r="Y404" t="n">
        <v>4.0</v>
      </c>
      <c r="Z404" t="inlineStr">
        <is>
          <t>Active ingredient</t>
        </is>
      </c>
      <c r="AA404"/>
      <c r="AB404" t="n">
        <v>0.01</v>
      </c>
      <c r="AC404"/>
      <c r="AD404"/>
      <c r="AE404"/>
      <c r="AF404"/>
      <c r="AG404" t="inlineStr">
        <is>
          <t>AI mg/L</t>
        </is>
      </c>
      <c r="AH404"/>
      <c r="AI404"/>
      <c r="AJ404"/>
      <c r="AK404"/>
      <c r="AL404"/>
      <c r="AM404"/>
      <c r="AN404"/>
      <c r="AO404"/>
      <c r="AP404"/>
      <c r="AQ404"/>
      <c r="AR404"/>
      <c r="AS404"/>
      <c r="AT404"/>
      <c r="AU404"/>
      <c r="AV404"/>
      <c r="AW404"/>
      <c r="AX404" t="inlineStr">
        <is>
          <t>Accumulation</t>
        </is>
      </c>
      <c r="AY404" t="inlineStr">
        <is>
          <t>Residue</t>
        </is>
      </c>
      <c r="AZ404" t="inlineStr">
        <is>
          <t>BCF</t>
        </is>
      </c>
      <c r="BA404" t="inlineStr">
        <is>
          <t>Whole organism</t>
        </is>
      </c>
      <c r="BB404"/>
      <c r="BC404" t="n">
        <v>10.0</v>
      </c>
      <c r="BD404"/>
      <c r="BE404"/>
      <c r="BF404"/>
      <c r="BG404"/>
      <c r="BH404" t="inlineStr">
        <is>
          <t>Day(s)</t>
        </is>
      </c>
      <c r="BI404" t="inlineStr">
        <is>
          <t>~</t>
        </is>
      </c>
      <c r="BJ404" t="n">
        <v>10.0</v>
      </c>
      <c r="BK404"/>
      <c r="BL404"/>
      <c r="BM404"/>
      <c r="BN404"/>
      <c r="BO404" t="inlineStr">
        <is>
          <t>RA</t>
        </is>
      </c>
      <c r="BP404"/>
      <c r="BQ404"/>
      <c r="BR404"/>
      <c r="BS404"/>
      <c r="BT404"/>
      <c r="BU404"/>
      <c r="BV404"/>
      <c r="BW404"/>
      <c r="BX404"/>
      <c r="BY404"/>
      <c r="BZ404"/>
      <c r="CA404"/>
      <c r="CB404"/>
      <c r="CC404"/>
      <c r="CD404" t="inlineStr">
        <is>
          <t>Hoover,G.M., M.F. Chislock, B.J. Tornabene, S.C. Guffey, Y.J. Choi, C. De Perre, J.T. Hoverman, L.S. Lee, and M.S. Sepu</t>
        </is>
      </c>
      <c r="CE404" t="n">
        <v>176982.0</v>
      </c>
      <c r="CF404" t="inlineStr">
        <is>
          <t>Uptake and Depuration of Four Per/Polyfluoroalkyl Substances (PFASs) in Northern Leopard Frog Rana pipiens Tadpoles</t>
        </is>
      </c>
      <c r="CG404" t="inlineStr">
        <is>
          <t>Environ. Sci. Technol. Lett.4(10): 399-403</t>
        </is>
      </c>
      <c r="CH404" t="n">
        <v>2017.0</v>
      </c>
      <c r="CI404"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405">
      <c r="A405" t="n">
        <v>2.7619972E7</v>
      </c>
      <c r="B405" t="inlineStr">
        <is>
          <t>3,3,4,4,5,5,6,6,7,7,8,8,8-Tridecafluoro-1-octanesulfonic acid</t>
        </is>
      </c>
      <c r="C405"/>
      <c r="D405" t="inlineStr">
        <is>
          <t>Measured</t>
        </is>
      </c>
      <c r="E405" t="inlineStr">
        <is>
          <t>&gt;=</t>
        </is>
      </c>
      <c r="F405" t="n">
        <v>99.0</v>
      </c>
      <c r="G405"/>
      <c r="H405"/>
      <c r="I405"/>
      <c r="J405"/>
      <c r="K405" t="inlineStr">
        <is>
          <t>Lemna minor</t>
        </is>
      </c>
      <c r="L405" t="inlineStr">
        <is>
          <t>Duckweed</t>
        </is>
      </c>
      <c r="M405" t="inlineStr">
        <is>
          <t>Flowers, Trees, Shrubs, Ferns; Standard Test Species; U.S. Invasive Species</t>
        </is>
      </c>
      <c r="N405"/>
      <c r="O405"/>
      <c r="P405"/>
      <c r="Q405"/>
      <c r="R405"/>
      <c r="S405"/>
      <c r="T405"/>
      <c r="U405"/>
      <c r="V405" t="inlineStr">
        <is>
          <t>Renewal</t>
        </is>
      </c>
      <c r="W405" t="inlineStr">
        <is>
          <t>Culture</t>
        </is>
      </c>
      <c r="X405" t="inlineStr">
        <is>
          <t>Lab</t>
        </is>
      </c>
      <c r="Y405" t="n">
        <v>3.0</v>
      </c>
      <c r="Z405" t="inlineStr">
        <is>
          <t>Active ingredient</t>
        </is>
      </c>
      <c r="AA405"/>
      <c r="AB405"/>
      <c r="AC405" t="inlineStr">
        <is>
          <t>&lt;</t>
        </is>
      </c>
      <c r="AD405" t="n">
        <v>0.006</v>
      </c>
      <c r="AE405" t="inlineStr">
        <is>
          <t>~</t>
        </is>
      </c>
      <c r="AF405" t="n">
        <v>0.16</v>
      </c>
      <c r="AG405" t="inlineStr">
        <is>
          <t>AI mg/L</t>
        </is>
      </c>
      <c r="AH405"/>
      <c r="AI405"/>
      <c r="AJ405"/>
      <c r="AK405"/>
      <c r="AL405"/>
      <c r="AM405"/>
      <c r="AN405"/>
      <c r="AO405"/>
      <c r="AP405"/>
      <c r="AQ405"/>
      <c r="AR405"/>
      <c r="AS405"/>
      <c r="AT405"/>
      <c r="AU405"/>
      <c r="AV405"/>
      <c r="AW405"/>
      <c r="AX405" t="inlineStr">
        <is>
          <t>Accumulation</t>
        </is>
      </c>
      <c r="AY405" t="inlineStr">
        <is>
          <t>Multiple measurement terms entered</t>
        </is>
      </c>
      <c r="AZ405"/>
      <c r="BA405" t="inlineStr">
        <is>
          <t>Whole organism</t>
        </is>
      </c>
      <c r="BB405"/>
      <c r="BC405"/>
      <c r="BD405"/>
      <c r="BE405" t="n">
        <v>7.0</v>
      </c>
      <c r="BF405"/>
      <c r="BG405" t="n">
        <v>14.0</v>
      </c>
      <c r="BH405" t="inlineStr">
        <is>
          <t>Day(s)</t>
        </is>
      </c>
      <c r="BI405"/>
      <c r="BJ405"/>
      <c r="BK405"/>
      <c r="BL405"/>
      <c r="BM405"/>
      <c r="BN405"/>
      <c r="BO405" t="inlineStr">
        <is>
          <t>--</t>
        </is>
      </c>
      <c r="BP405"/>
      <c r="BQ405"/>
      <c r="BR405"/>
      <c r="BS405"/>
      <c r="BT405"/>
      <c r="BU405"/>
      <c r="BV405"/>
      <c r="BW405"/>
      <c r="BX405"/>
      <c r="BY405"/>
      <c r="BZ405"/>
      <c r="CA405"/>
      <c r="CB405"/>
      <c r="CC405"/>
      <c r="CD405" t="inlineStr">
        <is>
          <t>Zhang,W.L., and Y.N. Liang</t>
        </is>
      </c>
      <c r="CE405" t="n">
        <v>186169.0</v>
      </c>
      <c r="CF405" t="inlineStr">
        <is>
          <t>Interactions Between Lemna minor (Common Duckweed) and PFAS Intermediates: Perfluorooctanesulfonamide (PFOSA) and 6:2 Fluorotelomer Sulfonate (6:2 FTSA)</t>
        </is>
      </c>
      <c r="CG405" t="inlineStr">
        <is>
          <t>Chemosphere276:7 p.</t>
        </is>
      </c>
      <c r="CH405" t="n">
        <v>2021.0</v>
      </c>
      <c r="CI405" t="inlineStr">
        <is>
          <t>Zhang,W.L., and Y.N. Liang (2021). Interactions Between Lemna minor (Common Duckweed) and PFAS Intermediates: Perfluorooctanesulfonamide (PFOSA) and 6:2 Fluorotelomer Sulfonate (6:2 FTSA). Chemosphere, 276, 7 p. doi:10.1016/j.chemosphere.2021.130165. ECOREF#:186169</t>
        </is>
      </c>
    </row>
    <row r="406">
      <c r="A406" t="n">
        <v>2.7619972E7</v>
      </c>
      <c r="B406" t="inlineStr">
        <is>
          <t>3,3,4,4,5,5,6,6,7,7,8,8,8-Tridecafluoro-1-octanesulfonic acid</t>
        </is>
      </c>
      <c r="C406"/>
      <c r="D406" t="inlineStr">
        <is>
          <t>Measured</t>
        </is>
      </c>
      <c r="E406" t="inlineStr">
        <is>
          <t>&gt;=</t>
        </is>
      </c>
      <c r="F406" t="n">
        <v>93.9</v>
      </c>
      <c r="G406"/>
      <c r="H406"/>
      <c r="I406"/>
      <c r="J406"/>
      <c r="K406" t="inlineStr">
        <is>
          <t>Lemna minor</t>
        </is>
      </c>
      <c r="L406" t="inlineStr">
        <is>
          <t>Duckweed</t>
        </is>
      </c>
      <c r="M406" t="inlineStr">
        <is>
          <t>Flowers, Trees, Shrubs, Ferns; Standard Test Species; U.S. Invasive Species</t>
        </is>
      </c>
      <c r="N406"/>
      <c r="O406"/>
      <c r="P406"/>
      <c r="Q406"/>
      <c r="R406"/>
      <c r="S406"/>
      <c r="T406"/>
      <c r="U406"/>
      <c r="V406" t="inlineStr">
        <is>
          <t>Static</t>
        </is>
      </c>
      <c r="W406" t="inlineStr">
        <is>
          <t>Culture</t>
        </is>
      </c>
      <c r="X406" t="inlineStr">
        <is>
          <t>Lab</t>
        </is>
      </c>
      <c r="Y406" t="n">
        <v>4.0</v>
      </c>
      <c r="Z406" t="inlineStr">
        <is>
          <t>Active ingredient</t>
        </is>
      </c>
      <c r="AA406"/>
      <c r="AB406"/>
      <c r="AC406"/>
      <c r="AD406" t="n">
        <v>9.9E-4</v>
      </c>
      <c r="AE406"/>
      <c r="AF406" t="n">
        <v>10.049</v>
      </c>
      <c r="AG406" t="inlineStr">
        <is>
          <t>AI mg/L</t>
        </is>
      </c>
      <c r="AH406"/>
      <c r="AI406"/>
      <c r="AJ406"/>
      <c r="AK406"/>
      <c r="AL406"/>
      <c r="AM406"/>
      <c r="AN406"/>
      <c r="AO406"/>
      <c r="AP406"/>
      <c r="AQ406"/>
      <c r="AR406"/>
      <c r="AS406"/>
      <c r="AT406"/>
      <c r="AU406"/>
      <c r="AV406"/>
      <c r="AW406"/>
      <c r="AX406" t="inlineStr">
        <is>
          <t>Accumulation</t>
        </is>
      </c>
      <c r="AY406" t="inlineStr">
        <is>
          <t>Residue</t>
        </is>
      </c>
      <c r="AZ406"/>
      <c r="BA406" t="inlineStr">
        <is>
          <t>Whole organism</t>
        </is>
      </c>
      <c r="BB406"/>
      <c r="BC406" t="n">
        <v>4.0</v>
      </c>
      <c r="BD406"/>
      <c r="BE406"/>
      <c r="BF406"/>
      <c r="BG406"/>
      <c r="BH406" t="inlineStr">
        <is>
          <t>Day(s)</t>
        </is>
      </c>
      <c r="BI406"/>
      <c r="BJ406"/>
      <c r="BK406"/>
      <c r="BL406"/>
      <c r="BM406"/>
      <c r="BN406"/>
      <c r="BO406" t="inlineStr">
        <is>
          <t>--</t>
        </is>
      </c>
      <c r="BP406"/>
      <c r="BQ406"/>
      <c r="BR406"/>
      <c r="BS406"/>
      <c r="BT406"/>
      <c r="BU406"/>
      <c r="BV406"/>
      <c r="BW406"/>
      <c r="BX406"/>
      <c r="BY406"/>
      <c r="BZ406"/>
      <c r="CA406"/>
      <c r="CB406"/>
      <c r="CC406"/>
      <c r="CD406" t="inlineStr">
        <is>
          <t>Wu,Y., Q. Xiong, B. Wang, Y. Liu, P. Zhou, L. Hu, F. Liu, and G. Ying</t>
        </is>
      </c>
      <c r="CE406" t="n">
        <v>191130.0</v>
      </c>
      <c r="CF406" t="inlineStr">
        <is>
          <t>Screening of Structural and Functional Alterations in Duckweed (Lemna minor) Induced by Per- and Polyfluoroalkyl Substances (PFASs) with FTIR Spectroscopy</t>
        </is>
      </c>
      <c r="CG406" t="inlineStr">
        <is>
          <t>Environ. Pollut.317:10 p.</t>
        </is>
      </c>
      <c r="CH406" t="n">
        <v>2023.0</v>
      </c>
      <c r="CI406" t="inlineStr">
        <is>
          <t>Wu,Y., Q. Xiong, B. Wang, Y. Liu, P. Zhou, L. Hu, F. Liu, and G. Ying (2023). Screening of Structural and Functional Alterations in Duckweed (Lemna minor) Induced by Per- and Polyfluoroalkyl Substances (PFASs) with FTIR Spectroscopy. Environ. Pollut., 317, 10 p. doi:10.1016/j.envpol.2022.120671. ECOREF#:191130</t>
        </is>
      </c>
    </row>
    <row r="407">
      <c r="A407" t="n">
        <v>2.7619972E7</v>
      </c>
      <c r="B407" t="inlineStr">
        <is>
          <t>3,3,4,4,5,5,6,6,7,7,8,8,8-Tridecafluoro-1-octanesulfonic acid</t>
        </is>
      </c>
      <c r="C407"/>
      <c r="D407" t="inlineStr">
        <is>
          <t>Measured</t>
        </is>
      </c>
      <c r="E407" t="inlineStr">
        <is>
          <t>&gt;=</t>
        </is>
      </c>
      <c r="F407" t="n">
        <v>99.0</v>
      </c>
      <c r="G407"/>
      <c r="H407"/>
      <c r="I407"/>
      <c r="J407"/>
      <c r="K407" t="inlineStr">
        <is>
          <t>Lemna minor</t>
        </is>
      </c>
      <c r="L407" t="inlineStr">
        <is>
          <t>Duckweed</t>
        </is>
      </c>
      <c r="M407" t="inlineStr">
        <is>
          <t>Flowers, Trees, Shrubs, Ferns; Standard Test Species; U.S. Invasive Species</t>
        </is>
      </c>
      <c r="N407"/>
      <c r="O407"/>
      <c r="P407"/>
      <c r="Q407"/>
      <c r="R407"/>
      <c r="S407"/>
      <c r="T407"/>
      <c r="U407"/>
      <c r="V407" t="inlineStr">
        <is>
          <t>Renewal</t>
        </is>
      </c>
      <c r="W407" t="inlineStr">
        <is>
          <t>Culture</t>
        </is>
      </c>
      <c r="X407" t="inlineStr">
        <is>
          <t>Lab</t>
        </is>
      </c>
      <c r="Y407" t="n">
        <v>3.0</v>
      </c>
      <c r="Z407" t="inlineStr">
        <is>
          <t>Active ingredient</t>
        </is>
      </c>
      <c r="AA407"/>
      <c r="AB407"/>
      <c r="AC407" t="inlineStr">
        <is>
          <t>&gt;</t>
        </is>
      </c>
      <c r="AD407" t="n">
        <v>0.006</v>
      </c>
      <c r="AE407" t="inlineStr">
        <is>
          <t>&lt;</t>
        </is>
      </c>
      <c r="AF407" t="n">
        <v>0.16</v>
      </c>
      <c r="AG407" t="inlineStr">
        <is>
          <t>AI mg/L</t>
        </is>
      </c>
      <c r="AH407"/>
      <c r="AI407"/>
      <c r="AJ407"/>
      <c r="AK407"/>
      <c r="AL407"/>
      <c r="AM407"/>
      <c r="AN407"/>
      <c r="AO407"/>
      <c r="AP407"/>
      <c r="AQ407"/>
      <c r="AR407"/>
      <c r="AS407"/>
      <c r="AT407"/>
      <c r="AU407"/>
      <c r="AV407"/>
      <c r="AW407"/>
      <c r="AX407" t="inlineStr">
        <is>
          <t>Accumulation</t>
        </is>
      </c>
      <c r="AY407" t="inlineStr">
        <is>
          <t>Multiple measurement terms entered</t>
        </is>
      </c>
      <c r="AZ407"/>
      <c r="BA407" t="inlineStr">
        <is>
          <t>Whole organism</t>
        </is>
      </c>
      <c r="BB407"/>
      <c r="BC407"/>
      <c r="BD407"/>
      <c r="BE407" t="n">
        <v>7.0</v>
      </c>
      <c r="BF407"/>
      <c r="BG407" t="n">
        <v>14.0</v>
      </c>
      <c r="BH407" t="inlineStr">
        <is>
          <t>Day(s)</t>
        </is>
      </c>
      <c r="BI407"/>
      <c r="BJ407"/>
      <c r="BK407"/>
      <c r="BL407"/>
      <c r="BM407"/>
      <c r="BN407"/>
      <c r="BO407" t="inlineStr">
        <is>
          <t>--</t>
        </is>
      </c>
      <c r="BP407"/>
      <c r="BQ407"/>
      <c r="BR407"/>
      <c r="BS407"/>
      <c r="BT407"/>
      <c r="BU407"/>
      <c r="BV407"/>
      <c r="BW407"/>
      <c r="BX407"/>
      <c r="BY407"/>
      <c r="BZ407"/>
      <c r="CA407"/>
      <c r="CB407"/>
      <c r="CC407"/>
      <c r="CD407" t="inlineStr">
        <is>
          <t>Zhang,W., and Y. Liang</t>
        </is>
      </c>
      <c r="CE407" t="n">
        <v>185970.0</v>
      </c>
      <c r="CF407" t="inlineStr">
        <is>
          <t>Interactions Between Lemna minor (Common Duckweed) and PFAS Intermediates: Perfluorooctanesulfonamide (PFOSA) and 6:2 Fluorotelomer Sulfonate (6:2 FTSA)</t>
        </is>
      </c>
      <c r="CG407" t="inlineStr">
        <is>
          <t>Chemosphere276:13 p.</t>
        </is>
      </c>
      <c r="CH407" t="n">
        <v>2021.0</v>
      </c>
      <c r="CI407" t="inlineStr">
        <is>
          <t>Zhang,W., and Y. Liang (2021). Interactions Between Lemna minor (Common Duckweed) and PFAS Intermediates: Perfluorooctanesulfonamide (PFOSA) and 6:2 Fluorotelomer Sulfonate (6:2 FTSA). Chemosphere, 276, 13 p. ECOREF#:185970</t>
        </is>
      </c>
    </row>
    <row r="408">
      <c r="A408" t="n">
        <v>2.7619972E7</v>
      </c>
      <c r="B408" t="inlineStr">
        <is>
          <t>3,3,4,4,5,5,6,6,7,7,8,8,8-Tridecafluoro-1-octanesulfonic acid</t>
        </is>
      </c>
      <c r="C408"/>
      <c r="D408" t="inlineStr">
        <is>
          <t>Unmeasured</t>
        </is>
      </c>
      <c r="E408" t="inlineStr">
        <is>
          <t>&gt;=</t>
        </is>
      </c>
      <c r="F408" t="n">
        <v>99.0</v>
      </c>
      <c r="G408"/>
      <c r="H408"/>
      <c r="I408"/>
      <c r="J408"/>
      <c r="K408" t="inlineStr">
        <is>
          <t>Eichhornia crassipes</t>
        </is>
      </c>
      <c r="L408" t="inlineStr">
        <is>
          <t>Water-Hyacinth</t>
        </is>
      </c>
      <c r="M408" t="inlineStr">
        <is>
          <t>Flowers, Trees, Shrubs, Ferns; U.S. Invasive Species</t>
        </is>
      </c>
      <c r="N408" t="inlineStr">
        <is>
          <t>Seedling</t>
        </is>
      </c>
      <c r="O408"/>
      <c r="P408" t="n">
        <v>10.0</v>
      </c>
      <c r="Q408"/>
      <c r="R408"/>
      <c r="S408"/>
      <c r="T408"/>
      <c r="U408" t="inlineStr">
        <is>
          <t>Day(s)</t>
        </is>
      </c>
      <c r="V408" t="inlineStr">
        <is>
          <t>Static</t>
        </is>
      </c>
      <c r="W408" t="inlineStr">
        <is>
          <t>Culture</t>
        </is>
      </c>
      <c r="X408" t="inlineStr">
        <is>
          <t>Lab</t>
        </is>
      </c>
      <c r="Y408" t="n">
        <v>2.0</v>
      </c>
      <c r="Z408" t="inlineStr">
        <is>
          <t>Active ingredient</t>
        </is>
      </c>
      <c r="AA408"/>
      <c r="AB408" t="n">
        <v>0.5</v>
      </c>
      <c r="AC408"/>
      <c r="AD408"/>
      <c r="AE408"/>
      <c r="AF408"/>
      <c r="AG408" t="inlineStr">
        <is>
          <t>AI mg/L</t>
        </is>
      </c>
      <c r="AH408"/>
      <c r="AI408"/>
      <c r="AJ408"/>
      <c r="AK408"/>
      <c r="AL408"/>
      <c r="AM408"/>
      <c r="AN408"/>
      <c r="AO408"/>
      <c r="AP408"/>
      <c r="AQ408"/>
      <c r="AR408"/>
      <c r="AS408"/>
      <c r="AT408"/>
      <c r="AU408"/>
      <c r="AV408"/>
      <c r="AW408"/>
      <c r="AX408" t="inlineStr">
        <is>
          <t>Accumulation</t>
        </is>
      </c>
      <c r="AY408" t="inlineStr">
        <is>
          <t>Residue</t>
        </is>
      </c>
      <c r="AZ408"/>
      <c r="BA408" t="inlineStr">
        <is>
          <t>Multiple entries</t>
        </is>
      </c>
      <c r="BB408"/>
      <c r="BC408" t="n">
        <v>60.88</v>
      </c>
      <c r="BD408"/>
      <c r="BE408"/>
      <c r="BF408"/>
      <c r="BG408"/>
      <c r="BH408" t="inlineStr">
        <is>
          <t>Day(s)</t>
        </is>
      </c>
      <c r="BI408"/>
      <c r="BJ408"/>
      <c r="BK408"/>
      <c r="BL408"/>
      <c r="BM408"/>
      <c r="BN408"/>
      <c r="BO408" t="inlineStr">
        <is>
          <t>--</t>
        </is>
      </c>
      <c r="BP408"/>
      <c r="BQ408"/>
      <c r="BR408"/>
      <c r="BS408"/>
      <c r="BT408"/>
      <c r="BU408"/>
      <c r="BV408"/>
      <c r="BW408"/>
      <c r="BX408"/>
      <c r="BY408"/>
      <c r="BZ408"/>
      <c r="CA408"/>
      <c r="CB408"/>
      <c r="CC408"/>
      <c r="CD408" t="inlineStr">
        <is>
          <t>Li,Z., Z. Yao, S. Wang, H. Ni, L. Xiao, Z. Huang, H. Liu, S. He, S. Jin, H. Lu, and J. Chen</t>
        </is>
      </c>
      <c r="CE408" t="n">
        <v>195044.0</v>
      </c>
      <c r="CF408" t="inlineStr">
        <is>
          <t>Exploring the Phytotoxicity Mechanisms of PET Nanoplastics and 6:2 FTSA in Water Hyacinth Under Individual and Combined Exposure Scenarios</t>
        </is>
      </c>
      <c r="CG408" t="inlineStr">
        <is>
          <t>J. Hazard. Mater.489:12 p.</t>
        </is>
      </c>
      <c r="CH408" t="n">
        <v>2025.0</v>
      </c>
      <c r="CI408" t="inlineStr">
        <is>
          <t>Li,Z., Z. Yao, S. Wang, H. Ni, L. Xiao, Z. Huang, H. Liu, S. He, S. Jin, H. Lu, and J. Chen (2025). Exploring the Phytotoxicity Mechanisms of PET Nanoplastics and 6:2 FTSA in Water Hyacinth Under Individual and Combined Exposure Scenarios. J. Hazard. Mater., 489, 12 p. ECOREF#:195044</t>
        </is>
      </c>
    </row>
    <row r="409">
      <c r="A409" t="n">
        <v>5.6773423E7</v>
      </c>
      <c r="B409" t="inlineStr">
        <is>
          <t>N,N,N-triethylethanaminium 1,1,2,2,3,3,4,4,5,5,6,6,7,7,8,8,8-heptadecafluoro-1-octanesulfonate (1:1)</t>
        </is>
      </c>
      <c r="C409"/>
      <c r="D409" t="inlineStr">
        <is>
          <t>Unmeasured</t>
        </is>
      </c>
      <c r="E409"/>
      <c r="F409" t="n">
        <v>98.0</v>
      </c>
      <c r="G409"/>
      <c r="H409"/>
      <c r="I409"/>
      <c r="J409"/>
      <c r="K409" t="inlineStr">
        <is>
          <t>Cyprinus carpio</t>
        </is>
      </c>
      <c r="L409" t="inlineStr">
        <is>
          <t>Common Carp</t>
        </is>
      </c>
      <c r="M409" t="inlineStr">
        <is>
          <t>Fish; Standard Test Species</t>
        </is>
      </c>
      <c r="N409" t="inlineStr">
        <is>
          <t>Juvenile</t>
        </is>
      </c>
      <c r="O409"/>
      <c r="P409"/>
      <c r="Q409"/>
      <c r="R409"/>
      <c r="S409"/>
      <c r="T409"/>
      <c r="U409"/>
      <c r="V409" t="inlineStr">
        <is>
          <t>Renewal</t>
        </is>
      </c>
      <c r="W409" t="inlineStr">
        <is>
          <t>Fresh water</t>
        </is>
      </c>
      <c r="X409" t="inlineStr">
        <is>
          <t>Lab</t>
        </is>
      </c>
      <c r="Y409" t="n">
        <v>4.0</v>
      </c>
      <c r="Z409" t="inlineStr">
        <is>
          <t>Active ingredient</t>
        </is>
      </c>
      <c r="AA409"/>
      <c r="AB409"/>
      <c r="AC409"/>
      <c r="AD409" t="n">
        <v>0.1</v>
      </c>
      <c r="AE409"/>
      <c r="AF409" t="n">
        <v>1.0</v>
      </c>
      <c r="AG409" t="inlineStr">
        <is>
          <t>AI mg/L</t>
        </is>
      </c>
      <c r="AH409"/>
      <c r="AI409"/>
      <c r="AJ409"/>
      <c r="AK409"/>
      <c r="AL409"/>
      <c r="AM409"/>
      <c r="AN409"/>
      <c r="AO409"/>
      <c r="AP409"/>
      <c r="AQ409"/>
      <c r="AR409"/>
      <c r="AS409"/>
      <c r="AT409"/>
      <c r="AU409"/>
      <c r="AV409"/>
      <c r="AW409"/>
      <c r="AX409" t="inlineStr">
        <is>
          <t>Accumulation</t>
        </is>
      </c>
      <c r="AY409" t="inlineStr">
        <is>
          <t>Residue</t>
        </is>
      </c>
      <c r="AZ409"/>
      <c r="BA409" t="inlineStr">
        <is>
          <t>Liver</t>
        </is>
      </c>
      <c r="BB409"/>
      <c r="BC409" t="n">
        <v>14.0</v>
      </c>
      <c r="BD409"/>
      <c r="BE409"/>
      <c r="BF409"/>
      <c r="BG409"/>
      <c r="BH409" t="inlineStr">
        <is>
          <t>Day(s)</t>
        </is>
      </c>
      <c r="BI409"/>
      <c r="BJ409"/>
      <c r="BK409"/>
      <c r="BL409"/>
      <c r="BM409"/>
      <c r="BN409"/>
      <c r="BO409" t="inlineStr">
        <is>
          <t>--</t>
        </is>
      </c>
      <c r="BP409"/>
      <c r="BQ409"/>
      <c r="BR409"/>
      <c r="BS409"/>
      <c r="BT409"/>
      <c r="BU409"/>
      <c r="BV409"/>
      <c r="BW409"/>
      <c r="BX409"/>
      <c r="BY409"/>
      <c r="BZ409"/>
      <c r="CA409"/>
      <c r="CB409"/>
      <c r="CC409"/>
      <c r="CD409" t="inlineStr">
        <is>
          <t>Hagenaars,A., D. Knapen, I.J. Meyer, K. Van der Ven, P. Hoff, and W. De Coen</t>
        </is>
      </c>
      <c r="CE409" t="n">
        <v>114715.0</v>
      </c>
      <c r="CF409" t="inlineStr">
        <is>
          <t>Toxicity Evaluation of Perfluorooctane Sulfonate (PFOS) in the Liver of Common Carp (Cyprinus carpio)</t>
        </is>
      </c>
      <c r="CG409" t="inlineStr">
        <is>
          <t>Aquat. Toxicol.88(3): 155-163</t>
        </is>
      </c>
      <c r="CH409" t="n">
        <v>2008.0</v>
      </c>
      <c r="CI409" t="inlineStr">
        <is>
          <t>Hagenaars,A., D. Knapen, I.J. Meyer, K. Van der Ven, P. Hoff, and W. De Coen (2008). Toxicity Evaluation of Perfluorooctane Sulfonate (PFOS) in the Liver of Common Carp (Cyprinus carpio). Aquat. Toxicol., 88, (3), 155-163. doi:10.1016/j.aquatox.2008.04.002. ECOREF#:114715</t>
        </is>
      </c>
    </row>
    <row r="410">
      <c r="A410" t="n">
        <v>1.651215267E9</v>
      </c>
      <c r="B410" t="inlineStr">
        <is>
          <t>1-Chloro-1,2,2,3,3,4,4,5,5,6,6,7,7,8,8,8-hexadecafluorooctane-1-sulfonic acid</t>
        </is>
      </c>
      <c r="C410"/>
      <c r="D410" t="inlineStr">
        <is>
          <t>Measured</t>
        </is>
      </c>
      <c r="E410" t="inlineStr">
        <is>
          <t>&gt;</t>
        </is>
      </c>
      <c r="F410" t="n">
        <v>98.0</v>
      </c>
      <c r="G410"/>
      <c r="H410"/>
      <c r="I410"/>
      <c r="J410"/>
      <c r="K410" t="inlineStr">
        <is>
          <t>Oncorhynchus mykiss</t>
        </is>
      </c>
      <c r="L410" t="inlineStr">
        <is>
          <t>Rainbow Trout</t>
        </is>
      </c>
      <c r="M410" t="inlineStr">
        <is>
          <t>Fish; Standard Test Species; U.S. Threatened and Endangered Species</t>
        </is>
      </c>
      <c r="N410" t="inlineStr">
        <is>
          <t>Juvenile</t>
        </is>
      </c>
      <c r="O410"/>
      <c r="P410"/>
      <c r="Q410"/>
      <c r="R410"/>
      <c r="S410"/>
      <c r="T410"/>
      <c r="U410"/>
      <c r="V410" t="inlineStr">
        <is>
          <t>Food</t>
        </is>
      </c>
      <c r="W410" t="inlineStr">
        <is>
          <t>Fresh water</t>
        </is>
      </c>
      <c r="X410" t="inlineStr">
        <is>
          <t>Lab</t>
        </is>
      </c>
      <c r="Y410" t="n">
        <v>2.0</v>
      </c>
      <c r="Z410" t="inlineStr">
        <is>
          <t>Active ingredient</t>
        </is>
      </c>
      <c r="AA410"/>
      <c r="AB410" t="n">
        <v>6.84</v>
      </c>
      <c r="AC410"/>
      <c r="AD410"/>
      <c r="AE410"/>
      <c r="AF410"/>
      <c r="AG410" t="inlineStr">
        <is>
          <t>AI mg/kg food</t>
        </is>
      </c>
      <c r="AH410"/>
      <c r="AI410"/>
      <c r="AJ410"/>
      <c r="AK410"/>
      <c r="AL410"/>
      <c r="AM410"/>
      <c r="AN410"/>
      <c r="AO410"/>
      <c r="AP410"/>
      <c r="AQ410"/>
      <c r="AR410"/>
      <c r="AS410"/>
      <c r="AT410"/>
      <c r="AU410"/>
      <c r="AV410"/>
      <c r="AW410"/>
      <c r="AX410" t="inlineStr">
        <is>
          <t>Accumulation</t>
        </is>
      </c>
      <c r="AY410" t="inlineStr">
        <is>
          <t>Residue</t>
        </is>
      </c>
      <c r="AZ410" t="inlineStr">
        <is>
          <t>BAF</t>
        </is>
      </c>
      <c r="BA410" t="inlineStr">
        <is>
          <t>Kidney</t>
        </is>
      </c>
      <c r="BB410" t="inlineStr">
        <is>
          <t>&lt;=</t>
        </is>
      </c>
      <c r="BC410" t="n">
        <v>64.0</v>
      </c>
      <c r="BD410"/>
      <c r="BE410"/>
      <c r="BF410"/>
      <c r="BG410"/>
      <c r="BH410" t="inlineStr">
        <is>
          <t>Day(s)</t>
        </is>
      </c>
      <c r="BI410"/>
      <c r="BJ410" t="n">
        <v>0.272</v>
      </c>
      <c r="BK410"/>
      <c r="BL410"/>
      <c r="BM410"/>
      <c r="BN410"/>
      <c r="BO410" t="inlineStr">
        <is>
          <t>RA</t>
        </is>
      </c>
      <c r="BP410"/>
      <c r="BQ410"/>
      <c r="BR410"/>
      <c r="BS410"/>
      <c r="BT410"/>
      <c r="BU410"/>
      <c r="BV410"/>
      <c r="BW410"/>
      <c r="BX410"/>
      <c r="BY410"/>
      <c r="BZ410"/>
      <c r="CA410"/>
      <c r="CB410"/>
      <c r="CC410"/>
      <c r="CD410" t="inlineStr">
        <is>
          <t>Yi,S., L. Zhu, and S.A. Mabury</t>
        </is>
      </c>
      <c r="CE410" t="n">
        <v>184260.0</v>
      </c>
      <c r="CF410" t="inlineStr">
        <is>
          <t>First Report on In Vivo Pharmacokinetics and Biotransformation of Chlorinated Polyfluoroalkyl Ether Sulfonates in Rainbow Trout</t>
        </is>
      </c>
      <c r="CG410" t="inlineStr">
        <is>
          <t>Environ. Sci. Technol.1:345-354</t>
        </is>
      </c>
      <c r="CH410" t="n">
        <v>2020.0</v>
      </c>
      <c r="CI410" t="inlineStr">
        <is>
          <t>Yi,S., L. Zhu, and S.A. Mabury (2020). First Report on In Vivo Pharmacokinetics and Biotransformation of Chlorinated Polyfluoroalkyl Ether Sulfonates in Rainbow Trout. Environ. Sci. Technol., 1, 345-354. doi:10.1021/acs.est.9b05258. ECOREF#:184260</t>
        </is>
      </c>
    </row>
    <row r="411">
      <c r="A411" t="n">
        <v>1.651215267E9</v>
      </c>
      <c r="B411" t="inlineStr">
        <is>
          <t>1-Chloro-1,2,2,3,3,4,4,5,5,6,6,7,7,8,8,8-hexadecafluorooctane-1-sulfonic acid</t>
        </is>
      </c>
      <c r="C411"/>
      <c r="D411" t="inlineStr">
        <is>
          <t>Measured</t>
        </is>
      </c>
      <c r="E411" t="inlineStr">
        <is>
          <t>&gt;</t>
        </is>
      </c>
      <c r="F411" t="n">
        <v>98.0</v>
      </c>
      <c r="G411"/>
      <c r="H411"/>
      <c r="I411"/>
      <c r="J411"/>
      <c r="K411" t="inlineStr">
        <is>
          <t>Oncorhynchus mykiss</t>
        </is>
      </c>
      <c r="L411" t="inlineStr">
        <is>
          <t>Rainbow Trout</t>
        </is>
      </c>
      <c r="M411" t="inlineStr">
        <is>
          <t>Fish; Standard Test Species; U.S. Threatened and Endangered Species</t>
        </is>
      </c>
      <c r="N411" t="inlineStr">
        <is>
          <t>Juvenile</t>
        </is>
      </c>
      <c r="O411"/>
      <c r="P411"/>
      <c r="Q411"/>
      <c r="R411"/>
      <c r="S411"/>
      <c r="T411"/>
      <c r="U411"/>
      <c r="V411" t="inlineStr">
        <is>
          <t>Food</t>
        </is>
      </c>
      <c r="W411" t="inlineStr">
        <is>
          <t>Fresh water</t>
        </is>
      </c>
      <c r="X411" t="inlineStr">
        <is>
          <t>Lab</t>
        </is>
      </c>
      <c r="Y411" t="n">
        <v>2.0</v>
      </c>
      <c r="Z411" t="inlineStr">
        <is>
          <t>Active ingredient</t>
        </is>
      </c>
      <c r="AA411"/>
      <c r="AB411" t="n">
        <v>6.84</v>
      </c>
      <c r="AC411"/>
      <c r="AD411"/>
      <c r="AE411"/>
      <c r="AF411"/>
      <c r="AG411" t="inlineStr">
        <is>
          <t>AI mg/kg food</t>
        </is>
      </c>
      <c r="AH411"/>
      <c r="AI411"/>
      <c r="AJ411"/>
      <c r="AK411"/>
      <c r="AL411"/>
      <c r="AM411"/>
      <c r="AN411"/>
      <c r="AO411"/>
      <c r="AP411"/>
      <c r="AQ411"/>
      <c r="AR411"/>
      <c r="AS411"/>
      <c r="AT411"/>
      <c r="AU411"/>
      <c r="AV411"/>
      <c r="AW411"/>
      <c r="AX411" t="inlineStr">
        <is>
          <t>Accumulation</t>
        </is>
      </c>
      <c r="AY411" t="inlineStr">
        <is>
          <t>Residue</t>
        </is>
      </c>
      <c r="AZ411" t="inlineStr">
        <is>
          <t>BAF</t>
        </is>
      </c>
      <c r="BA411" t="inlineStr">
        <is>
          <t>Liver</t>
        </is>
      </c>
      <c r="BB411" t="inlineStr">
        <is>
          <t>&lt;=</t>
        </is>
      </c>
      <c r="BC411" t="n">
        <v>64.0</v>
      </c>
      <c r="BD411"/>
      <c r="BE411"/>
      <c r="BF411"/>
      <c r="BG411"/>
      <c r="BH411" t="inlineStr">
        <is>
          <t>Day(s)</t>
        </is>
      </c>
      <c r="BI411"/>
      <c r="BJ411" t="n">
        <v>0.272</v>
      </c>
      <c r="BK411"/>
      <c r="BL411"/>
      <c r="BM411"/>
      <c r="BN411"/>
      <c r="BO411" t="inlineStr">
        <is>
          <t>RA</t>
        </is>
      </c>
      <c r="BP411"/>
      <c r="BQ411"/>
      <c r="BR411"/>
      <c r="BS411"/>
      <c r="BT411"/>
      <c r="BU411"/>
      <c r="BV411"/>
      <c r="BW411"/>
      <c r="BX411"/>
      <c r="BY411"/>
      <c r="BZ411"/>
      <c r="CA411"/>
      <c r="CB411"/>
      <c r="CC411"/>
      <c r="CD411" t="inlineStr">
        <is>
          <t>Yi,S., L. Zhu, and S.A. Mabury</t>
        </is>
      </c>
      <c r="CE411" t="n">
        <v>184260.0</v>
      </c>
      <c r="CF411" t="inlineStr">
        <is>
          <t>First Report on In Vivo Pharmacokinetics and Biotransformation of Chlorinated Polyfluoroalkyl Ether Sulfonates in Rainbow Trout</t>
        </is>
      </c>
      <c r="CG411" t="inlineStr">
        <is>
          <t>Environ. Sci. Technol.1:345-354</t>
        </is>
      </c>
      <c r="CH411" t="n">
        <v>2020.0</v>
      </c>
      <c r="CI411" t="inlineStr">
        <is>
          <t>Yi,S., L. Zhu, and S.A. Mabury (2020). First Report on In Vivo Pharmacokinetics and Biotransformation of Chlorinated Polyfluoroalkyl Ether Sulfonates in Rainbow Trout. Environ. Sci. Technol., 1, 345-354. doi:10.1021/acs.est.9b05258. ECOREF#:184260</t>
        </is>
      </c>
    </row>
    <row r="412">
      <c r="A412" t="n">
        <v>1.651215267E9</v>
      </c>
      <c r="B412" t="inlineStr">
        <is>
          <t>1-Chloro-1,2,2,3,3,4,4,5,5,6,6,7,7,8,8,8-hexadecafluorooctane-1-sulfonic acid</t>
        </is>
      </c>
      <c r="C412"/>
      <c r="D412" t="inlineStr">
        <is>
          <t>Measured</t>
        </is>
      </c>
      <c r="E412" t="inlineStr">
        <is>
          <t>&gt;</t>
        </is>
      </c>
      <c r="F412" t="n">
        <v>98.0</v>
      </c>
      <c r="G412"/>
      <c r="H412"/>
      <c r="I412"/>
      <c r="J412"/>
      <c r="K412" t="inlineStr">
        <is>
          <t>Oncorhynchus mykiss</t>
        </is>
      </c>
      <c r="L412" t="inlineStr">
        <is>
          <t>Rainbow Trout</t>
        </is>
      </c>
      <c r="M412" t="inlineStr">
        <is>
          <t>Fish; Standard Test Species; U.S. Threatened and Endangered Species</t>
        </is>
      </c>
      <c r="N412" t="inlineStr">
        <is>
          <t>Juvenile</t>
        </is>
      </c>
      <c r="O412"/>
      <c r="P412"/>
      <c r="Q412"/>
      <c r="R412"/>
      <c r="S412"/>
      <c r="T412"/>
      <c r="U412"/>
      <c r="V412" t="inlineStr">
        <is>
          <t>Food</t>
        </is>
      </c>
      <c r="W412" t="inlineStr">
        <is>
          <t>Fresh water</t>
        </is>
      </c>
      <c r="X412" t="inlineStr">
        <is>
          <t>Lab</t>
        </is>
      </c>
      <c r="Y412" t="n">
        <v>2.0</v>
      </c>
      <c r="Z412" t="inlineStr">
        <is>
          <t>Active ingredient</t>
        </is>
      </c>
      <c r="AA412"/>
      <c r="AB412" t="n">
        <v>6.84</v>
      </c>
      <c r="AC412"/>
      <c r="AD412"/>
      <c r="AE412"/>
      <c r="AF412"/>
      <c r="AG412" t="inlineStr">
        <is>
          <t>AI mg/kg food</t>
        </is>
      </c>
      <c r="AH412"/>
      <c r="AI412"/>
      <c r="AJ412"/>
      <c r="AK412"/>
      <c r="AL412"/>
      <c r="AM412"/>
      <c r="AN412"/>
      <c r="AO412"/>
      <c r="AP412"/>
      <c r="AQ412"/>
      <c r="AR412"/>
      <c r="AS412"/>
      <c r="AT412"/>
      <c r="AU412"/>
      <c r="AV412"/>
      <c r="AW412"/>
      <c r="AX412" t="inlineStr">
        <is>
          <t>Accumulation</t>
        </is>
      </c>
      <c r="AY412" t="inlineStr">
        <is>
          <t>Residue</t>
        </is>
      </c>
      <c r="AZ412" t="inlineStr">
        <is>
          <t>BAF</t>
        </is>
      </c>
      <c r="BA412" t="inlineStr">
        <is>
          <t>Blood</t>
        </is>
      </c>
      <c r="BB412" t="inlineStr">
        <is>
          <t>&lt;=</t>
        </is>
      </c>
      <c r="BC412" t="n">
        <v>64.0</v>
      </c>
      <c r="BD412"/>
      <c r="BE412"/>
      <c r="BF412"/>
      <c r="BG412"/>
      <c r="BH412" t="inlineStr">
        <is>
          <t>Day(s)</t>
        </is>
      </c>
      <c r="BI412"/>
      <c r="BJ412" t="n">
        <v>0.573</v>
      </c>
      <c r="BK412"/>
      <c r="BL412"/>
      <c r="BM412"/>
      <c r="BN412"/>
      <c r="BO412" t="inlineStr">
        <is>
          <t>RA</t>
        </is>
      </c>
      <c r="BP412"/>
      <c r="BQ412"/>
      <c r="BR412"/>
      <c r="BS412"/>
      <c r="BT412"/>
      <c r="BU412"/>
      <c r="BV412"/>
      <c r="BW412"/>
      <c r="BX412"/>
      <c r="BY412"/>
      <c r="BZ412"/>
      <c r="CA412"/>
      <c r="CB412"/>
      <c r="CC412"/>
      <c r="CD412" t="inlineStr">
        <is>
          <t>Yi,S., L. Zhu, and S.A. Mabury</t>
        </is>
      </c>
      <c r="CE412" t="n">
        <v>184260.0</v>
      </c>
      <c r="CF412" t="inlineStr">
        <is>
          <t>First Report on In Vivo Pharmacokinetics and Biotransformation of Chlorinated Polyfluoroalkyl Ether Sulfonates in Rainbow Trout</t>
        </is>
      </c>
      <c r="CG412" t="inlineStr">
        <is>
          <t>Environ. Sci. Technol.1:345-354</t>
        </is>
      </c>
      <c r="CH412" t="n">
        <v>2020.0</v>
      </c>
      <c r="CI412" t="inlineStr">
        <is>
          <t>Yi,S., L. Zhu, and S.A. Mabury (2020). First Report on In Vivo Pharmacokinetics and Biotransformation of Chlorinated Polyfluoroalkyl Ether Sulfonates in Rainbow Trout. Environ. Sci. Technol., 1, 345-354. doi:10.1021/acs.est.9b05258. ECOREF#:184260</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179520.0</v>
      </c>
      <c r="B2" t="inlineStr">
        <is>
          <t>Abercrombie,S.A., C. De Perre, Y.J. Choi, B.J. Tornabene, M.S. Sepulveda, L.S. Lee, and J.T. Hoverman</t>
        </is>
      </c>
      <c r="C2" t="inlineStr">
        <is>
          <t>Larval Amphibians Rapidly Bioaccumulate Poly- and Perfluoroalkyl Substances</t>
        </is>
      </c>
      <c r="D2" t="inlineStr">
        <is>
          <t>Ecotoxicol. Environ. Saf.178:137-145</t>
        </is>
      </c>
      <c r="E2" t="n">
        <v>2019.0</v>
      </c>
      <c r="F2"/>
      <c r="G2" t="inlineStr">
        <is>
          <t>Abercrombie,S.A., C. De Perre, Y.J. Choi, B.J. Tornabene, M.S. Sepulveda, L.S. Lee, and J.T. Hoverman (2019). Larval Amphibians Rapidly Bioaccumulate Poly- and Perfluoroalkyl Substances. Ecotoxicol. Environ. Saf., 178, 137-145. doi:10.1016/j.ecoenv.2019.04.022. ECOREF#:179520</t>
        </is>
      </c>
      <c r="H2" s="1" t="n">
        <f>HYPERLINK("https://scholar.google.com/scholar?hl=en&amp;as_q=&amp;as_oq=&amp;as_eq=&amp;as_sauthors=&amp;as_publication=&amp;as_ylo=&amp;as_yhi=&amp;as_occt=title&amp;as_sdt=0%2C5&amp;as_epq=%22Larval+Amphibians+Rapidly+Bioaccumulate+Poly-+and+Perfluoroalkyl+Substances", "Google Scholar")</f>
        <v>0.0</v>
      </c>
    </row>
    <row r="3">
      <c r="A3" t="n">
        <v>81515.0</v>
      </c>
      <c r="B3" t="inlineStr">
        <is>
          <t>Ankley,G.T., D.W. Kuehl, M.D. Kahl, K.M. Jensen, A. Linnum, R.L. Leino, and D.A. Villeneuve</t>
        </is>
      </c>
      <c r="C3" t="inlineStr">
        <is>
          <t>Reproductive and Developmental Toxicity and Bioconcentration of Perfluorooctanesulfonate in a Partial Life-Cycle Test with the Fathead Minnow (Pimephales promelas)</t>
        </is>
      </c>
      <c r="D3" t="inlineStr">
        <is>
          <t>Environ. Toxicol. Chem.24(9): 2316-2324</t>
        </is>
      </c>
      <c r="E3" t="n">
        <v>2005.0</v>
      </c>
      <c r="F3"/>
      <c r="G3" t="inlineStr">
        <is>
          <t>Ankley,G.T., D.W. Kuehl, M.D. Kahl, K.M. Jensen, A. Linnum, R.L. Leino, and D.A. Villeneuve (2005). Reproductive and Developmental Toxicity and Bioconcentration of Perfluorooctanesulfonate in a Partial Life-Cycle Test with the Fathead Minnow (Pimephales promelas). Environ. Toxicol. Chem., 24, (9), 2316-2324. doi:10.1897/04-634R.1. ECOREF#:81515</t>
        </is>
      </c>
      <c r="H3" s="2" t="n">
        <f>HYPERLINK("https://scholar.google.com/scholar?hl=en&amp;as_q=&amp;as_oq=&amp;as_eq=&amp;as_sauthors=&amp;as_publication=&amp;as_ylo=&amp;as_yhi=&amp;as_occt=title&amp;as_sdt=0%2C5&amp;as_epq=%22Reproductive+and+Developmental+Toxicity+and+Bioconcentration+of+Perfluorooctanesulfonate+in+a+Partial+Life-Cycle", "Google Scholar")</f>
        <v>0.0</v>
      </c>
    </row>
    <row r="4">
      <c r="A4" t="n">
        <v>77666.0</v>
      </c>
      <c r="B4" t="inlineStr">
        <is>
          <t>Ankley,G.T., D.W. Kuehl, M.D. Kahl, K.M. Jensen, B.C. Butterworth, and J.W. Nichols</t>
        </is>
      </c>
      <c r="C4" t="inlineStr">
        <is>
          <t>Partial Life-Cycle Toxicity and Bioconcentration Modeling of Perfluorooctanesulfonate in the Northern Leopard Frog (Rana pipiens)</t>
        </is>
      </c>
      <c r="D4" t="inlineStr">
        <is>
          <t>Environ. Toxicol. Chem.23(11): 2745-2755</t>
        </is>
      </c>
      <c r="E4" t="n">
        <v>2004.0</v>
      </c>
      <c r="F4"/>
      <c r="G4" t="inlineStr">
        <is>
          <t>Ankley,G.T., D.W. Kuehl, M.D. Kahl, K.M. Jensen, B.C. Butterworth, and J.W. Nichols (2004). Partial Life-Cycle Toxicity and Bioconcentration Modeling of Perfluorooctanesulfonate in the Northern Leopard Frog (Rana pipiens). Environ. Toxicol. Chem., 23, (11), 2745-2755. doi:10.1897/03-667. ECOREF#:77666</t>
        </is>
      </c>
      <c r="H4" s="3" t="n">
        <f>HYPERLINK("https://scholar.google.com/scholar?hl=en&amp;as_q=&amp;as_oq=&amp;as_eq=&amp;as_sauthors=&amp;as_publication=&amp;as_ylo=&amp;as_yhi=&amp;as_occt=title&amp;as_sdt=0%2C5&amp;as_epq=%22Partial+Life-Cycle+Toxicity+and+Bioconcentration+Modeling+of+Perfluorooctanesulfonate+in+the+Northern+Leopard+Fr", "Google Scholar")</f>
        <v>0.0</v>
      </c>
    </row>
    <row r="5">
      <c r="A5" t="n">
        <v>158213.0</v>
      </c>
      <c r="B5" t="inlineStr">
        <is>
          <t>Anselmo,H.M.R., L. Koerting, S. Devito, J.H.J. Van den Berg, M. Dubbeldam, C. Kwadijk, and A.J. Murk</t>
        </is>
      </c>
      <c r="C5" t="inlineStr">
        <is>
          <t>Early Life Developmental Effects of Marine Persistent Organic Pollutants on the Sea Urchin Psammechinus miliaris</t>
        </is>
      </c>
      <c r="D5" t="inlineStr">
        <is>
          <t>Ecotoxicol. Environ. Saf.74(8): 2182-2192</t>
        </is>
      </c>
      <c r="E5" t="n">
        <v>2011.0</v>
      </c>
      <c r="F5"/>
      <c r="G5" t="inlineStr">
        <is>
          <t>Anselmo,H.M.R., L. Koerting, S. Devito, J.H.J. Van den Berg, M. Dubbeldam, C. Kwadijk, and A.J. Murk (2011). Early Life Developmental Effects of Marine Persistent Organic Pollutants on the Sea Urchin Psammechinus miliaris. Ecotoxicol. Environ. Saf., 74, (8), 2182-2192. doi:10.1016/j.ecoenv.2011.07.037. ECOREF#:158213</t>
        </is>
      </c>
      <c r="H5" s="4" t="n">
        <f>HYPERLINK("https://scholar.google.com/scholar?hl=en&amp;as_q=&amp;as_oq=&amp;as_eq=&amp;as_sauthors=&amp;as_publication=&amp;as_ylo=&amp;as_yhi=&amp;as_occt=title&amp;as_sdt=0%2C5&amp;as_epq=%22Early+Life+Developmental+Effects+of+Marine+Persistent+Organic+Pollutants+on+the+Sea+Urchin+Psammechinus+miliaris", "Google Scholar")</f>
        <v>0.0</v>
      </c>
    </row>
    <row r="6">
      <c r="A6" t="n">
        <v>185278.0</v>
      </c>
      <c r="B6" t="inlineStr">
        <is>
          <t>Aquilina-Beck,A.A., J.L. Reiner, K.W. Chung, M.J. DeLise, P.B. Key, and M.E. DeLorenzo</t>
        </is>
      </c>
      <c r="C6" t="inlineStr">
        <is>
          <t>Uptake and Biological Effects of Perfluorooctane Sulfonate Exposure in the Adult Eastern Oyster Crassostrea virginica</t>
        </is>
      </c>
      <c r="D6" t="inlineStr">
        <is>
          <t>Arch. Environ. Contam. Toxicol.79(3): 333-342</t>
        </is>
      </c>
      <c r="E6" t="n">
        <v>2020.0</v>
      </c>
      <c r="F6"/>
      <c r="G6" t="inlineStr">
        <is>
          <t>Aquilina-Beck,A.A., J.L. Reiner, K.W. Chung, M.J. DeLise, P.B. Key, and M.E. DeLorenzo (2020). Uptake and Biological Effects of Perfluorooctane Sulfonate Exposure in the Adult Eastern Oyster Crassostrea virginica. Arch. Environ. Contam. Toxicol., 79, (3), 333-342. doi:10.1007/s00244-020-00765-4. ECOREF#:185278</t>
        </is>
      </c>
      <c r="H6" s="5" t="n">
        <f>HYPERLINK("https://scholar.google.com/scholar?hl=en&amp;as_q=&amp;as_oq=&amp;as_eq=&amp;as_sauthors=&amp;as_publication=&amp;as_ylo=&amp;as_yhi=&amp;as_occt=title&amp;as_sdt=0%2C5&amp;as_epq=%22Uptake+and+Biological+Effects+of+Perfluorooctane+Sulfonate+Exposure+in+the+Adult+Eastern+Oyster+Crassostrea+virg", "Google Scholar")</f>
        <v>0.0</v>
      </c>
    </row>
    <row r="7">
      <c r="A7" t="n">
        <v>166317.0</v>
      </c>
      <c r="B7" t="inlineStr">
        <is>
          <t>Arukwe,A., M.V. Cangialosi, R.J. Letcher, E. Rocha, and A.S. Mortensen</t>
        </is>
      </c>
      <c r="C7" t="inlineStr">
        <is>
          <t>Changes in Morphometry and Association Between Whole-Body Fatty Acids and Steroid Hormone Profiles in Relation to Bioaccumulation Patterns in Salmon Larvae Exposed to Perfluorooctane Sulfonic or Perfluorooctane Carboxyl</t>
        </is>
      </c>
      <c r="D7" t="inlineStr">
        <is>
          <t>Aquat. Toxicol.130/131:219-230</t>
        </is>
      </c>
      <c r="E7" t="n">
        <v>2013.0</v>
      </c>
      <c r="F7"/>
      <c r="G7" t="inlineStr">
        <is>
          <t>Arukwe,A., M.V. Cangialosi, R.J. Letcher, E. Rocha, and A.S. Mortensen (2013). Changes in Morphometry and Association Between Whole-Body Fatty Acids and Steroid Hormone Profiles in Relation to Bioaccumulation Patterns in Salmon Larvae Exposed to Perfluorooctane Sulfonic or Perfluorooctane Carboxyl. Aquat. Toxicol., 130/131, 219-230. doi:10.1016/j.aquatox.2012.12.026. ECOREF#:166317</t>
        </is>
      </c>
      <c r="H7" s="6" t="n">
        <f>HYPERLINK("https://scholar.google.com/scholar?hl=en&amp;as_q=&amp;as_oq=&amp;as_eq=&amp;as_sauthors=&amp;as_publication=&amp;as_ylo=&amp;as_yhi=&amp;as_occt=title&amp;as_sdt=0%2C5&amp;as_epq=%22Changes+in+Morphometry+and+Association+Between+Whole-Body+Fatty+Acids+and+Steroid+Hormone+Profiles+in+Relation+t", "Google Scholar")</f>
        <v>0.0</v>
      </c>
    </row>
    <row r="8">
      <c r="A8" t="n">
        <v>184739.0</v>
      </c>
      <c r="B8" t="inlineStr">
        <is>
          <t>Avellan-Llaguno,R.D., X. Liu, L. Liu, S. Dong, and Q. Huang</t>
        </is>
      </c>
      <c r="C8" t="inlineStr">
        <is>
          <t>Elevated Bioaccumulation of PFAAs in Oryzias melastigma Following the Increase of Salinity Is Associated with the up-Regulated Expression of PFAA-Binding Proteins</t>
        </is>
      </c>
      <c r="D8" t="inlineStr">
        <is>
          <t>Sci. Total Environ.725:10 p.</t>
        </is>
      </c>
      <c r="E8" t="n">
        <v>2020.0</v>
      </c>
      <c r="F8"/>
      <c r="G8"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c r="H8" s="7" t="n">
        <f>HYPERLINK("https://scholar.google.com/scholar?hl=en&amp;as_q=&amp;as_oq=&amp;as_eq=&amp;as_sauthors=&amp;as_publication=&amp;as_ylo=&amp;as_yhi=&amp;as_occt=title&amp;as_sdt=0%2C5&amp;as_epq=%22Elevated+Bioaccumulation+of+PFAAs+in+Oryzias+melastigma+Following+the+Increase+of+Salinity+Is+Associated+with+th", "Google Scholar")</f>
        <v>0.0</v>
      </c>
    </row>
    <row r="9">
      <c r="A9" t="n">
        <v>188753.0</v>
      </c>
      <c r="B9" t="inlineStr">
        <is>
          <t>Bednarz,V.N., S. Choyke, L.F.B. Marangoni, E.I. Otto, E. Beraud, M. Metian, I. Tolosa, and C. Ferrier-Pages</t>
        </is>
      </c>
      <c r="C9" t="inlineStr">
        <is>
          <t>Acute Exposure to Perfluorooctane Sulfonate Exacerbates Heat-Induced Oxidative Stress in a Tropical Coral Species</t>
        </is>
      </c>
      <c r="D9" t="inlineStr">
        <is>
          <t>Environ. Pollut.302:10 p.</t>
        </is>
      </c>
      <c r="E9" t="n">
        <v>2022.0</v>
      </c>
      <c r="F9"/>
      <c r="G9" t="inlineStr">
        <is>
          <t>Bednarz,V.N., S. Choyke, L.F.B. Marangoni, E.I. Otto, E. Beraud, M. Metian, I. Tolosa, and C. Ferrier-Pages (2022). Acute Exposure to Perfluorooctane Sulfonate Exacerbates Heat-Induced Oxidative Stress in a Tropical Coral Species. Environ. Pollut., 302, 10 p. doi:10.1016/j.envpol.2022.119054. ECOREF#:188753</t>
        </is>
      </c>
      <c r="H9" s="8" t="n">
        <f>HYPERLINK("https://scholar.google.com/scholar?hl=en&amp;as_q=&amp;as_oq=&amp;as_eq=&amp;as_sauthors=&amp;as_publication=&amp;as_ylo=&amp;as_yhi=&amp;as_occt=title&amp;as_sdt=0%2C5&amp;as_epq=%22Acute+Exposure+to+Perfluorooctane+Sulfonate+Exacerbates+Heat-Induced+Oxidative+Stress+in+a+Tropical+Coral+Specie", "Google Scholar")</f>
        <v>0.0</v>
      </c>
    </row>
    <row r="10">
      <c r="A10" t="n">
        <v>188756.0</v>
      </c>
      <c r="B10" t="inlineStr">
        <is>
          <t>Bi,C.Q., M. Junaid, Y. Liu, W.J. Guo, X.L. Jiang, B.Z. Pan, Z.G.S. Li, and N. Xu</t>
        </is>
      </c>
      <c r="C10" t="inlineStr">
        <is>
          <t>Graphene Oxide Chronic Exposure Enhanced Perfluorooctane Sulfonate Mediated Toxicity Through Oxidative Stress Generation in Freshwater Clam Corbicula fluminea</t>
        </is>
      </c>
      <c r="D10" t="inlineStr">
        <is>
          <t>Chemosphere297:12 p.</t>
        </is>
      </c>
      <c r="E10" t="n">
        <v>2022.0</v>
      </c>
      <c r="F10"/>
      <c r="G10" t="inlineStr">
        <is>
          <t>Bi,C.Q., M. Junaid, Y. Liu, W.J. Guo, X.L. Jiang, B.Z. Pan, Z.G.S. Li, and N. Xu (2022). Graphene Oxide Chronic Exposure Enhanced Perfluorooctane Sulfonate Mediated Toxicity Through Oxidative Stress Generation in Freshwater Clam Corbicula fluminea. Chemosphere, 297, 12 p. doi:10.1016/j.chemosphere.2022.134242. ECOREF#:188756</t>
        </is>
      </c>
      <c r="H10" s="9" t="n">
        <f>HYPERLINK("https://scholar.google.com/scholar?hl=en&amp;as_q=&amp;as_oq=&amp;as_eq=&amp;as_sauthors=&amp;as_publication=&amp;as_ylo=&amp;as_yhi=&amp;as_occt=title&amp;as_sdt=0%2C5&amp;as_epq=%22Graphene+Oxide+Chronic+Exposure+Enhanced+Perfluorooctane+Sulfonate+Mediated+Toxicity+Through+Oxidative+Stress+Ge", "Google Scholar")</f>
        <v>0.0</v>
      </c>
    </row>
    <row r="11">
      <c r="A11" t="n">
        <v>193776.0</v>
      </c>
      <c r="B11" t="inlineStr">
        <is>
          <t>Burcham,L.E., T.D. Hoskins, E.B. Allmon, M.N. Scherer, A.G. Bushong, M.T. Hamilton, S. Macheri, G.S. Coogan, Y.J. Choi,</t>
        </is>
      </c>
      <c r="C11" t="inlineStr">
        <is>
          <t>Does Salinity Mediate the Toxicity of Perfluorooctanesulfonic Acid (PFOS) in an Estuarine Fish?</t>
        </is>
      </c>
      <c r="D11" t="inlineStr">
        <is>
          <t>Mar. Pollut. Bull.203:7 p.</t>
        </is>
      </c>
      <c r="E11" t="n">
        <v>2024.0</v>
      </c>
      <c r="F11"/>
      <c r="G11" t="inlineStr">
        <is>
          <t>Burcham,L.E., T.D. Hoskins, E.B. Allmon, M.N. Scherer, A.G. Bushong, M.T. Hamilton, S. Macheri, G.S. Coogan, Y.J. Choi, (2024). Does Salinity Mediate the Toxicity of Perfluorooctanesulfonic Acid (PFOS) in an Estuarine Fish?. Mar. Pollut. Bull., 203, 7 p. doi:10.1016/j.marpolbul.2024.116446. ECOREF#:193776</t>
        </is>
      </c>
      <c r="H11" s="10" t="n">
        <f>HYPERLINK("https://scholar.google.com/scholar?hl=en&amp;as_q=&amp;as_oq=&amp;as_eq=&amp;as_sauthors=&amp;as_publication=&amp;as_ylo=&amp;as_yhi=&amp;as_occt=title&amp;as_sdt=0%2C5&amp;as_epq=%22Does+Salinity+Mediate+the+Toxicity+of+Perfluorooctanesulfonic+Acid+%28PFOS%29+in+an+Estuarine+Fish%3F", "Google Scholar")</f>
        <v>0.0</v>
      </c>
    </row>
    <row r="12">
      <c r="A12" t="n">
        <v>194975.0</v>
      </c>
      <c r="B12" t="inlineStr">
        <is>
          <t>Cao,X., Y. Li, X. Liu, K. Li, S. Hong, H. Chen, Q. Rao, H. Li, Z. Deng, and W. Song</t>
        </is>
      </c>
      <c r="C12" t="inlineStr">
        <is>
          <t>Neurodevelopmental Effects of Exposure to Environmentally Relevant Concentrations of Perfluorooctane Sulfonic Acid (PFOS), Perfluorobutanesulfonic Acid (PFBS) and 6:2 Chlorinated Polyfluorinated Ether Sulfonate (6:2 Cl-</t>
        </is>
      </c>
      <c r="D12" t="inlineStr">
        <is>
          <t>J. Hazard. Mater.494:16 p.</t>
        </is>
      </c>
      <c r="E12" t="n">
        <v>2025.0</v>
      </c>
      <c r="F12"/>
      <c r="G12" t="inlineStr">
        <is>
          <t>Cao,X., Y. Li, X. Liu, K. Li, S. Hong, H. Chen, Q. Rao, H. Li, Z. Deng, and W. Song (2025). Neurodevelopmental Effects of Exposure to Environmentally Relevant Concentrations of Perfluorooctane Sulfonic Acid (PFOS), Perfluorobutanesulfonic Acid (PFBS) and 6:2 Chlorinated Polyfluorinated Ether Sulfonate (6:2 Cl-. J. Hazard. Mater., 494, 16 p. doi:10.1016/j.jhazmat.2025.138744. ECOREF#:194975</t>
        </is>
      </c>
      <c r="H12" s="11" t="n">
        <f>HYPERLINK("https://scholar.google.com/scholar?hl=en&amp;as_q=&amp;as_oq=&amp;as_eq=&amp;as_sauthors=&amp;as_publication=&amp;as_ylo=&amp;as_yhi=&amp;as_occt=title&amp;as_sdt=0%2C5&amp;as_epq=%22Neurodevelopmental+Effects+of+Exposure+to+Environmentally+Relevant+Concentrations+of+Perfluorooctane+Sulfonic+Ac", "Google Scholar")</f>
        <v>0.0</v>
      </c>
    </row>
    <row r="13">
      <c r="A13" t="n">
        <v>193643.0</v>
      </c>
      <c r="B13" t="inlineStr">
        <is>
          <t>Chen,H., Y. Zou, X. Kang, G. Yang, X. Yang, Y. Yao, J.T. Magnuson, X. Cao, W. Qiu, E.G. Xu, and C. Zheng</t>
        </is>
      </c>
      <c r="C13" t="inlineStr">
        <is>
          <t>Perfluorooctane Sulfonamide Induced Autotoxic Effects on the Zebrafish Immune System</t>
        </is>
      </c>
      <c r="D13" t="inlineStr">
        <is>
          <t>Environ. Sci. Technol.58(30): 13205-13216</t>
        </is>
      </c>
      <c r="E13" t="n">
        <v>2024.0</v>
      </c>
      <c r="F13"/>
      <c r="G13" t="inlineStr">
        <is>
          <t>Chen,H., Y. Zou, X. Kang, G. Yang, X. Yang, Y. Yao, J.T. Magnuson, X. Cao, W. Qiu, E.G. Xu, and C. Zheng (2024). Perfluorooctane Sulfonamide Induced Autotoxic Effects on the Zebrafish Immune System. Environ. Sci. Technol., 58, (30), 13205-13216. ECOREF#:193643</t>
        </is>
      </c>
      <c r="H13" s="12" t="n">
        <f>HYPERLINK("https://scholar.google.com/scholar?hl=en&amp;as_q=&amp;as_oq=&amp;as_eq=&amp;as_sauthors=&amp;as_publication=&amp;as_ylo=&amp;as_yhi=&amp;as_occt=title&amp;as_sdt=0%2C5&amp;as_epq=%22Perfluorooctane+Sulfonamide+Induced+Autotoxic+Effects+on+the+Zebrafish+Immune+System", "Google Scholar")</f>
        <v>0.0</v>
      </c>
    </row>
    <row r="14">
      <c r="A14" t="n">
        <v>178023.0</v>
      </c>
      <c r="B14" t="inlineStr">
        <is>
          <t>Chen,J., L. Zheng, L. Tian, N. Wang, L. Lei, Y. Wang, Q. Dong, C. Huang, and D. Yang</t>
        </is>
      </c>
      <c r="C14" t="inlineStr">
        <is>
          <t>Chronic PFOS Exposure Disrupts Thyroid Structure and Function in Zebrafish</t>
        </is>
      </c>
      <c r="D14" t="inlineStr">
        <is>
          <t>Bull. Environ. Contam. Toxicol.101(1): 75-79</t>
        </is>
      </c>
      <c r="E14" t="n">
        <v>2018.0</v>
      </c>
      <c r="F14"/>
      <c r="G14" t="inlineStr">
        <is>
          <t>Chen,J., L. Zheng, L. Tian, N. Wang, L. Lei, Y. Wang, Q. Dong, C. Huang, and D. Yang (2018). Chronic PFOS Exposure Disrupts Thyroid Structure and Function in Zebrafish. Bull. Environ. Contam. Toxicol., 101, (1), 75-79. doi:10.1007/s00128-018-2359-8. ECOREF#:178023</t>
        </is>
      </c>
      <c r="H14" s="13" t="n">
        <f>HYPERLINK("https://scholar.google.com/scholar?hl=en&amp;as_q=&amp;as_oq=&amp;as_eq=&amp;as_sauthors=&amp;as_publication=&amp;as_ylo=&amp;as_yhi=&amp;as_occt=title&amp;as_sdt=0%2C5&amp;as_epq=%22Chronic+PFOS+Exposure+Disrupts+Thyroid+Structure+and+Function+in+Zebrafish", "Google Scholar")</f>
        <v>0.0</v>
      </c>
    </row>
    <row r="15">
      <c r="A15" t="n">
        <v>175218.0</v>
      </c>
      <c r="B15" t="inlineStr">
        <is>
          <t>Chen,M., L. Qiang, X. Pan, S. Fang, Y. Han, and L. Zhu</t>
        </is>
      </c>
      <c r="C15" t="inlineStr">
        <is>
          <t>In Vivo and In Vitro Isomer-Specific Biotransformation of Perfluorooctane Sulfonamide in Common Carp (Cyprinus carpio)</t>
        </is>
      </c>
      <c r="D15" t="inlineStr">
        <is>
          <t>Environ. Sci. Technol.49(23): 13817-13824</t>
        </is>
      </c>
      <c r="E15" t="n">
        <v>2015.0</v>
      </c>
      <c r="F15"/>
      <c r="G15" t="inlineStr">
        <is>
          <t>Chen,M., L. Qiang, X. Pan, S. Fang, Y. Han, and L. Zhu (2015). In Vivo and In Vitro Isomer-Specific Biotransformation of Perfluorooctane Sulfonamide in Common Carp (Cyprinus carpio). Environ. Sci. Technol., 49, (23), 13817-13824. doi:10.1021/acs.est.5b00488. ECOREF#:175218</t>
        </is>
      </c>
      <c r="H15" s="14" t="n">
        <f>HYPERLINK("https://scholar.google.com/scholar?hl=en&amp;as_q=&amp;as_oq=&amp;as_eq=&amp;as_sauthors=&amp;as_publication=&amp;as_ylo=&amp;as_yhi=&amp;as_occt=title&amp;as_sdt=0%2C5&amp;as_epq=%22In+Vivo+and+In+Vitro+Isomer-Specific+Biotransformation+of+Perfluorooctane+Sulfonamide+in+Common+Carp+%28Cyprinus", "Google Scholar")</f>
        <v>0.0</v>
      </c>
    </row>
    <row r="16">
      <c r="A16" t="n">
        <v>193622.0</v>
      </c>
      <c r="B16" t="inlineStr">
        <is>
          <t>Chen,Z.W., Z.L. Hua, and P. Guo</t>
        </is>
      </c>
      <c r="C16" t="inlineStr">
        <is>
          <t>The Bioaccumulation and Ecotoxicity of Co-Exposure of Per(Poly)Fluoroalkyl Substances and Polystyrene Microplastics to Eichhornia crassipes</t>
        </is>
      </c>
      <c r="D16" t="inlineStr">
        <is>
          <t>Water Res.260:16 p.</t>
        </is>
      </c>
      <c r="E16" t="n">
        <v>2024.0</v>
      </c>
      <c r="F16"/>
      <c r="G16" t="inlineStr">
        <is>
          <t>Chen,Z.W., Z.L. Hua, and P. Guo (2024). The Bioaccumulation and Ecotoxicity of Co-Exposure of Per(Poly)Fluoroalkyl Substances and Polystyrene Microplastics to Eichhornia crassipes. Water Res., 260, 16 p. doi:10.1016/j.watres.2024.121878. ECOREF#:193622</t>
        </is>
      </c>
      <c r="H16" s="15" t="n">
        <f>HYPERLINK("https://scholar.google.com/scholar?hl=en&amp;as_q=&amp;as_oq=&amp;as_eq=&amp;as_sauthors=&amp;as_publication=&amp;as_ylo=&amp;as_yhi=&amp;as_occt=title&amp;as_sdt=0%2C5&amp;as_epq=%22The+Bioaccumulation+and+Ecotoxicity+of+Co-Exposure+of+Per%28Poly%29Fluoroalkyl+Substances+and+Polystyrene+Microp", "Google Scholar")</f>
        <v>0.0</v>
      </c>
    </row>
    <row r="17">
      <c r="A17" t="n">
        <v>175649.0</v>
      </c>
      <c r="B17" t="inlineStr">
        <is>
          <t>Cheng,J., S. Lv, S. Nie, J. Liu, S. Tong, N. Kang, Y. Xiao, Q. Dong, C. Huang, and D. Yang</t>
        </is>
      </c>
      <c r="C17" t="inlineStr">
        <is>
          <t>Chronic Perfluorooctane Sulfonate (PFOS) Exposure Induces Hepatic Steatosis in Zebrafish</t>
        </is>
      </c>
      <c r="D17" t="inlineStr">
        <is>
          <t>Aquat. Toxicol.176:45-52</t>
        </is>
      </c>
      <c r="E17" t="n">
        <v>2016.0</v>
      </c>
      <c r="F17"/>
      <c r="G17" t="inlineStr">
        <is>
          <t>Cheng,J., S. Lv, S. Nie, J. Liu, S. Tong, N. Kang, Y. Xiao, Q. Dong, C. Huang, and D. Yang (2016). Chronic Perfluorooctane Sulfonate (PFOS) Exposure Induces Hepatic Steatosis in Zebrafish. Aquat. Toxicol., 176, 45-52. doi:10.1016/j.aquatox.2016.04.013. ECOREF#:175649</t>
        </is>
      </c>
      <c r="H17" s="16" t="n">
        <f>HYPERLINK("https://scholar.google.com/scholar?hl=en&amp;as_q=&amp;as_oq=&amp;as_eq=&amp;as_sauthors=&amp;as_publication=&amp;as_ylo=&amp;as_yhi=&amp;as_occt=title&amp;as_sdt=0%2C5&amp;as_epq=%22Chronic+Perfluorooctane+Sulfonate+%28PFOS%29+Exposure+Induces+Hepatic+Steatosis+in+Zebrafish", "Google Scholar")</f>
        <v>0.0</v>
      </c>
    </row>
    <row r="18">
      <c r="A18" t="n">
        <v>184736.0</v>
      </c>
      <c r="B18" t="inlineStr">
        <is>
          <t>Christou,M., T.W.K. Fraser, V. Berg, E. Ropstad, and J.H. Kamstra</t>
        </is>
      </c>
      <c r="C18" t="inlineStr">
        <is>
          <t>Calcium Signaling as a Possible Mechanism Behind Increased Locomotor Response in Zebrafish Larvae Exposed to a Human Relevant Persistent Organic Pollutant Mixture or PFOS</t>
        </is>
      </c>
      <c r="D18" t="inlineStr">
        <is>
          <t>Environ. Res.187:11 p.</t>
        </is>
      </c>
      <c r="E18" t="n">
        <v>2020.0</v>
      </c>
      <c r="F18"/>
      <c r="G18" t="inlineStr">
        <is>
          <t>Christou,M., T.W.K. Fraser, V. Berg, E. Ropstad, and J.H. Kamstra (2020). Calcium Signaling as a Possible Mechanism Behind Increased Locomotor Response in Zebrafish Larvae Exposed to a Human Relevant Persistent Organic Pollutant Mixture or PFOS. Environ. Res., 187, 11 p. doi:10.1016/j.envres.2020.109702. ECOREF#:184736</t>
        </is>
      </c>
      <c r="H18" s="17" t="n">
        <f>HYPERLINK("https://scholar.google.com/scholar?hl=en&amp;as_q=&amp;as_oq=&amp;as_eq=&amp;as_sauthors=&amp;as_publication=&amp;as_ylo=&amp;as_yhi=&amp;as_occt=title&amp;as_sdt=0%2C5&amp;as_epq=%22Calcium+Signaling+as+a+Possible+Mechanism+Behind+Increased+Locomotor+Response+in+Zebrafish+Larvae+Exposed+to+a+H", "Google Scholar")</f>
        <v>0.0</v>
      </c>
    </row>
    <row r="19">
      <c r="A19" t="n">
        <v>175359.0</v>
      </c>
      <c r="B19" t="inlineStr">
        <is>
          <t>Drottar,K.R., R.L. VanHoven, and H.O. Krueger</t>
        </is>
      </c>
      <c r="C19" t="inlineStr">
        <is>
          <t>Perfluorooctanesulfonate, Potassium Salt (PFOS): A Flow-Through Bioconcentration Test with the Bluegill (Lepomis macrochirus)</t>
        </is>
      </c>
      <c r="D19" t="inlineStr">
        <is>
          <t>Project 454A-134, Wildlife International Ltd., Easton, MD:129 p.</t>
        </is>
      </c>
      <c r="E19" t="n">
        <v>2001.0</v>
      </c>
      <c r="F19"/>
      <c r="G19" t="inlineStr">
        <is>
          <t>Drottar,K.R., R.L. VanHoven, and H.O. Krueger (2001). Perfluorooctanesulfonate, Potassium Salt (PFOS): A Flow-Through Bioconcentration Test with the Bluegill (Lepomis macrochirus). Project 454A-134, Wildlife International Ltd., Easton, MD, 129 p. ECOREF#:175359</t>
        </is>
      </c>
      <c r="H19" s="18" t="n">
        <f>HYPERLINK("https://scholar.google.com/scholar?hl=en&amp;as_q=&amp;as_oq=&amp;as_eq=&amp;as_sauthors=&amp;as_publication=&amp;as_ylo=&amp;as_yhi=&amp;as_occt=title&amp;as_sdt=0%2C5&amp;as_epq=%22Perfluorooctanesulfonate%2C+Potassium+Salt+%28PFOS%29%3A+A+Flow-Through+Bioconcentration+Test+with+the+Bluegill+", "Google Scholar")</f>
        <v>0.0</v>
      </c>
    </row>
    <row r="20">
      <c r="A20" t="n">
        <v>191228.0</v>
      </c>
      <c r="B20" t="inlineStr">
        <is>
          <t>Espinosa-Ruiz,C., C. Gonzalez-Fernandez, B. Cormier, S.H. Keiter, L.R. Vieira, L. Guilhermino, C. Clerandeau, J. Cachot</t>
        </is>
      </c>
      <c r="C20" t="inlineStr">
        <is>
          <t>Immunotoxicological Effects of Perfluorooctanesulfonic Acid on European Seabass are Reduced by Polyethylene Microplastics</t>
        </is>
      </c>
      <c r="D20" t="inlineStr">
        <is>
          <t>Fish Shellfish Immunol.137:10 p.</t>
        </is>
      </c>
      <c r="E20" t="n">
        <v>2023.0</v>
      </c>
      <c r="F20"/>
      <c r="G20" t="inlineStr">
        <is>
          <t>Espinosa-Ruiz,C., C. Gonzalez-Fernandez, B. Cormier, S.H. Keiter, L.R. Vieira, L. Guilhermino, C. Clerandeau, J. Cachot (2023). Immunotoxicological Effects of Perfluorooctanesulfonic Acid on European Seabass are Reduced by Polyethylene Microplastics. Fish Shellfish Immunol., 137, 10 p. doi:10.1016/j.fsi.2023.108793. ECOREF#:191228</t>
        </is>
      </c>
      <c r="H20" s="19" t="n">
        <f>HYPERLINK("https://scholar.google.com/scholar?hl=en&amp;as_q=&amp;as_oq=&amp;as_eq=&amp;as_sauthors=&amp;as_publication=&amp;as_ylo=&amp;as_yhi=&amp;as_occt=title&amp;as_sdt=0%2C5&amp;as_epq=%22Immunotoxicological+Effects+of+Perfluorooctanesulfonic+Acid+on+European+Seabass+are+Reduced+by+Polyethylene+Micr", "Google Scholar")</f>
        <v>0.0</v>
      </c>
    </row>
    <row r="21">
      <c r="A21" t="n">
        <v>175197.0</v>
      </c>
      <c r="B21" t="inlineStr">
        <is>
          <t>Falk,S., K. Failing, S. Georgii, H. Brunn, and T. Stahl</t>
        </is>
      </c>
      <c r="C21" t="inlineStr">
        <is>
          <t>Tissue Specific Uptake and Elimination of Perfluoroalkyl Acids (PFAAS) in Adult Rainbow Trout (Oncorhynchus mykiss) After Dietary Exposure</t>
        </is>
      </c>
      <c r="D21" t="inlineStr">
        <is>
          <t>Chemosphere129:150-156</t>
        </is>
      </c>
      <c r="E21" t="n">
        <v>2015.0</v>
      </c>
      <c r="F21"/>
      <c r="G21" t="inlineStr">
        <is>
          <t>Falk,S., K. Failing, S. Georgii, H. Brunn, and T. Stahl (2015). Tissue Specific Uptake and Elimination of Perfluoroalkyl Acids (PFAAS) in Adult Rainbow Trout (Oncorhynchus mykiss) After Dietary Exposure. Chemosphere, 129, 150-156. doi:10.1016/j.chemosphere.2014.06.061. ECOREF#:175197</t>
        </is>
      </c>
      <c r="H21" s="20" t="n">
        <f>HYPERLINK("https://scholar.google.com/scholar?hl=en&amp;as_q=&amp;as_oq=&amp;as_eq=&amp;as_sauthors=&amp;as_publication=&amp;as_ylo=&amp;as_yhi=&amp;as_occt=title&amp;as_sdt=0%2C5&amp;as_epq=%22Tissue+Specific+Uptake+and+Elimination+of+Perfluoroalkyl+Acids+%28PFAAS%29+in+Adult+Rainbow+Trout+%28Oncorhynchu", "Google Scholar")</f>
        <v>0.0</v>
      </c>
    </row>
    <row r="22">
      <c r="A22" t="n">
        <v>160550.0</v>
      </c>
      <c r="B22" t="inlineStr">
        <is>
          <t>Fang,C., L. Qiu, X. Wu, Q. Huang, Y. Liao, L. Liu, H. Shen, and S. Dong</t>
        </is>
      </c>
      <c r="C22" t="inlineStr">
        <is>
          <t>PFOS Elicits Transcriptional Responses of the ER, AHR and PPAR Pathways in Oryzias melastigma in a Stage-Specific Manner</t>
        </is>
      </c>
      <c r="D22" t="inlineStr">
        <is>
          <t>Aquat. Toxicol.106/107:9-19</t>
        </is>
      </c>
      <c r="E22" t="n">
        <v>2012.0</v>
      </c>
      <c r="F22"/>
      <c r="G22" t="inlineStr">
        <is>
          <t>Fang,C., L. Qiu, X. Wu, Q. Huang, Y. Liao, L. Liu, H. Shen, and S. Dong (2012). PFOS Elicits Transcriptional Responses of the ER, AHR and PPAR Pathways in Oryzias melastigma in a Stage-Specific Manner. Aquat. Toxicol., 106/107, 9-19. doi:10.1016/j.aquatox.2011.10.009. ECOREF#:160550</t>
        </is>
      </c>
      <c r="H22" s="21" t="n">
        <f>HYPERLINK("https://scholar.google.com/scholar?hl=en&amp;as_q=&amp;as_oq=&amp;as_eq=&amp;as_sauthors=&amp;as_publication=&amp;as_ylo=&amp;as_yhi=&amp;as_occt=title&amp;as_sdt=0%2C5&amp;as_epq=%22PFOS+Elicits+Transcriptional+Responses+of+the+ER%2C+AHR+and+PPAR+Pathways+in+Oryzias+melastigma+in+a+Stage-Speci", "Google Scholar")</f>
        <v>0.0</v>
      </c>
    </row>
    <row r="23">
      <c r="A23" t="n">
        <v>175213.0</v>
      </c>
      <c r="B23" t="inlineStr">
        <is>
          <t>Fang,C., Q. Huang, T. Ye, Y. Chen, L. Liu, M. Kang, Y. Lin, H. Shen, and S. Dong</t>
        </is>
      </c>
      <c r="C23" t="inlineStr">
        <is>
          <t>Embryonic Exposure to PFOS Induces Immunosuppression in the Fish Larvae of Marine Medaka</t>
        </is>
      </c>
      <c r="D23" t="inlineStr">
        <is>
          <t>Ecotoxicol. Environ. Saf.92:104-111</t>
        </is>
      </c>
      <c r="E23" t="n">
        <v>2013.0</v>
      </c>
      <c r="F23"/>
      <c r="G23" t="inlineStr">
        <is>
          <t>Fang,C., Q. Huang, T. Ye, Y. Chen, L. Liu, M. Kang, Y. Lin, H. Shen, and S. Dong (2013). Embryonic Exposure to PFOS Induces Immunosuppression in the Fish Larvae of Marine Medaka. Ecotoxicol. Environ. Saf., 92, 104-111. doi:10.1016/j.ecoenv.2013.03.005. ECOREF#:175213</t>
        </is>
      </c>
      <c r="H23" s="22" t="n">
        <f>HYPERLINK("https://scholar.google.com/scholar?hl=en&amp;as_q=&amp;as_oq=&amp;as_eq=&amp;as_sauthors=&amp;as_publication=&amp;as_ylo=&amp;as_yhi=&amp;as_occt=title&amp;as_sdt=0%2C5&amp;as_epq=%22Embryonic+Exposure+to+PFOS+Induces+Immunosuppression+in+the+Fish+Larvae+of+Marine+Medaka", "Google Scholar")</f>
        <v>0.0</v>
      </c>
    </row>
    <row r="24">
      <c r="A24" t="n">
        <v>169773.0</v>
      </c>
      <c r="B24" t="inlineStr">
        <is>
          <t>Feng,M., Q. He, L. Meng, X. Zhang, P. Sun, and Z. Wang</t>
        </is>
      </c>
      <c r="C24" t="inlineStr">
        <is>
          <t>Evaluation of Single and Joint Toxicity of Perfluorooctane Sulfonate, Perfluorooctanoic Acid, and Copper to Carassius auratus Using Oxidative Stress Biomarkers</t>
        </is>
      </c>
      <c r="D24" t="inlineStr">
        <is>
          <t>Aquat. Toxicol.161:108-116</t>
        </is>
      </c>
      <c r="E24" t="n">
        <v>2015.0</v>
      </c>
      <c r="F24"/>
      <c r="G24" t="inlineStr">
        <is>
          <t>Feng,M., Q. He, L. Meng, X. Zhang, P. Sun, and Z. Wang (2015). Evaluation of Single and Joint Toxicity of Perfluorooctane Sulfonate, Perfluorooctanoic Acid, and Copper to Carassius auratus Using Oxidative Stress Biomarkers. Aquat. Toxicol., 161, 108-116. doi:10.1016/j.aquatox.2015.01.025. ECOREF#:169773</t>
        </is>
      </c>
      <c r="H24" s="23" t="n">
        <f>HYPERLINK("https://scholar.google.com/scholar?hl=en&amp;as_q=&amp;as_oq=&amp;as_eq=&amp;as_sauthors=&amp;as_publication=&amp;as_ylo=&amp;as_yhi=&amp;as_occt=title&amp;as_sdt=0%2C5&amp;as_epq=%22Evaluation+of+Single+and+Joint+Toxicity+of+Perfluorooctane+Sulfonate%2C+Perfluorooctanoic+Acid%2C+and+Copper+to+", "Google Scholar")</f>
        <v>0.0</v>
      </c>
    </row>
    <row r="25">
      <c r="A25" t="n">
        <v>182596.0</v>
      </c>
      <c r="B25" t="inlineStr">
        <is>
          <t>Flynn,R.W., M. Iacchetta, C. De Perre, L. Lee, M.S. Sepulveda, and J.T. Hoverman</t>
        </is>
      </c>
      <c r="C25" t="inlineStr">
        <is>
          <t>Chronic Per-/Polyfluoroalkyl Substance Exposure Under Environmentally Relevant Conditions Delays Development in Northern Leopard Frog (Rana pipiens) Larvae</t>
        </is>
      </c>
      <c r="D25" t="inlineStr">
        <is>
          <t>Environ. Toxicol. Chem.40(3): 711-716</t>
        </is>
      </c>
      <c r="E25" t="n">
        <v>2021.0</v>
      </c>
      <c r="F25"/>
      <c r="G25" t="inlineStr">
        <is>
          <t>Flynn,R.W., M. Iacchetta, C. De Perre, L. Lee, M.S. Sepulveda, and J.T. Hoverman (2021). Chronic Per-/Polyfluoroalkyl Substance Exposure Under Environmentally Relevant Conditions Delays Development in Northern Leopard Frog (Rana pipiens) Larvae. Environ. Toxicol. Chem., 40, (3), 711-716. doi:10.1002/etc.4690. ECOREF#:182596</t>
        </is>
      </c>
      <c r="H25" s="24" t="n">
        <f>HYPERLINK("https://scholar.google.com/scholar?hl=en&amp;as_q=&amp;as_oq=&amp;as_eq=&amp;as_sauthors=&amp;as_publication=&amp;as_ylo=&amp;as_yhi=&amp;as_occt=title&amp;as_sdt=0%2C5&amp;as_epq=%22Chronic+Per-%2FPolyfluoroalkyl+Substance+Exposure+Under+Environmentally+Relevant+Conditions+Delays+Development+i", "Google Scholar")</f>
        <v>0.0</v>
      </c>
    </row>
    <row r="26">
      <c r="A26" t="n">
        <v>182597.0</v>
      </c>
      <c r="B26" t="inlineStr">
        <is>
          <t>Foguth,R.M., R.W. Flynn, C. De Perre, M. Iacchetta, L.S. Lee, M.S. Sepulveda, and J.R. Cannon</t>
        </is>
      </c>
      <c r="C26" t="inlineStr">
        <is>
          <t>Developmental Exposure to Perfluorooctane Sulfonate (PFOS) and Perfluorooctanoic Acid (PFOA) Selectively Decreases Brain Dopamine Levels in Northern Leopard Frogs</t>
        </is>
      </c>
      <c r="D26" t="inlineStr">
        <is>
          <t>Toxicol. Appl. Pharmacol.377:6 p.</t>
        </is>
      </c>
      <c r="E26" t="n">
        <v>2019.0</v>
      </c>
      <c r="F26"/>
      <c r="G26" t="inlineStr">
        <is>
          <t>Foguth,R.M., R.W. Flynn, C. De Perre, M. Iacchetta, L.S. Lee, M.S. Sepulveda, and J.R. Cannon (2019). Developmental Exposure to Perfluorooctane Sulfonate (PFOS) and Perfluorooctanoic Acid (PFOA) Selectively Decreases Brain Dopamine Levels in Northern Leopard Frogs. Toxicol. Appl. Pharmacol., 377, 6 p. doi:10.1016/j.taap.2019.114623. ECOREF#:182597</t>
        </is>
      </c>
      <c r="H26" s="25" t="n">
        <f>HYPERLINK("https://scholar.google.com/scholar?hl=en&amp;as_q=&amp;as_oq=&amp;as_eq=&amp;as_sauthors=&amp;as_publication=&amp;as_ylo=&amp;as_yhi=&amp;as_occt=title&amp;as_sdt=0%2C5&amp;as_epq=%22Developmental+Exposure+to+Perfluorooctane+Sulfonate+%28PFOS%29+and+Perfluorooctanoic+Acid+%28PFOA%29+Selectively", "Google Scholar")</f>
        <v>0.0</v>
      </c>
    </row>
    <row r="27">
      <c r="A27" t="n">
        <v>184760.0</v>
      </c>
      <c r="B27" t="inlineStr">
        <is>
          <t>Foguth,R.M., T.D. Hoskins, G.C. Clark, M. Nelson, R.W. Flynn, C. De Perre, J.T. Hoverman, L.S. Lee, M.S. Sepulveda, and</t>
        </is>
      </c>
      <c r="C27" t="inlineStr">
        <is>
          <t>Single and Mixture Per- and Polyfluoroalkyl Substances Accumulate in Developing Northern Leopard Frog Brains and Produce Complex Neurotransmission Alterations</t>
        </is>
      </c>
      <c r="D27" t="inlineStr">
        <is>
          <t>Neurotoxicol. Teratol.81:</t>
        </is>
      </c>
      <c r="E27" t="n">
        <v>2020.0</v>
      </c>
      <c r="F27"/>
      <c r="G27" t="inlineStr">
        <is>
          <t>Foguth,R.M., T.D. Hoskins, G.C. Clark, M. Nelson, R.W. Flynn, C. De Perre, J.T. Hoverman, L.S. Lee, M.S. Sepulveda, and (2020). Single and Mixture Per- and Polyfluoroalkyl Substances Accumulate in Developing Northern Leopard Frog Brains and Produce Complex Neurotransmission Alterations. Neurotoxicol. Teratol., 81, doi:10.1016/j.ntt.2020.106907. ECOREF#:184760</t>
        </is>
      </c>
      <c r="H27" s="26" t="n">
        <f>HYPERLINK("https://scholar.google.com/scholar?hl=en&amp;as_q=&amp;as_oq=&amp;as_eq=&amp;as_sauthors=&amp;as_publication=&amp;as_ylo=&amp;as_yhi=&amp;as_occt=title&amp;as_sdt=0%2C5&amp;as_epq=%22Single+and+Mixture+Per-+and+Polyfluoroalkyl+Substances+Accumulate+in+Developing+Northern+Leopard+Frog+Brains+and", "Google Scholar")</f>
        <v>0.0</v>
      </c>
    </row>
    <row r="28">
      <c r="A28" t="n">
        <v>179654.0</v>
      </c>
      <c r="B28" t="inlineStr">
        <is>
          <t>Fort,D.J., M.B. Mathis, P.D. Guiney, and J.A. Weeks</t>
        </is>
      </c>
      <c r="C28" t="inlineStr">
        <is>
          <t>Evaluation of the Developmental Toxicity of Perfluorooctanesulfonate in the Anuran, Silurana tropicalis</t>
        </is>
      </c>
      <c r="D28" t="inlineStr">
        <is>
          <t>J. Appl. Toxicol.39(2): 365-374</t>
        </is>
      </c>
      <c r="E28" t="n">
        <v>2019.0</v>
      </c>
      <c r="F28"/>
      <c r="G28" t="inlineStr">
        <is>
          <t>Fort,D.J., M.B. Mathis, P.D. Guiney, and J.A. Weeks (2019). Evaluation of the Developmental Toxicity of Perfluorooctanesulfonate in the Anuran, Silurana tropicalis. J. Appl. Toxicol., 39, (2), 365-374. doi:10.1002/jat.3727. ECOREF#:179654</t>
        </is>
      </c>
      <c r="H28" s="27" t="n">
        <f>HYPERLINK("https://scholar.google.com/scholar?hl=en&amp;as_q=&amp;as_oq=&amp;as_eq=&amp;as_sauthors=&amp;as_publication=&amp;as_ylo=&amp;as_yhi=&amp;as_occt=title&amp;as_sdt=0%2C5&amp;as_epq=%22Evaluation+of+the+Developmental+Toxicity+of+Perfluorooctanesulfonate+in+the+Anuran%2C+Silurana+tropicalis", "Google Scholar")</f>
        <v>0.0</v>
      </c>
    </row>
    <row r="29">
      <c r="A29" t="n">
        <v>182530.0</v>
      </c>
      <c r="B29" t="inlineStr">
        <is>
          <t>Gaballah,S., A. Swank, J.R. Sobus, X.M. Howey, J. Schmid, T. Catron, J. Mccord, E. Hines, M. Strynar, and T. Tal</t>
        </is>
      </c>
      <c r="C29" t="inlineStr">
        <is>
          <t>Evaluation of Developmental Toxicity, Developmental Neurotoxicity, and Tissue Dose in Zebrafish Exposed to GenX and Other PFAS</t>
        </is>
      </c>
      <c r="D29" t="inlineStr">
        <is>
          <t>Environ. Health Perspect.128(4): 047005-01 - 047005-22</t>
        </is>
      </c>
      <c r="E29" t="n">
        <v>2020.0</v>
      </c>
      <c r="F29"/>
      <c r="G29"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c r="H29" s="28" t="n">
        <f>HYPERLINK("https://scholar.google.com/scholar?hl=en&amp;as_q=&amp;as_oq=&amp;as_eq=&amp;as_sauthors=&amp;as_publication=&amp;as_ylo=&amp;as_yhi=&amp;as_occt=title&amp;as_sdt=0%2C5&amp;as_epq=%22Evaluation+of+Developmental+Toxicity%2C+Developmental+Neurotoxicity%2C+and+Tissue+Dose+in+Zebrafish+Exposed+to+G", "Google Scholar")</f>
        <v>0.0</v>
      </c>
    </row>
    <row r="30">
      <c r="A30" t="n">
        <v>193995.0</v>
      </c>
      <c r="B30" t="inlineStr">
        <is>
          <t>Gust,K.A., A.N. Kimble, J.E. Mylroie, M.L. Mayo, M.S. Wilbanks, C.S.C. Steward, K.A. Chapman, G.R. Lotufo, N. Garcia-Re</t>
        </is>
      </c>
      <c r="C30" t="inlineStr">
        <is>
          <t>Bioconcentration, Maternal Transfer, and Toxicokinetics of PFOS in a Multi-Generational Zebrafish Exposure</t>
        </is>
      </c>
      <c r="D30" t="inlineStr">
        <is>
          <t>Environ. Toxicol. Chem.44(1): 207-219</t>
        </is>
      </c>
      <c r="E30" t="n">
        <v>2025.0</v>
      </c>
      <c r="F30"/>
      <c r="G30" t="inlineStr">
        <is>
          <t>Gust,K.A., A.N. Kimble, J.E. Mylroie, M.L. Mayo, M.S. Wilbanks, C.S.C. Steward, K.A. Chapman, G.R. Lotufo, N. Garcia-Re (2025). Bioconcentration, Maternal Transfer, and Toxicokinetics of PFOS in a Multi-Generational Zebrafish Exposure. Environ. Toxicol. Chem., 44, (1), 207-219. doi:10.1093/etojnl/vgae033. ECOREF#:193995</t>
        </is>
      </c>
      <c r="H30" s="29" t="n">
        <f>HYPERLINK("https://scholar.google.com/scholar?hl=en&amp;as_q=&amp;as_oq=&amp;as_eq=&amp;as_sauthors=&amp;as_publication=&amp;as_ylo=&amp;as_yhi=&amp;as_occt=title&amp;as_sdt=0%2C5&amp;as_epq=%22Bioconcentration%2C+Maternal+Transfer%2C+and+Toxicokinetics+of+PFOS+in+a+Multi-Generational+Zebrafish+Exposure", "Google Scholar")</f>
        <v>0.0</v>
      </c>
    </row>
    <row r="31">
      <c r="A31" t="n">
        <v>114715.0</v>
      </c>
      <c r="B31" t="inlineStr">
        <is>
          <t>Hagenaars,A., D. Knapen, I.J. Meyer, K. Van der Ven, P. Hoff, and W. De Coen</t>
        </is>
      </c>
      <c r="C31" t="inlineStr">
        <is>
          <t>Toxicity Evaluation of Perfluorooctane Sulfonate (PFOS) in the Liver of Common Carp (Cyprinus carpio)</t>
        </is>
      </c>
      <c r="D31" t="inlineStr">
        <is>
          <t>Aquat. Toxicol.88(3): 155-163</t>
        </is>
      </c>
      <c r="E31" t="n">
        <v>2008.0</v>
      </c>
      <c r="F31"/>
      <c r="G31" t="inlineStr">
        <is>
          <t>Hagenaars,A., D. Knapen, I.J. Meyer, K. Van der Ven, P. Hoff, and W. De Coen (2008). Toxicity Evaluation of Perfluorooctane Sulfonate (PFOS) in the Liver of Common Carp (Cyprinus carpio). Aquat. Toxicol., 88, (3), 155-163. doi:10.1016/j.aquatox.2008.04.002. ECOREF#:114715</t>
        </is>
      </c>
      <c r="H31" s="30" t="n">
        <f>HYPERLINK("https://scholar.google.com/scholar?hl=en&amp;as_q=&amp;as_oq=&amp;as_eq=&amp;as_sauthors=&amp;as_publication=&amp;as_ylo=&amp;as_yhi=&amp;as_occt=title&amp;as_sdt=0%2C5&amp;as_epq=%22Toxicity+Evaluation+of+Perfluorooctane+Sulfonate+%28PFOS%29+in+the+Liver+of+Common+Carp+%28Cyprinus+carpio%29", "Google Scholar")</f>
        <v>0.0</v>
      </c>
    </row>
    <row r="32">
      <c r="A32" t="n">
        <v>190831.0</v>
      </c>
      <c r="B32" t="inlineStr">
        <is>
          <t>Han,J., W. Gu, H. Barrett, D. Yang, S. Tang, J. Sun, J. Liu, H.M. Krause, K.A. Houck, and H. Peng</t>
        </is>
      </c>
      <c r="C32" t="inlineStr">
        <is>
          <t>A Roadmap to the Structure-Related Metabolism Pathways of Per- and Polyfluoroalkyl Substances in the Early Life Stages of Zebrafish (Danio rerio)</t>
        </is>
      </c>
      <c r="D32" t="inlineStr">
        <is>
          <t>Environ. Health Perspect.129(7): 15 p.</t>
        </is>
      </c>
      <c r="E32" t="n">
        <v>2021.0</v>
      </c>
      <c r="F32"/>
      <c r="G32"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H32" s="31" t="n">
        <f>HYPERLINK("https://scholar.google.com/scholar?hl=en&amp;as_q=&amp;as_oq=&amp;as_eq=&amp;as_sauthors=&amp;as_publication=&amp;as_ylo=&amp;as_yhi=&amp;as_occt=title&amp;as_sdt=0%2C5&amp;as_epq=%22A+Roadmap+to+the+Structure-Related+Metabolism+Pathways+of+Per-+and+Polyfluoroalkyl+Substances+in+the+Early+Life+", "Google Scholar")</f>
        <v>0.0</v>
      </c>
    </row>
    <row r="33">
      <c r="A33" t="n">
        <v>181115.0</v>
      </c>
      <c r="B33" t="inlineStr">
        <is>
          <t>Han,Z.X., C.X. Lv, and Z.R. Zheng</t>
        </is>
      </c>
      <c r="C33" t="inlineStr">
        <is>
          <t>Effects of Perfluorooctane Sulfonate on Carassius aurats and Kinetics Models</t>
        </is>
      </c>
      <c r="D33" t="inlineStr">
        <is>
          <t>Int. J. Green Nanotech. Biomed.1(1): B60-B68</t>
        </is>
      </c>
      <c r="E33" t="n">
        <v>2009.0</v>
      </c>
      <c r="F33"/>
      <c r="G33" t="inlineStr">
        <is>
          <t>Han,Z.X., C.X. Lv, and Z.R. Zheng (2009). Effects of Perfluorooctane Sulfonate on Carassius aurats and Kinetics Models. Int. J. Green Nanotech. Biomed., 1, (1), B60-B68. ECOREF#:181115</t>
        </is>
      </c>
      <c r="H33" s="32" t="n">
        <f>HYPERLINK("https://scholar.google.com/scholar?hl=en&amp;as_q=&amp;as_oq=&amp;as_eq=&amp;as_sauthors=&amp;as_publication=&amp;as_ylo=&amp;as_yhi=&amp;as_occt=title&amp;as_sdt=0%2C5&amp;as_epq=%22Effects+of+Perfluorooctane+Sulfonate+on+Carassius+aurats+and+Kinetics+Models", "Google Scholar")</f>
        <v>0.0</v>
      </c>
    </row>
    <row r="34">
      <c r="A34" t="n">
        <v>184334.0</v>
      </c>
      <c r="B34" t="inlineStr">
        <is>
          <t>Han,Z.X., M. Zhang, and C.X. Lv</t>
        </is>
      </c>
      <c r="C34" t="inlineStr">
        <is>
          <t>Toxicokinetic Behaviors and Modes of Perfluorooctane Sulfonate (PFOS) and Perfluorooctane Acid (PFOA) on Tilapia (Oreochromis niloticus)</t>
        </is>
      </c>
      <c r="D34" t="inlineStr">
        <is>
          <t>Afr. J. Biotechnol.(60): 12943-12950</t>
        </is>
      </c>
      <c r="E34" t="n">
        <v>2011.0</v>
      </c>
      <c r="F34"/>
      <c r="G34" t="inlineStr">
        <is>
          <t>Han,Z.X., M. Zhang, and C.X. Lv (2011). Toxicokinetic Behaviors and Modes of Perfluorooctane Sulfonate (PFOS) and Perfluorooctane Acid (PFOA) on Tilapia (Oreochromis niloticus). Afr. J. Biotechnol., (60), 12943-12950. ECOREF#:184334</t>
        </is>
      </c>
      <c r="H34" s="33" t="n">
        <f>HYPERLINK("https://scholar.google.com/scholar?hl=en&amp;as_q=&amp;as_oq=&amp;as_eq=&amp;as_sauthors=&amp;as_publication=&amp;as_ylo=&amp;as_yhi=&amp;as_occt=title&amp;as_sdt=0%2C5&amp;as_epq=%22Toxicokinetic+Behaviors+and+Modes+of+Perfluorooctane+Sulfonate+%28PFOS%29+and+Perfluorooctane+Acid+%28PFOA%29+on", "Google Scholar")</f>
        <v>0.0</v>
      </c>
    </row>
    <row r="35">
      <c r="A35" t="n">
        <v>160209.0</v>
      </c>
      <c r="B35" t="inlineStr">
        <is>
          <t>Hazelton,P.D., W.G. Cope, T.J. Pandolfo, S. Mosher, M.J. Strynar, M.C. Barnhart, and R.B. Bringolf</t>
        </is>
      </c>
      <c r="C35" t="inlineStr">
        <is>
          <t>Partial Life-Cycle and Acute Toxicity of Perfluoroalkyl Acids to Freshwater Mussels</t>
        </is>
      </c>
      <c r="D35" t="inlineStr">
        <is>
          <t>Environ. Toxicol. Chem.31(7): 1611-1620</t>
        </is>
      </c>
      <c r="E35" t="n">
        <v>2012.0</v>
      </c>
      <c r="F35"/>
      <c r="G35" t="inlineStr">
        <is>
          <t>Hazelton,P.D., W.G. Cope, T.J. Pandolfo, S. Mosher, M.J. Strynar, M.C. Barnhart, and R.B. Bringolf (2012). Partial Life-Cycle and Acute Toxicity of Perfluoroalkyl Acids to Freshwater Mussels. Environ. Toxicol. Chem., 31, (7), 1611-1620. doi:10.1002/etc.1866. ECOREF#:160209</t>
        </is>
      </c>
      <c r="H35" s="34" t="n">
        <f>HYPERLINK("https://scholar.google.com/scholar?hl=en&amp;as_q=&amp;as_oq=&amp;as_eq=&amp;as_sauthors=&amp;as_publication=&amp;as_ylo=&amp;as_yhi=&amp;as_occt=title&amp;as_sdt=0%2C5&amp;as_epq=%22Partial+Life-Cycle+and+Acute+Toxicity+of+Perfluoroalkyl+Acids+to+Freshwater+Mussels", "Google Scholar")</f>
        <v>0.0</v>
      </c>
    </row>
    <row r="36">
      <c r="A36" t="n">
        <v>71222.0</v>
      </c>
      <c r="B36" t="inlineStr">
        <is>
          <t>Hoff,P.T., W. Van Dongen, E.L. Esmans, R. Blust, and W.M. De Coen</t>
        </is>
      </c>
      <c r="C36" t="inlineStr">
        <is>
          <t>Evaluation of the Toxicological Effects of Perfluorooctane Sulfonic Acid in the Common Carp (Cyprinus carpio)</t>
        </is>
      </c>
      <c r="D36" t="inlineStr">
        <is>
          <t>Aquat. Toxicol.62(4): 349-359</t>
        </is>
      </c>
      <c r="E36" t="n">
        <v>2003.0</v>
      </c>
      <c r="F36"/>
      <c r="G36" t="inlineStr">
        <is>
          <t>Hoff,P.T., W. Van Dongen, E.L. Esmans, R. Blust, and W.M. De Coen (2003). Evaluation of the Toxicological Effects of Perfluorooctane Sulfonic Acid in the Common Carp (Cyprinus carpio). Aquat. Toxicol., 62, (4), 349-359. doi:10.1016/S0166-445X(02)00145-5. ECOREF#:71222</t>
        </is>
      </c>
      <c r="H36" s="35" t="n">
        <f>HYPERLINK("https://scholar.google.com/scholar?hl=en&amp;as_q=&amp;as_oq=&amp;as_eq=&amp;as_sauthors=&amp;as_publication=&amp;as_ylo=&amp;as_yhi=&amp;as_occt=title&amp;as_sdt=0%2C5&amp;as_epq=%22Evaluation+of+the+Toxicological+Effects+of+Perfluorooctane+Sulfonic+Acid+in+the+Common+Carp+%28Cyprinus+carpio%2", "Google Scholar")</f>
        <v>0.0</v>
      </c>
    </row>
    <row r="37">
      <c r="A37" t="n">
        <v>177160.0</v>
      </c>
      <c r="B37" t="inlineStr">
        <is>
          <t>Honda,M., A. Muta, A. Shimazaki, T. Akasaka, M. Yoshikuni, Y. Shimasaki, and Y. Oshima</t>
        </is>
      </c>
      <c r="C37" t="inlineStr">
        <is>
          <t>High Concentrations of Perfluorooctane Sulfonate in Mucus of Tiger Puffer Fish Takifugu rubripes: A Laboratory Exposure Study</t>
        </is>
      </c>
      <c r="D37" t="inlineStr">
        <is>
          <t>Environ. Sci. Pollut. Res. Int.25(2): 1551-1558</t>
        </is>
      </c>
      <c r="E37" t="n">
        <v>2018.0</v>
      </c>
      <c r="F37"/>
      <c r="G37" t="inlineStr">
        <is>
          <t>Honda,M., A. Muta, A. Shimazaki, T. Akasaka, M. Yoshikuni, Y. Shimasaki, and Y. Oshima (2018). High Concentrations of Perfluorooctane Sulfonate in Mucus of Tiger Puffer Fish Takifugu rubripes: A Laboratory Exposure Study. Environ. Sci. Pollut. Res. Int., 25, (2), 1551-1558. doi:10.1007/s11356-017-0537-6. ECOREF#:177160</t>
        </is>
      </c>
      <c r="H37" s="36" t="n">
        <f>HYPERLINK("https://scholar.google.com/scholar?hl=en&amp;as_q=&amp;as_oq=&amp;as_eq=&amp;as_sauthors=&amp;as_publication=&amp;as_ylo=&amp;as_yhi=&amp;as_occt=title&amp;as_sdt=0%2C5&amp;as_epq=%22High+Concentrations+of+Perfluorooctane+Sulfonate+in+Mucus+of+Tiger+Puffer+Fish+Takifugu+rubripes%3A+A+Laboratory", "Google Scholar")</f>
        <v>0.0</v>
      </c>
    </row>
    <row r="38">
      <c r="A38" t="n">
        <v>195125.0</v>
      </c>
      <c r="B38" t="inlineStr">
        <is>
          <t>Hong,S., T. Zhu, C. Liu, Y. Li, W. Song, X. Wang, X. Liu, H. Wang, K. Li, X. Cao, C. Yao, and W. Lv</t>
        </is>
      </c>
      <c r="C38" t="inlineStr">
        <is>
          <t>Perfluorobutane Sulfonate (PFOS) Accumulation in Tissues of Cherax quadricarinatus and Its Toxicity Mechanism</t>
        </is>
      </c>
      <c r="D38" t="inlineStr">
        <is>
          <t>Toxics13(4): 16 p.</t>
        </is>
      </c>
      <c r="E38" t="n">
        <v>2025.0</v>
      </c>
      <c r="F38"/>
      <c r="G38" t="inlineStr">
        <is>
          <t>Hong,S., T. Zhu, C. Liu, Y. Li, W. Song, X. Wang, X. Liu, H. Wang, K. Li, X. Cao, C. Yao, and W. Lv (2025). Perfluorobutane Sulfonate (PFOS) Accumulation in Tissues of Cherax quadricarinatus and Its Toxicity Mechanism. Toxics, 13, (4), 16 p. doi:10.3390/toxics13040269. ECOREF#:195125</t>
        </is>
      </c>
      <c r="H38" s="37" t="n">
        <f>HYPERLINK("https://scholar.google.com/scholar?hl=en&amp;as_q=&amp;as_oq=&amp;as_eq=&amp;as_sauthors=&amp;as_publication=&amp;as_ylo=&amp;as_yhi=&amp;as_occt=title&amp;as_sdt=0%2C5&amp;as_epq=%22Perfluorobutane+Sulfonate+%28PFOS%29+Accumulation+in+Tissues+of+Cherax+quadricarinatus+and+Its+Toxicity+Mechanis", "Google Scholar")</f>
        <v>0.0</v>
      </c>
    </row>
    <row r="39">
      <c r="A39" t="n">
        <v>180874.0</v>
      </c>
      <c r="B39" t="inlineStr">
        <is>
          <t>Hoover,G.M.</t>
        </is>
      </c>
      <c r="C39" t="inlineStr">
        <is>
          <t>Effects of Per/Polyfluoroalkyl Substance Exposure on Larval Amphibians</t>
        </is>
      </c>
      <c r="D39" t="inlineStr">
        <is>
          <t>Ph.D.Thesis, Purdue University, West Lafayette, IN:119 p.</t>
        </is>
      </c>
      <c r="E39" t="n">
        <v>2018.0</v>
      </c>
      <c r="F39"/>
      <c r="G39" t="inlineStr">
        <is>
          <t>Hoover,G.M. (2018). Effects of Per/Polyfluoroalkyl Substance Exposure on Larval Amphibians. Ph.D.Thesis, Purdue University, West Lafayette, IN, 119 p. ECOREF#:180874</t>
        </is>
      </c>
      <c r="H39" s="38" t="n">
        <f>HYPERLINK("https://scholar.google.com/scholar?hl=en&amp;as_q=&amp;as_oq=&amp;as_eq=&amp;as_sauthors=&amp;as_publication=&amp;as_ylo=&amp;as_yhi=&amp;as_occt=title&amp;as_sdt=0%2C5&amp;as_epq=%22Effects+of+Per%2FPolyfluoroalkyl+Substance+Exposure+on+Larval+Amphibians", "Google Scholar")</f>
        <v>0.0</v>
      </c>
    </row>
    <row r="40">
      <c r="A40" t="n">
        <v>176982.0</v>
      </c>
      <c r="B40" t="inlineStr">
        <is>
          <t>Hoover,G.M., M.F. Chislock, B.J. Tornabene, S.C. Guffey, Y.J. Choi, C. De Perre, J.T. Hoverman, L.S. Lee, and M.S. Sepu</t>
        </is>
      </c>
      <c r="C40" t="inlineStr">
        <is>
          <t>Uptake and Depuration of Four Per/Polyfluoroalkyl Substances (PFASs) in Northern Leopard Frog Rana pipiens Tadpoles</t>
        </is>
      </c>
      <c r="D40" t="inlineStr">
        <is>
          <t>Environ. Sci. Technol. Lett.4(10): 399-403</t>
        </is>
      </c>
      <c r="E40" t="n">
        <v>2017.0</v>
      </c>
      <c r="F40"/>
      <c r="G40"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c r="H40" s="39" t="n">
        <f>HYPERLINK("https://scholar.google.com/scholar?hl=en&amp;as_q=&amp;as_oq=&amp;as_eq=&amp;as_sauthors=&amp;as_publication=&amp;as_ylo=&amp;as_yhi=&amp;as_occt=title&amp;as_sdt=0%2C5&amp;as_epq=%22Uptake+and+Depuration+of+Four+Per%2FPolyfluoroalkyl+Substances+%28PFASs%29+in+Northern+Leopard+Frog+Rana+pipiens", "Google Scholar")</f>
        <v>0.0</v>
      </c>
    </row>
    <row r="41">
      <c r="A41" t="n">
        <v>189935.0</v>
      </c>
      <c r="B41" t="inlineStr">
        <is>
          <t>Hoskins,T.D., E.B. Allmon, R.W. Flynn, L.S. Lee, Y. Choi, J.T. Hoverman, and M.S. Sepulveda</t>
        </is>
      </c>
      <c r="C41" t="inlineStr">
        <is>
          <t>An Environmentally Relevant Mixture of Perfluorooctanesulfonic Acid and Perfluorohexanesulfonic Acid Does Not Conform to Additivity in Northern Leopard Frogs Exposed Through Metamorphosis</t>
        </is>
      </c>
      <c r="D41" t="inlineStr">
        <is>
          <t>Environ. Toxicol. Chem.41(12): 3007-3016</t>
        </is>
      </c>
      <c r="E41" t="n">
        <v>2022.0</v>
      </c>
      <c r="F41"/>
      <c r="G41"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c r="H41" s="40" t="n">
        <f>HYPERLINK("https://scholar.google.com/scholar?hl=en&amp;as_q=&amp;as_oq=&amp;as_eq=&amp;as_sauthors=&amp;as_publication=&amp;as_ylo=&amp;as_yhi=&amp;as_occt=title&amp;as_sdt=0%2C5&amp;as_epq=%22An+Environmentally+Relevant+Mixture+of+Perfluorooctanesulfonic+Acid+and+Perfluorohexanesulfonic+Acid+Does+Not+Co", "Google Scholar")</f>
        <v>0.0</v>
      </c>
    </row>
    <row r="42">
      <c r="A42" t="n">
        <v>185977.0</v>
      </c>
      <c r="B42" t="inlineStr">
        <is>
          <t xml:space="preserve">Huang, Sun, Mennigen, Liu, S. Liu, Zhang, Wang, and Tu </t>
        </is>
      </c>
      <c r="C42" t="inlineStr">
        <is>
          <t>Developmental Toxicity of the Novel PFOS Alternative OBS in Developing Zebrafish: An Emphasis on Cilia Disruption</t>
        </is>
      </c>
      <c r="D42" t="inlineStr">
        <is>
          <t>J. Hazard. Mater.409:11 p.</t>
        </is>
      </c>
      <c r="E42" t="n">
        <v>2021.0</v>
      </c>
      <c r="F42"/>
      <c r="G42" t="inlineStr">
        <is>
          <t>Huang, Sun, Mennigen, Liu, S. Liu, Zhang, Wang, and Tu  (2021). Developmental Toxicity of the Novel PFOS Alternative OBS in Developing Zebrafish: An Emphasis on Cilia Disruption. J. Hazard. Mater., 409, 11 p. doi:10.1016/j.jhazmat.2020.124491. ECOREF#:185977</t>
        </is>
      </c>
      <c r="H42" s="41" t="n">
        <f>HYPERLINK("https://scholar.google.com/scholar?hl=en&amp;as_q=&amp;as_oq=&amp;as_eq=&amp;as_sauthors=&amp;as_publication=&amp;as_ylo=&amp;as_yhi=&amp;as_occt=title&amp;as_sdt=0%2C5&amp;as_epq=%22Developmental+Toxicity+of+the+Novel+PFOS+Alternative+OBS+in+Developing+Zebrafish%3A+An+Emphasis+on+Cilia+Disrupt", "Google Scholar")</f>
        <v>0.0</v>
      </c>
    </row>
    <row r="43">
      <c r="A43" t="n">
        <v>151614.0</v>
      </c>
      <c r="B43" t="inlineStr">
        <is>
          <t>Huang,H., C. Huang, L. Wang, X. Ye, C. Bai, M.T. Simonich, R.L. Tanguay, and Q. Dong</t>
        </is>
      </c>
      <c r="C43" t="inlineStr">
        <is>
          <t>Toxicity, Uptake Kinetics and Behavior Assessment in Zebrafish Embryos Following Exposure to Perfluorooctanesulphonicacid (PFOS)</t>
        </is>
      </c>
      <c r="D43" t="inlineStr">
        <is>
          <t>Aquat. Toxicol.98(2): 139-147</t>
        </is>
      </c>
      <c r="E43" t="n">
        <v>2010.0</v>
      </c>
      <c r="F43"/>
      <c r="G43" t="inlineStr">
        <is>
          <t>Huang,H., C. Huang, L. Wang, X. Ye, C. Bai, M.T. Simonich, R.L. Tanguay, and Q. Dong (2010). Toxicity, Uptake Kinetics and Behavior Assessment in Zebrafish Embryos Following Exposure to Perfluorooctanesulphonicacid (PFOS). Aquat. Toxicol., 98, (2), 139-147. doi:10.1016/j.aquatox.2010.02.003. ECOREF#:151614</t>
        </is>
      </c>
      <c r="H43" s="42" t="n">
        <f>HYPERLINK("https://scholar.google.com/scholar?hl=en&amp;as_q=&amp;as_oq=&amp;as_eq=&amp;as_sauthors=&amp;as_publication=&amp;as_ylo=&amp;as_yhi=&amp;as_occt=title&amp;as_sdt=0%2C5&amp;as_epq=%22Toxicity%2C+Uptake+Kinetics+and+Behavior+Assessment+in+Zebrafish+Embryos+Following+Exposure+to+Perfluorooctanesu", "Google Scholar")</f>
        <v>0.0</v>
      </c>
    </row>
    <row r="44">
      <c r="A44" t="n">
        <v>160552.0</v>
      </c>
      <c r="B44" t="inlineStr">
        <is>
          <t>Inoue,Y., N. Hashizume, N. Yakata, H. Murakami, Y. Suzuki, E. Kikushima, and M. Otsuka</t>
        </is>
      </c>
      <c r="C44" t="inlineStr">
        <is>
          <t>Unique Physicochemical Properties of Perfluorinated Compounds and Their Bioconcentration in Common Carp Cyprinus carpio L.</t>
        </is>
      </c>
      <c r="D44" t="inlineStr">
        <is>
          <t>Arch. Environ. Contam. Toxicol.62(4): 672-680</t>
        </is>
      </c>
      <c r="E44" t="n">
        <v>2012.0</v>
      </c>
      <c r="F44"/>
      <c r="G44" t="inlineStr">
        <is>
          <t>Inoue,Y., N. Hashizume, N. Yakata, H. Murakami, Y. Suzuki, E. Kikushima, and M. Otsuka (2012). Unique Physicochemical Properties of Perfluorinated Compounds and Their Bioconcentration in Common Carp Cyprinus carpio L.. Arch. Environ. Contam. Toxicol., 62, (4), 672-680. doi:10.1007/s00244-011-9730-7. ECOREF#:160552</t>
        </is>
      </c>
      <c r="H44" s="43" t="n">
        <f>HYPERLINK("https://scholar.google.com/scholar?hl=en&amp;as_q=&amp;as_oq=&amp;as_eq=&amp;as_sauthors=&amp;as_publication=&amp;as_ylo=&amp;as_yhi=&amp;as_occt=title&amp;as_sdt=0%2C5&amp;as_epq=%22Unique+Physicochemical+Properties+of+Perfluorinated+Compounds+and+Their+Bioconcentration+in+Common+Carp+Cyprinus", "Google Scholar")</f>
        <v>0.0</v>
      </c>
    </row>
    <row r="45">
      <c r="A45" t="n">
        <v>152160.0</v>
      </c>
      <c r="B45" t="inlineStr">
        <is>
          <t>Jacobson,T., K. Holmstrom, G. Yang, A.T. Ford, U. Berger, and B. Sundelin</t>
        </is>
      </c>
      <c r="C45" t="inlineStr">
        <is>
          <t>Perfluorooctane Sulfonate Accumulation and Parasite Infestation in a Field Population of the Amphipod Monoporeia affinis After Microcosm Exposure</t>
        </is>
      </c>
      <c r="D45" t="inlineStr">
        <is>
          <t>Aquat. Toxicol.98(1): 99-106</t>
        </is>
      </c>
      <c r="E45" t="n">
        <v>2010.0</v>
      </c>
      <c r="F45"/>
      <c r="G45" t="inlineStr">
        <is>
          <t>Jacobson,T., K. Holmstrom, G. Yang, A.T. Ford, U. Berger, and B. Sundelin (2010). Perfluorooctane Sulfonate Accumulation and Parasite Infestation in a Field Population of the Amphipod Monoporeia affinis After Microcosm Exposure. Aquat. Toxicol., 98, (1), 99-106. doi:10.1016/j.aquatox.2010.01.017. ECOREF#:152160</t>
        </is>
      </c>
      <c r="H45" s="44" t="n">
        <f>HYPERLINK("https://scholar.google.com/scholar?hl=en&amp;as_q=&amp;as_oq=&amp;as_eq=&amp;as_sauthors=&amp;as_publication=&amp;as_ylo=&amp;as_yhi=&amp;as_occt=title&amp;as_sdt=0%2C5&amp;as_epq=%22Perfluorooctane+Sulfonate+Accumulation+and+Parasite+Infestation+in+a+Field+Population+of+the+Amphipod+Monoporeia", "Google Scholar")</f>
        <v>0.0</v>
      </c>
    </row>
    <row r="46">
      <c r="A46" t="n">
        <v>175199.0</v>
      </c>
      <c r="B46" t="inlineStr">
        <is>
          <t>Jeon,J., H.K. Lim, K. Kannan, and S.D. Kim</t>
        </is>
      </c>
      <c r="C46" t="inlineStr">
        <is>
          <t>Effect of Perfluorooctanesulfonate on Osmoregulation in Marine Fish, Sebastes schlegeli, Under Different Salinities</t>
        </is>
      </c>
      <c r="D46" t="inlineStr">
        <is>
          <t>Chemosphere81(2): 228-234</t>
        </is>
      </c>
      <c r="E46" t="n">
        <v>2010.0</v>
      </c>
      <c r="F46"/>
      <c r="G46" t="inlineStr">
        <is>
          <t>Jeon,J., H.K. Lim, K. Kannan, and S.D. Kim (2010). Effect of Perfluorooctanesulfonate on Osmoregulation in Marine Fish, Sebastes schlegeli, Under Different Salinities. Chemosphere, 81, (2), 228-234. doi:10.1016/j.chemosphere.2010.06.037. ECOREF#:175199</t>
        </is>
      </c>
      <c r="H46" s="45" t="n">
        <f>HYPERLINK("https://scholar.google.com/scholar?hl=en&amp;as_q=&amp;as_oq=&amp;as_eq=&amp;as_sauthors=&amp;as_publication=&amp;as_ylo=&amp;as_yhi=&amp;as_occt=title&amp;as_sdt=0%2C5&amp;as_epq=%22Effect+of+Perfluorooctanesulfonate+on+Osmoregulation+in+Marine+Fish%2C+Sebastes+schlegeli%2C+Under+Different+Sal", "Google Scholar")</f>
        <v>0.0</v>
      </c>
    </row>
    <row r="47">
      <c r="A47" t="n">
        <v>150289.0</v>
      </c>
      <c r="B47" t="inlineStr">
        <is>
          <t>Jeon,J., K. Kannan, H.K. Lim, H.B. Moon, J.S. Ra, and S.D. Kim</t>
        </is>
      </c>
      <c r="C47" t="inlineStr">
        <is>
          <t>Bioaccumulation of Perfluorochemicals in Pacific Oyster Under Different Salinity Gradients</t>
        </is>
      </c>
      <c r="D47" t="inlineStr">
        <is>
          <t>Environ. Sci. Technol.44(7): 2695-2701</t>
        </is>
      </c>
      <c r="E47" t="n">
        <v>2010.0</v>
      </c>
      <c r="F47"/>
      <c r="G47" t="inlineStr">
        <is>
          <t>Jeon,J., K. Kannan, H.K. Lim, H.B. Moon, J.S. Ra, and S.D. Kim (2010). Bioaccumulation of Perfluorochemicals in Pacific Oyster Under Different Salinity Gradients. Environ. Sci. Technol., 44, (7), 2695-2701. doi:10.1021/es100151r. ECOREF#:150289</t>
        </is>
      </c>
      <c r="H47" s="46" t="n">
        <f>HYPERLINK("https://scholar.google.com/scholar?hl=en&amp;as_q=&amp;as_oq=&amp;as_eq=&amp;as_sauthors=&amp;as_publication=&amp;as_ylo=&amp;as_yhi=&amp;as_occt=title&amp;as_sdt=0%2C5&amp;as_epq=%22Bioaccumulation+of+Perfluorochemicals+in+Pacific+Oyster+Under+Different+Salinity+Gradients", "Google Scholar")</f>
        <v>0.0</v>
      </c>
    </row>
    <row r="48">
      <c r="A48" t="n">
        <v>184766.0</v>
      </c>
      <c r="B48" t="inlineStr">
        <is>
          <t>Jeong,T., and M.J. Simpson</t>
        </is>
      </c>
      <c r="C48" t="inlineStr">
        <is>
          <t>Time-Dependent Biomolecular Responses and Bioaccumulation of Perfluorooctane Sulfonate (PFOS) in Daphnia magna</t>
        </is>
      </c>
      <c r="D48" t="inlineStr">
        <is>
          <t>Comp. Biochem. Physiol.35:7 p.</t>
        </is>
      </c>
      <c r="E48" t="n">
        <v>2020.0</v>
      </c>
      <c r="F48"/>
      <c r="G48" t="inlineStr">
        <is>
          <t>Jeong,T., and M.J. Simpson (2020). Time-Dependent Biomolecular Responses and Bioaccumulation of Perfluorooctane Sulfonate (PFOS) in Daphnia magna. Comp. Biochem. Physiol., 35, 7 p. doi:10.1016/j.cbd.2020.100701. ECOREF#:184766</t>
        </is>
      </c>
      <c r="H48" s="47" t="n">
        <f>HYPERLINK("https://scholar.google.com/scholar?hl=en&amp;as_q=&amp;as_oq=&amp;as_eq=&amp;as_sauthors=&amp;as_publication=&amp;as_ylo=&amp;as_yhi=&amp;as_occt=title&amp;as_sdt=0%2C5&amp;as_epq=%22Time-Dependent+Biomolecular+Responses+and+Bioaccumulation+of+Perfluorooctane+Sulfonate+%28PFOS%29+in+Daphnia+mag", "Google Scholar")</f>
        <v>0.0</v>
      </c>
    </row>
    <row r="49">
      <c r="A49" t="n">
        <v>193621.0</v>
      </c>
      <c r="B49" t="inlineStr">
        <is>
          <t>Jian,M., X. Chen, S. Liu, Y. Liu, Y. Liu, Q. Wang, and W. Tu</t>
        </is>
      </c>
      <c r="C49" t="inlineStr">
        <is>
          <t>Combined Exposure with Microplastics Increases the Toxic Effects of PFOS and Its Alternative F-53B in Adult Zebrafish</t>
        </is>
      </c>
      <c r="D49" t="inlineStr">
        <is>
          <t>Sci. Total Environ.920:11 p.</t>
        </is>
      </c>
      <c r="E49" t="n">
        <v>2024.0</v>
      </c>
      <c r="F49"/>
      <c r="G49" t="inlineStr">
        <is>
          <t>Jian,M., X. Chen, S. Liu, Y. Liu, Y. Liu, Q. Wang, and W. Tu (2024). Combined Exposure with Microplastics Increases the Toxic Effects of PFOS and Its Alternative F-53B in Adult Zebrafish. Sci. Total Environ., 920, 11 p. doi:10.1016/j.scitotenv.2024.170948. ECOREF#:193621</t>
        </is>
      </c>
      <c r="H49" s="48" t="n">
        <f>HYPERLINK("https://scholar.google.com/scholar?hl=en&amp;as_q=&amp;as_oq=&amp;as_eq=&amp;as_sauthors=&amp;as_publication=&amp;as_ylo=&amp;as_yhi=&amp;as_occt=title&amp;as_sdt=0%2C5&amp;as_epq=%22Combined+Exposure+with+Microplastics+Increases+the+Toxic+Effects+of+PFOS+and+Its+Alternative+F-53B+in+Adult+Zebr", "Google Scholar")</f>
        <v>0.0</v>
      </c>
    </row>
    <row r="50">
      <c r="A50" t="n">
        <v>181967.0</v>
      </c>
      <c r="B50" t="inlineStr">
        <is>
          <t>Khazaee,M., M.G.E. Guardian, D.S. Aga, and C.A. Ng</t>
        </is>
      </c>
      <c r="C50" t="inlineStr">
        <is>
          <t>Impacts of Sex and Exposure Duration on Gene Expression in Zebrafish Following Perfluorooctane Sulfonate Exposure</t>
        </is>
      </c>
      <c r="D50" t="inlineStr">
        <is>
          <t>Environ. Toxicol. Chem.39(2): 437-449</t>
        </is>
      </c>
      <c r="E50" t="n">
        <v>2020.0</v>
      </c>
      <c r="F50"/>
      <c r="G50" t="inlineStr">
        <is>
          <t>Khazaee,M., M.G.E. Guardian, D.S. Aga, and C.A. Ng (2020). Impacts of Sex and Exposure Duration on Gene Expression in Zebrafish Following Perfluorooctane Sulfonate Exposure. Environ. Toxicol. Chem., 39, (2), 437-449. doi:10.1002/etc.4628. ECOREF#:181967</t>
        </is>
      </c>
      <c r="H50" s="49" t="n">
        <f>HYPERLINK("https://scholar.google.com/scholar?hl=en&amp;as_q=&amp;as_oq=&amp;as_eq=&amp;as_sauthors=&amp;as_publication=&amp;as_ylo=&amp;as_yhi=&amp;as_occt=title&amp;as_sdt=0%2C5&amp;as_epq=%22Impacts+of+Sex+and+Exposure+Duration+on+Gene+Expression+in+Zebrafish+Following+Perfluorooctane+Sulfonate+Exposur", "Google Scholar")</f>
        <v>0.0</v>
      </c>
    </row>
    <row r="51">
      <c r="A51" t="n">
        <v>184767.0</v>
      </c>
      <c r="B51" t="inlineStr">
        <is>
          <t>Khezri,A., T.W.K. Fraser, R. Nourizadeh-Lillabadi, J.H. Kamstra, V. Berg, K.E. Zimmer, and E. Ropstad</t>
        </is>
      </c>
      <c r="C51" t="inlineStr">
        <is>
          <t>A Mixture of Persistent Organic Pollutants and Perfluorooctanesulfonic Acid Induces Similar Behavioural Responses, but Different Gene Expression Profiles in Zebrafish Larvae</t>
        </is>
      </c>
      <c r="D51" t="inlineStr">
        <is>
          <t>Int. J. Mol. Sci.18(291): 17 p.</t>
        </is>
      </c>
      <c r="E51" t="n">
        <v>2017.0</v>
      </c>
      <c r="F51"/>
      <c r="G51" t="inlineStr">
        <is>
          <t>Khezri,A., T.W.K. Fraser, R. Nourizadeh-Lillabadi, J.H. Kamstra, V. Berg, K.E. Zimmer, and E. Ropstad (2017). A Mixture of Persistent Organic Pollutants and Perfluorooctanesulfonic Acid Induces Similar Behavioural Responses, but Different Gene Expression Profiles in Zebrafish Larvae. Int. J. Mol. Sci., 18, (291), 17 p. doi:10.3390/ijms18020291. ECOREF#:184767</t>
        </is>
      </c>
      <c r="H51" s="50" t="n">
        <f>HYPERLINK("https://scholar.google.com/scholar?hl=en&amp;as_q=&amp;as_oq=&amp;as_eq=&amp;as_sauthors=&amp;as_publication=&amp;as_ylo=&amp;as_yhi=&amp;as_occt=title&amp;as_sdt=0%2C5&amp;as_epq=%22A+Mixture+of+Persistent+Organic+Pollutants+and+Perfluorooctanesulfonic+Acid+Induces+Similar+Behavioural+Response", "Google Scholar")</f>
        <v>0.0</v>
      </c>
    </row>
    <row r="52">
      <c r="A52" t="n">
        <v>177173.0</v>
      </c>
      <c r="B52" t="inlineStr">
        <is>
          <t>Li,Y., B. Men, Y. He, H. Xu, M. Liu, and D. Wang</t>
        </is>
      </c>
      <c r="C52" t="inlineStr">
        <is>
          <t>Effect of Single-Wall Carbon Nanotubes on Bioconcentration and Toxicity of Perfluorooctane Sulfonate in Zebrafish (Danio rerio)</t>
        </is>
      </c>
      <c r="D52" t="inlineStr">
        <is>
          <t>Sci. Total Environ.607/608:509-518</t>
        </is>
      </c>
      <c r="E52" t="n">
        <v>2017.0</v>
      </c>
      <c r="F52"/>
      <c r="G52" t="inlineStr">
        <is>
          <t>Li,Y., B. Men, Y. He, H. Xu, M. Liu, and D. Wang (2017). Effect of Single-Wall Carbon Nanotubes on Bioconcentration and Toxicity of Perfluorooctane Sulfonate in Zebrafish (Danio rerio). Sci. Total Environ., 607/608, 509-518. doi:10.1016/j.scitotenv.2017.06.140. ECOREF#:177173</t>
        </is>
      </c>
      <c r="H52" s="51" t="n">
        <f>HYPERLINK("https://scholar.google.com/scholar?hl=en&amp;as_q=&amp;as_oq=&amp;as_eq=&amp;as_sauthors=&amp;as_publication=&amp;as_ylo=&amp;as_yhi=&amp;as_occt=title&amp;as_sdt=0%2C5&amp;as_epq=%22Effect+of+Single-Wall+Carbon+Nanotubes+on+Bioconcentration+and+Toxicity+of+Perfluorooctane+Sulfonate+in+Zebrafis", "Google Scholar")</f>
        <v>0.0</v>
      </c>
    </row>
    <row r="53">
      <c r="A53" t="n">
        <v>195044.0</v>
      </c>
      <c r="B53" t="inlineStr">
        <is>
          <t>Li,Z., Z. Yao, S. Wang, H. Ni, L. Xiao, Z. Huang, H. Liu, S. He, S. Jin, H. Lu, and J. Chen</t>
        </is>
      </c>
      <c r="C53" t="inlineStr">
        <is>
          <t>Exploring the Phytotoxicity Mechanisms of PET Nanoplastics and 6:2 FTSA in Water Hyacinth Under Individual and Combined Exposure Scenarios</t>
        </is>
      </c>
      <c r="D53" t="inlineStr">
        <is>
          <t>J. Hazard. Mater.489:12 p.</t>
        </is>
      </c>
      <c r="E53" t="n">
        <v>2025.0</v>
      </c>
      <c r="F53"/>
      <c r="G53" t="inlineStr">
        <is>
          <t>Li,Z., Z. Yao, S. Wang, H. Ni, L. Xiao, Z. Huang, H. Liu, S. He, S. Jin, H. Lu, and J. Chen (2025). Exploring the Phytotoxicity Mechanisms of PET Nanoplastics and 6:2 FTSA in Water Hyacinth Under Individual and Combined Exposure Scenarios. J. Hazard. Mater., 489, 12 p. ECOREF#:195044</t>
        </is>
      </c>
      <c r="H53" s="52" t="n">
        <f>HYPERLINK("https://scholar.google.com/scholar?hl=en&amp;as_q=&amp;as_oq=&amp;as_eq=&amp;as_sauthors=&amp;as_publication=&amp;as_ylo=&amp;as_yhi=&amp;as_occt=title&amp;as_sdt=0%2C5&amp;as_epq=%22Exploring+the+Phytotoxicity+Mechanisms+of+PET+Nanoplastics+and+6%3A2+FTSA+in+Water+Hyacinth+Under+Individual+and", "Google Scholar")</f>
        <v>0.0</v>
      </c>
    </row>
    <row r="54">
      <c r="A54" t="n">
        <v>192479.0</v>
      </c>
      <c r="B54" t="inlineStr">
        <is>
          <t>Liao,J., B. Sun, C. Wang, Z. Cao, Z.Y. Wu, X. An, Z. Liang, X. Huang, and Y. Lu</t>
        </is>
      </c>
      <c r="C54" t="inlineStr">
        <is>
          <t>Uptake and Cellular Responses of Microcystis aeruginosa to PFOS in Various Environmental Conditions</t>
        </is>
      </c>
      <c r="D54" t="inlineStr">
        <is>
          <t>Ecotoxicol. Environ. Saf.272:10 p.</t>
        </is>
      </c>
      <c r="E54" t="n">
        <v>2024.0</v>
      </c>
      <c r="F54"/>
      <c r="G54" t="inlineStr">
        <is>
          <t>Liao,J., B. Sun, C. Wang, Z. Cao, Z.Y. Wu, X. An, Z. Liang, X. Huang, and Y. Lu (2024). Uptake and Cellular Responses of Microcystis aeruginosa to PFOS in Various Environmental Conditions. Ecotoxicol. Environ. Saf., 272, 10 p. ECOREF#:192479</t>
        </is>
      </c>
      <c r="H54" s="53" t="n">
        <f>HYPERLINK("https://scholar.google.com/scholar?hl=en&amp;as_q=&amp;as_oq=&amp;as_eq=&amp;as_sauthors=&amp;as_publication=&amp;as_ylo=&amp;as_yhi=&amp;as_occt=title&amp;as_sdt=0%2C5&amp;as_epq=%22Uptake+and+Cellular+Responses+of+Microcystis+aeruginosa+to+PFOS+in+Various+Environmental+Conditions", "Google Scholar")</f>
        <v>0.0</v>
      </c>
    </row>
    <row r="55">
      <c r="A55" t="n">
        <v>191182.0</v>
      </c>
      <c r="B55" t="inlineStr">
        <is>
          <t>Lin,H., H. Wu, F. Liu, H. Yang, L. Shen, J. Chen, X. Zhang, Y. Zhong, H. Zhang, and Z. Liu</t>
        </is>
      </c>
      <c r="C55" t="inlineStr">
        <is>
          <t>Assessing the Hepatotoxicity of PFOA, PFOS, and 6:2 Cl-PFESA in Black-Spotted Frogs (Rana nigromaculata) and Elucidating Potential Association with Gut Microbiota</t>
        </is>
      </c>
      <c r="D55" t="inlineStr">
        <is>
          <t>Environ. Pollut.312:11 p.</t>
        </is>
      </c>
      <c r="E55" t="n">
        <v>2022.0</v>
      </c>
      <c r="F55"/>
      <c r="G55" t="inlineStr">
        <is>
          <t>Lin,H., H. Wu, F. Liu, H. Yang, L. Shen, J. Chen, X. Zhang, Y. Zhong, H. Zhang, and Z. Liu (2022). Assessing the Hepatotoxicity of PFOA, PFOS, and 6:2 Cl-PFESA in Black-Spotted Frogs (Rana nigromaculata) and Elucidating Potential Association with Gut Microbiota. Environ. Pollut., 312, 11 p. doi:10.1016/j.envpol.2022.120029. ECOREF#:191182</t>
        </is>
      </c>
      <c r="H55" s="54" t="n">
        <f>HYPERLINK("https://scholar.google.com/scholar?hl=en&amp;as_q=&amp;as_oq=&amp;as_eq=&amp;as_sauthors=&amp;as_publication=&amp;as_ylo=&amp;as_yhi=&amp;as_occt=title&amp;as_sdt=0%2C5&amp;as_epq=%22Assessing+the+Hepatotoxicity+of+PFOA%2C+PFOS%2C+and+6%3A2+Cl-PFESA+in+Black-Spotted+Frogs+%28Rana+nigromaculata%", "Google Scholar")</f>
        <v>0.0</v>
      </c>
    </row>
    <row r="56">
      <c r="A56" t="n">
        <v>191161.0</v>
      </c>
      <c r="B56" t="inlineStr">
        <is>
          <t>Lin,H., Z. Liu, H. Yang, L. Lu, R. Chen, X. Zhang, Y. Zhong, and H. Zhang</t>
        </is>
      </c>
      <c r="C56" t="inlineStr">
        <is>
          <t>Per- and Polyfluoroalkyl Substances (PFASs) Impair Lipid Metabolism in Rana nigromaculata: A Field Investigation and Laboratory Study</t>
        </is>
      </c>
      <c r="D56" t="inlineStr">
        <is>
          <t>Environ. Sci. Technol.56(18): 13222-13232</t>
        </is>
      </c>
      <c r="E56" t="n">
        <v>2022.0</v>
      </c>
      <c r="F56"/>
      <c r="G56" t="inlineStr">
        <is>
          <t>Lin,H., Z. Liu, H. Yang, L. Lu, R. Chen, X. Zhang, Y. Zhong, and H. Zhang (2022). Per- and Polyfluoroalkyl Substances (PFASs) Impair Lipid Metabolism in Rana nigromaculata: A Field Investigation and Laboratory Study. Environ. Sci. Technol., 56, (18), 13222-13232. doi:10.1021/acs.est.2c03452. ECOREF#:191161</t>
        </is>
      </c>
      <c r="H56" s="55" t="n">
        <f>HYPERLINK("https://scholar.google.com/scholar?hl=en&amp;as_q=&amp;as_oq=&amp;as_eq=&amp;as_sauthors=&amp;as_publication=&amp;as_ylo=&amp;as_yhi=&amp;as_occt=title&amp;as_sdt=0%2C5&amp;as_epq=%22Per-+and+Polyfluoroalkyl+Substances+%28PFASs%29+Impair+Lipid+Metabolism+in+Rana+nigromaculata%3A+A+Field+Investi", "Google Scholar")</f>
        <v>0.0</v>
      </c>
    </row>
    <row r="57">
      <c r="A57" t="n">
        <v>191181.0</v>
      </c>
      <c r="B57" t="inlineStr">
        <is>
          <t>Lindqvist,D., and E. Wincent</t>
        </is>
      </c>
      <c r="C57" t="inlineStr">
        <is>
          <t>Kinetics and Toxicity of an Environmentally Relevant Mixture of Halogenated Organic Compounds in Zebrafish Embryo</t>
        </is>
      </c>
      <c r="D57" t="inlineStr">
        <is>
          <t>Aquat. Toxicol.252:9 p.</t>
        </is>
      </c>
      <c r="E57" t="n">
        <v>2022.0</v>
      </c>
      <c r="F57"/>
      <c r="G57" t="inlineStr">
        <is>
          <t>Lindqvist,D., and E. Wincent (2022). Kinetics and Toxicity of an Environmentally Relevant Mixture of Halogenated Organic Compounds in Zebrafish Embryo. Aquat. Toxicol., 252, 9 p. doi:10.1016/j.aquatox.2022.106311. ECOREF#:191181</t>
        </is>
      </c>
      <c r="H57" s="56" t="n">
        <f>HYPERLINK("https://scholar.google.com/scholar?hl=en&amp;as_q=&amp;as_oq=&amp;as_eq=&amp;as_sauthors=&amp;as_publication=&amp;as_ylo=&amp;as_yhi=&amp;as_occt=title&amp;as_sdt=0%2C5&amp;as_epq=%22Kinetics+and+Toxicity+of+an+Environmentally+Relevant+Mixture+of+Halogenated+Organic+Compounds+in+Zebrafish+Embry", "Google Scholar")</f>
        <v>0.0</v>
      </c>
    </row>
    <row r="58">
      <c r="A58" t="n">
        <v>182461.0</v>
      </c>
      <c r="B58" t="inlineStr">
        <is>
          <t>Liu,C., V.W. Chang, and K.Y. Gin</t>
        </is>
      </c>
      <c r="C58" t="inlineStr">
        <is>
          <t>Environmental Toxicity of PFCs: An Enhanced Integrated Biomarker Assessment and Structure-Activity Analysis</t>
        </is>
      </c>
      <c r="D58" t="inlineStr">
        <is>
          <t>Environ. Toxicol. Chem.32(10): 2226-2233</t>
        </is>
      </c>
      <c r="E58" t="n">
        <v>2013.0</v>
      </c>
      <c r="F58"/>
      <c r="G58" t="inlineStr">
        <is>
          <t>Liu,C., V.W. Chang, and K.Y. Gin (2013). Environmental Toxicity of PFCs: An Enhanced Integrated Biomarker Assessment and Structure-Activity Analysis. Environ. Toxicol. Chem., 32, (10), 2226-2233. doi:10.1002/etc.2306. ECOREF#:182461</t>
        </is>
      </c>
      <c r="H58" s="57" t="n">
        <f>HYPERLINK("https://scholar.google.com/scholar?hl=en&amp;as_q=&amp;as_oq=&amp;as_eq=&amp;as_sauthors=&amp;as_publication=&amp;as_ylo=&amp;as_yhi=&amp;as_occt=title&amp;as_sdt=0%2C5&amp;as_epq=%22Environmental+Toxicity+of+PFCs%3A+An+Enhanced+Integrated+Biomarker+Assessment+and+Structure-Activity+Analysis", "Google Scholar")</f>
        <v>0.0</v>
      </c>
    </row>
    <row r="59">
      <c r="A59" t="n">
        <v>175715.0</v>
      </c>
      <c r="B59" t="inlineStr">
        <is>
          <t>Liu,C., V.W.C. Chang, K.Y.H. Gin, and V.T. Nguyen</t>
        </is>
      </c>
      <c r="C59" t="inlineStr">
        <is>
          <t>Genotoxicity of Perfluorinated Chemicals (PFCs) to the Green Mussel (Perna viridis)</t>
        </is>
      </c>
      <c r="D59" t="inlineStr">
        <is>
          <t>Sci. Total Environ.487:117-122</t>
        </is>
      </c>
      <c r="E59" t="n">
        <v>2014.0</v>
      </c>
      <c r="F59"/>
      <c r="G59" t="inlineStr">
        <is>
          <t>Liu,C., V.W.C. Chang, K.Y.H. Gin, and V.T. Nguyen (2014). Genotoxicity of Perfluorinated Chemicals (PFCs) to the Green Mussel (Perna viridis). Sci. Total Environ., 487, 117-122. doi:10.1016/j.scitotenv.2014.04.017. ECOREF#:175715</t>
        </is>
      </c>
      <c r="H59" s="58" t="n">
        <f>HYPERLINK("https://scholar.google.com/scholar?hl=en&amp;as_q=&amp;as_oq=&amp;as_eq=&amp;as_sauthors=&amp;as_publication=&amp;as_ylo=&amp;as_yhi=&amp;as_occt=title&amp;as_sdt=0%2C5&amp;as_epq=%22Genotoxicity+of+Perfluorinated+Chemicals+%28PFCs%29+to+the+Green+Mussel+%28Perna+viridis%29", "Google Scholar")</f>
        <v>0.0</v>
      </c>
    </row>
    <row r="60">
      <c r="A60" t="n">
        <v>175762.0</v>
      </c>
      <c r="B60" t="inlineStr">
        <is>
          <t>Liu,C., V.W.C. Chang, and K.Y.H. Gin</t>
        </is>
      </c>
      <c r="C60" t="inlineStr">
        <is>
          <t>Oxidative Toxicity of Perfluorinated Chemicals in Green Mussel and Bioaccumulation Factor Dependent Quantitative Structure-Activity Relationship</t>
        </is>
      </c>
      <c r="D60" t="inlineStr">
        <is>
          <t>Environ. Toxicol. Chem.33(10): 2323-2332</t>
        </is>
      </c>
      <c r="E60" t="n">
        <v>2014.0</v>
      </c>
      <c r="F60"/>
      <c r="G60" t="inlineStr">
        <is>
          <t>Liu,C., V.W.C. Chang, and K.Y.H. Gin (2014). Oxidative Toxicity of Perfluorinated Chemicals in Green Mussel and Bioaccumulation Factor Dependent Quantitative Structure-Activity Relationship. Environ. Toxicol. Chem., 33, (10), 2323-2332. doi:10.1002/etc.2679. ECOREF#:175762</t>
        </is>
      </c>
      <c r="H60" s="59" t="n">
        <f>HYPERLINK("https://scholar.google.com/scholar?hl=en&amp;as_q=&amp;as_oq=&amp;as_eq=&amp;as_sauthors=&amp;as_publication=&amp;as_ylo=&amp;as_yhi=&amp;as_occt=title&amp;as_sdt=0%2C5&amp;as_epq=%22Oxidative+Toxicity+of+Perfluorinated+Chemicals+in+Green+Mussel+and+Bioaccumulation+Factor+Dependent+Quantitative", "Google Scholar")</f>
        <v>0.0</v>
      </c>
    </row>
    <row r="61">
      <c r="A61" t="n">
        <v>177106.0</v>
      </c>
      <c r="B61" t="inlineStr">
        <is>
          <t>Liu,C., and K.Y. Gin</t>
        </is>
      </c>
      <c r="C61" t="inlineStr">
        <is>
          <t>Immunotoxicity in Green Mussels Under Perfluoroalkyl Substance (PFAS) Exposure: Reversible Response and Response Model Development</t>
        </is>
      </c>
      <c r="D61" t="inlineStr">
        <is>
          <t>Environ. Toxicol. Chem.37(4): 1138-1145</t>
        </is>
      </c>
      <c r="E61" t="n">
        <v>2018.0</v>
      </c>
      <c r="F61"/>
      <c r="G61" t="inlineStr">
        <is>
          <t>Liu,C., and K.Y. Gin (2018). Immunotoxicity in Green Mussels Under Perfluoroalkyl Substance (PFAS) Exposure: Reversible Response and Response Model Development. Environ. Toxicol. Chem., 37, (4), 1138-1145. doi:10.1002/etc.4060. ECOREF#:177106</t>
        </is>
      </c>
      <c r="H61" s="60" t="n">
        <f>HYPERLINK("https://scholar.google.com/scholar?hl=en&amp;as_q=&amp;as_oq=&amp;as_eq=&amp;as_sauthors=&amp;as_publication=&amp;as_ylo=&amp;as_yhi=&amp;as_occt=title&amp;as_sdt=0%2C5&amp;as_epq=%22Immunotoxicity+in+Green+Mussels+Under+Perfluoroalkyl+Substance+%28PFAS%29+Exposure%3A+Reversible+Response+and+Re", "Google Scholar")</f>
        <v>0.0</v>
      </c>
    </row>
    <row r="62">
      <c r="A62" t="n">
        <v>177071.0</v>
      </c>
      <c r="B62" t="inlineStr">
        <is>
          <t>Liu,J., R. Qu, L. Yan, L. Wang, and Z. Wang</t>
        </is>
      </c>
      <c r="C62" t="inlineStr">
        <is>
          <t>Evaluation of Single and Joint Toxicity of Perfluorooctane Sulfonate and Zinc to Limnodrilus hoffmeisteri: Acute Toxicity, Bioaccumulation and Oxidative Stress</t>
        </is>
      </c>
      <c r="D62" t="inlineStr">
        <is>
          <t>J. Hazard. Mater.301:342-349</t>
        </is>
      </c>
      <c r="E62" t="n">
        <v>2016.0</v>
      </c>
      <c r="F62"/>
      <c r="G62" t="inlineStr">
        <is>
          <t>Liu,J., R. Qu, L. Yan, L. Wang, and Z. Wang (2016). Evaluation of Single and Joint Toxicity of Perfluorooctane Sulfonate and Zinc to Limnodrilus hoffmeisteri: Acute Toxicity, Bioaccumulation and Oxidative Stress. J. Hazard. Mater., 301, 342-349. doi:10.1016/j.jhazmat.2015.09.010. ECOREF#:177071</t>
        </is>
      </c>
      <c r="H62" s="61" t="n">
        <f>HYPERLINK("https://scholar.google.com/scholar?hl=en&amp;as_q=&amp;as_oq=&amp;as_eq=&amp;as_sauthors=&amp;as_publication=&amp;as_ylo=&amp;as_yhi=&amp;as_occt=title&amp;as_sdt=0%2C5&amp;as_epq=%22Evaluation+of+Single+and+Joint+Toxicity+of+Perfluorooctane+Sulfonate+and+Zinc+to+Limnodrilus+hoffmeisteri%3A+Acu", "Google Scholar")</f>
        <v>0.0</v>
      </c>
    </row>
    <row r="63">
      <c r="A63" t="n">
        <v>185381.0</v>
      </c>
      <c r="B63" t="inlineStr">
        <is>
          <t>Liu,Y., M. Junaid, P. Xu, W. Zhong, B. Pan, and N. Xu</t>
        </is>
      </c>
      <c r="C63" t="inlineStr">
        <is>
          <t>Suspended Sediment Exacerbates Perfluorooctane Sulfonate Mediated Toxicity Through Reactive Oxygen Species Generation in Freshwater Clam Corbicula fluminea</t>
        </is>
      </c>
      <c r="D63" t="inlineStr">
        <is>
          <t>Environ. Pollut.267:12 p.</t>
        </is>
      </c>
      <c r="E63" t="n">
        <v>2020.0</v>
      </c>
      <c r="F63"/>
      <c r="G63" t="inlineStr">
        <is>
          <t>Liu,Y., M. Junaid, P. Xu, W. Zhong, B. Pan, and N. Xu (2020). Suspended Sediment Exacerbates Perfluorooctane Sulfonate Mediated Toxicity Through Reactive Oxygen Species Generation in Freshwater Clam Corbicula fluminea. Environ. Pollut., 267, 12 p. ECOREF#:185381</t>
        </is>
      </c>
      <c r="H63" s="62" t="n">
        <f>HYPERLINK("https://scholar.google.com/scholar?hl=en&amp;as_q=&amp;as_oq=&amp;as_eq=&amp;as_sauthors=&amp;as_publication=&amp;as_ylo=&amp;as_yhi=&amp;as_occt=title&amp;as_sdt=0%2C5&amp;as_epq=%22Suspended+Sediment+Exacerbates+Perfluorooctane+Sulfonate+Mediated+Toxicity+Through+Reactive+Oxygen+Species+Gener", "Google Scholar")</f>
        <v>0.0</v>
      </c>
    </row>
    <row r="64">
      <c r="A64" t="n">
        <v>191232.0</v>
      </c>
      <c r="B64" t="inlineStr">
        <is>
          <t>Mao,W., M. Li, X. Xue, W. Cao, X. Wang, F. Xu, and W. Jiang</t>
        </is>
      </c>
      <c r="C64" t="inlineStr">
        <is>
          <t>Bioaccumulation and Toxicity of Perfluorooctanoic Acid and Perfluorooctanesulfonate in Marine Algae Chlorella sp.</t>
        </is>
      </c>
      <c r="D64" t="inlineStr">
        <is>
          <t>Sci. Total Environ.870:10 p.</t>
        </is>
      </c>
      <c r="E64" t="n">
        <v>2023.0</v>
      </c>
      <c r="F64"/>
      <c r="G64" t="inlineStr">
        <is>
          <t>Mao,W., M. Li, X. Xue, W. Cao, X. Wang, F. Xu, and W. Jiang (2023). Bioaccumulation and Toxicity of Perfluorooctanoic Acid and Perfluorooctanesulfonate in Marine Algae Chlorella sp.. Sci. Total Environ., 870, 10 p. doi:10.1016/j.scitotenv.2023.161882. ECOREF#:191232</t>
        </is>
      </c>
      <c r="H64" s="63" t="n">
        <f>HYPERLINK("https://scholar.google.com/scholar?hl=en&amp;as_q=&amp;as_oq=&amp;as_eq=&amp;as_sauthors=&amp;as_publication=&amp;as_ylo=&amp;as_yhi=&amp;as_occt=title&amp;as_sdt=0%2C5&amp;as_epq=%22Bioaccumulation+and+Toxicity+of+Perfluorooctanoic+Acid+and+Perfluorooctanesulfonate+in+Marine+Algae+Chlorella+sp", "Google Scholar")</f>
        <v>0.0</v>
      </c>
    </row>
    <row r="65">
      <c r="A65" t="n">
        <v>188797.0</v>
      </c>
      <c r="B65" t="inlineStr">
        <is>
          <t>Marchetto,F., M. Roverso, D. Righetti, S. Bogialli, F. Filippini, E. Bergantino, and E. Sforza</t>
        </is>
      </c>
      <c r="C65" t="inlineStr">
        <is>
          <t>Bioremediation of Per- and Poly-Fluoroalkyl Substances (PFAS) by Synechocystis sp. PCC 6803: A Chassis for a Synthetic Biology Approach</t>
        </is>
      </c>
      <c r="D65" t="inlineStr">
        <is>
          <t>Life (Basel)11(12): 18 p.</t>
        </is>
      </c>
      <c r="E65" t="n">
        <v>2021.0</v>
      </c>
      <c r="F65"/>
      <c r="G65" t="inlineStr">
        <is>
          <t>Marchetto,F., M. Roverso, D. Righetti, S. Bogialli, F. Filippini, E. Bergantino, and E. Sforza (2021). Bioremediation of Per- and Poly-Fluoroalkyl Substances (PFAS) by Synechocystis sp. PCC 6803: A Chassis for a Synthetic Biology Approach. Life (Basel), 11, (12), 18 p. ECOREF#:188797</t>
        </is>
      </c>
      <c r="H65" s="64" t="n">
        <f>HYPERLINK("https://scholar.google.com/scholar?hl=en&amp;as_q=&amp;as_oq=&amp;as_eq=&amp;as_sauthors=&amp;as_publication=&amp;as_ylo=&amp;as_yhi=&amp;as_occt=title&amp;as_sdt=0%2C5&amp;as_epq=%22Bioremediation+of+Per-+and+Poly-Fluoroalkyl+Substances+%28PFAS%29+by+Synechocystis+sp.+PCC+6803%3A+A+Chassis+for", "Google Scholar")</f>
        <v>0.0</v>
      </c>
    </row>
    <row r="66">
      <c r="A66" t="n">
        <v>193712.0</v>
      </c>
      <c r="B66" t="inlineStr">
        <is>
          <t xml:space="preserve">Marin,M., K.M. Annunziato, M.C. Tompach, W. Liang, S.M. Zahn, S. Li, J. Doherty, J. Lee, J.M. Clark, Y. Park, and A.R. </t>
        </is>
      </c>
      <c r="C66" t="inlineStr">
        <is>
          <t>Maternal PFOS Exposure Affects Offspring Development in Nrf2-Dependent and Independent Ways in Zebrafish (Danio rerio)</t>
        </is>
      </c>
      <c r="D66" t="inlineStr">
        <is>
          <t>Aquat. Toxicol.271:10 p.</t>
        </is>
      </c>
      <c r="E66" t="n">
        <v>2024.0</v>
      </c>
      <c r="F66"/>
      <c r="G66" t="inlineStr">
        <is>
          <t>Marin,M., K.M. Annunziato, M.C. Tompach, W. Liang, S.M. Zahn, S. Li, J. Doherty, J. Lee, J.M. Clark, Y. Park, and A.R.  (2024). Maternal PFOS Exposure Affects Offspring Development in Nrf2-Dependent and Independent Ways in Zebrafish (Danio rerio). Aquat. Toxicol., 271, 10 p. doi:10.1016/j.aquatox.2024.106923. ECOREF#:193712</t>
        </is>
      </c>
      <c r="H66" s="65" t="n">
        <f>HYPERLINK("https://scholar.google.com/scholar?hl=en&amp;as_q=&amp;as_oq=&amp;as_eq=&amp;as_sauthors=&amp;as_publication=&amp;as_ylo=&amp;as_yhi=&amp;as_occt=title&amp;as_sdt=0%2C5&amp;as_epq=%22Maternal+PFOS+Exposure+Affects+Offspring+Development+in+Nrf2-Dependent+and+Independent+Ways+in+Zebrafish+%28Dani", "Google Scholar")</f>
        <v>0.0</v>
      </c>
    </row>
    <row r="67">
      <c r="A67" t="n">
        <v>177070.0</v>
      </c>
      <c r="B67" t="inlineStr">
        <is>
          <t>Meng,L., S. Yang, M. Feng, R. Qu, Y. Li, J. Liu, Z. Wang, and C. Sun</t>
        </is>
      </c>
      <c r="C67" t="inlineStr">
        <is>
          <t>Toxicity and Bioaccumulation of Copper in Limnodrilus hoffmeisteri Under Different pH Values: Impacts of Perfluorooctane Sulfonate</t>
        </is>
      </c>
      <c r="D67" t="inlineStr">
        <is>
          <t>J. Hazard. Mater.305:219-228</t>
        </is>
      </c>
      <c r="E67" t="n">
        <v>2016.0</v>
      </c>
      <c r="F67"/>
      <c r="G67" t="inlineStr">
        <is>
          <t>Meng,L., S. Yang, M. Feng, R. Qu, Y. Li, J. Liu, Z. Wang, and C. Sun (2016). Toxicity and Bioaccumulation of Copper in Limnodrilus hoffmeisteri Under Different pH Values: Impacts of Perfluorooctane Sulfonate. J. Hazard. Mater., 305, 219-228. doi:10.1016/j.jhazmat.2015.11.048. ECOREF#:177070</t>
        </is>
      </c>
      <c r="H67" s="66" t="n">
        <f>HYPERLINK("https://scholar.google.com/scholar?hl=en&amp;as_q=&amp;as_oq=&amp;as_eq=&amp;as_sauthors=&amp;as_publication=&amp;as_ylo=&amp;as_yhi=&amp;as_occt=title&amp;as_sdt=0%2C5&amp;as_epq=%22Toxicity+and+Bioaccumulation+of+Copper+in+Limnodrilus+hoffmeisteri+Under+Different+pH+Values%3A+Impacts+of+Perfl", "Google Scholar")</f>
        <v>0.0</v>
      </c>
    </row>
    <row r="68">
      <c r="A68" t="n">
        <v>175198.0</v>
      </c>
      <c r="B68" t="inlineStr">
        <is>
          <t>Mortensen,A.S., R.J. Letcher, M.V. Cangialosi, S. Chu, and A. Arukwe</t>
        </is>
      </c>
      <c r="C68" t="inlineStr">
        <is>
          <t>Tissue Bioaccumulation Patterns, Xenobiotic Biotransformation and Steroid Hormone Levels in Atlantic Salmon (Salmo salar) Fed a Diet Containing Perfluorooctane Sulfonic or Perfluorooctane Carboxylic Acids</t>
        </is>
      </c>
      <c r="D68" t="inlineStr">
        <is>
          <t>Chemosphere83(8): 1035-1044</t>
        </is>
      </c>
      <c r="E68" t="n">
        <v>2011.0</v>
      </c>
      <c r="F68"/>
      <c r="G68" t="inlineStr">
        <is>
          <t>Mortensen,A.S., R.J. Letcher, M.V. Cangialosi, S. Chu, and A. Arukwe (2011). Tissue Bioaccumulation Patterns, Xenobiotic Biotransformation and Steroid Hormone Levels in Atlantic Salmon (Salmo salar) Fed a Diet Containing Perfluorooctane Sulfonic or Perfluorooctane Carboxylic Acids. Chemosphere, 83, (8), 1035-1044. doi:10.1016/j.chemosphere.2011.01.067. ECOREF#:175198</t>
        </is>
      </c>
      <c r="H68" s="67" t="n">
        <f>HYPERLINK("https://scholar.google.com/scholar?hl=en&amp;as_q=&amp;as_oq=&amp;as_eq=&amp;as_sauthors=&amp;as_publication=&amp;as_ylo=&amp;as_yhi=&amp;as_occt=title&amp;as_sdt=0%2C5&amp;as_epq=%22Tissue+Bioaccumulation+Patterns%2C+Xenobiotic+Biotransformation+and+Steroid+Hormone+Levels+in+Atlantic+Salmon+%2", "Google Scholar")</f>
        <v>0.0</v>
      </c>
    </row>
    <row r="69">
      <c r="A69" t="n">
        <v>175222.0</v>
      </c>
      <c r="B69" t="inlineStr">
        <is>
          <t>Oh,J.H., H.B. Moon, and E.S. Choe</t>
        </is>
      </c>
      <c r="C69" t="inlineStr">
        <is>
          <t>Alterations in Differentially Expressed Genes After Repeated Exposure to Perfluorooctanoate and Perfluorooctanesulfonate in Liver of Oryzias latipes</t>
        </is>
      </c>
      <c r="D69" t="inlineStr">
        <is>
          <t>Arch. Environ. Contam. Toxicol.64(3): 475-483</t>
        </is>
      </c>
      <c r="E69" t="n">
        <v>2013.0</v>
      </c>
      <c r="F69"/>
      <c r="G69" t="inlineStr">
        <is>
          <t>Oh,J.H., H.B. Moon, and E.S. Choe (2013). Alterations in Differentially Expressed Genes After Repeated Exposure to Perfluorooctanoate and Perfluorooctanesulfonate in Liver of Oryzias latipes. Arch. Environ. Contam. Toxicol., 64, (3), 475-483. doi:10.1007/s00244-012-9840-x. ECOREF#:175222</t>
        </is>
      </c>
      <c r="H69" s="68" t="n">
        <f>HYPERLINK("https://scholar.google.com/scholar?hl=en&amp;as_q=&amp;as_oq=&amp;as_eq=&amp;as_sauthors=&amp;as_publication=&amp;as_ylo=&amp;as_yhi=&amp;as_occt=title&amp;as_sdt=0%2C5&amp;as_epq=%22Alterations+in+Differentially+Expressed+Genes+After+Repeated+Exposure+to+Perfluorooctanoate+and+Perfluorooctanes", "Google Scholar")</f>
        <v>0.0</v>
      </c>
    </row>
    <row r="70">
      <c r="A70" t="n">
        <v>193606.0</v>
      </c>
      <c r="B70" t="inlineStr">
        <is>
          <t>Paquette,S.E., N.R. Martin, A. Rodd, K.E. Manz, E. Allen, M. Camarillo, H.I. Weller, K. Pennell, and J.S. Plavicki</t>
        </is>
      </c>
      <c r="C70" t="inlineStr">
        <is>
          <t>Evaluation of Neural Regulation and Microglial Responses to Brain Injury in Larval Zebrafish Exposed to Perfluorooctane Sulfonate</t>
        </is>
      </c>
      <c r="D70" t="inlineStr">
        <is>
          <t>Environ. Health Perspect.131(11): 17 p.</t>
        </is>
      </c>
      <c r="E70" t="n">
        <v>2023.0</v>
      </c>
      <c r="F70"/>
      <c r="G70" t="inlineStr">
        <is>
          <t>Paquette,S.E., N.R. Martin, A. Rodd, K.E. Manz, E. Allen, M. Camarillo, H.I. Weller, K. Pennell, and J.S. Plavicki (2023). Evaluation of Neural Regulation and Microglial Responses to Brain Injury in Larval Zebrafish Exposed to Perfluorooctane Sulfonate. Environ. Health Perspect., 131, (11), 17 p. ECOREF#:193606</t>
        </is>
      </c>
      <c r="H70" s="69" t="n">
        <f>HYPERLINK("https://scholar.google.com/scholar?hl=en&amp;as_q=&amp;as_oq=&amp;as_eq=&amp;as_sauthors=&amp;as_publication=&amp;as_ylo=&amp;as_yhi=&amp;as_occt=title&amp;as_sdt=0%2C5&amp;as_epq=%22Evaluation+of+Neural+Regulation+and+Microglial+Responses+to+Brain+Injury+in+Larval+Zebrafish+Exposed+to+Perfluor", "Google Scholar")</f>
        <v>0.0</v>
      </c>
    </row>
    <row r="71">
      <c r="A71" t="n">
        <v>195401.0</v>
      </c>
      <c r="B71" t="inlineStr">
        <is>
          <t>Pollard,S., A.O. De Silva, and D.B.D. Simmons</t>
        </is>
      </c>
      <c r="C71" t="inlineStr">
        <is>
          <t>Metabolic, Neurotoxic and Immunotoxic Effects of PFAAs and Their Mixtures on the Proteome of the Head Kidney and Plasma from Rainbow Trout (Oncorhynchus mykiss)</t>
        </is>
      </c>
      <c r="D71" t="inlineStr">
        <is>
          <t>Sci. Total Environ.928:12 p.</t>
        </is>
      </c>
      <c r="E71" t="n">
        <v>2024.0</v>
      </c>
      <c r="F71"/>
      <c r="G71" t="inlineStr">
        <is>
          <t>Pollard,S., A.O. De Silva, and D.B.D. Simmons (2024). Metabolic, Neurotoxic and Immunotoxic Effects of PFAAs and Their Mixtures on the Proteome of the Head Kidney and Plasma from Rainbow Trout (Oncorhynchus mykiss). Sci. Total Environ., 928, 12 p. doi:10.1016/j.scitotenv.2024.172389. ECOREF#:195401</t>
        </is>
      </c>
      <c r="H71" s="70" t="n">
        <f>HYPERLINK("https://scholar.google.com/scholar?hl=en&amp;as_q=&amp;as_oq=&amp;as_eq=&amp;as_sauthors=&amp;as_publication=&amp;as_ylo=&amp;as_yhi=&amp;as_occt=title&amp;as_sdt=0%2C5&amp;as_epq=%22Metabolic%2C+Neurotoxic+and+Immunotoxic+Effects+of+PFAAs+and+Their+Mixtures+on+the+Proteome+of+the+Head+Kidney+a", "Google Scholar")</f>
        <v>0.0</v>
      </c>
    </row>
    <row r="72">
      <c r="A72" t="n">
        <v>175185.0</v>
      </c>
      <c r="B72" t="inlineStr">
        <is>
          <t>Preus-Olsen,G., M.O. Olufsen, S.A. Pedersen, R.J. Letcher, and A. Arukwe</t>
        </is>
      </c>
      <c r="C72" t="inlineStr">
        <is>
          <t>Effects of Elevated Dissolved Carbon Dioxide and Perfluorooctane Sulfonic Acid, Given Singly and in Combination, on Steroidogenic and Biotransformation Pathways of Atlantic Cod</t>
        </is>
      </c>
      <c r="D72" t="inlineStr">
        <is>
          <t>Aquat. Toxicol.155:222-235</t>
        </is>
      </c>
      <c r="E72" t="n">
        <v>2014.0</v>
      </c>
      <c r="F72"/>
      <c r="G72" t="inlineStr">
        <is>
          <t>Preus-Olsen,G., M.O. Olufsen, S.A. Pedersen, R.J. Letcher, and A. Arukwe (2014). Effects of Elevated Dissolved Carbon Dioxide and Perfluorooctane Sulfonic Acid, Given Singly and in Combination, on Steroidogenic and Biotransformation Pathways of Atlantic Cod. Aquat. Toxicol., 155, 222-235. doi:10.1016/j.aquatox.2014.06.017. ECOREF#:175185</t>
        </is>
      </c>
      <c r="H72" s="71" t="n">
        <f>HYPERLINK("https://scholar.google.com/scholar?hl=en&amp;as_q=&amp;as_oq=&amp;as_eq=&amp;as_sauthors=&amp;as_publication=&amp;as_ylo=&amp;as_yhi=&amp;as_occt=title&amp;as_sdt=0%2C5&amp;as_epq=%22Effects+of+Elevated+Dissolved+Carbon+Dioxide+and+Perfluorooctane+Sulfonic+Acid%2C+Given+Singly+and+in+Combinatio", "Google Scholar")</f>
        <v>0.0</v>
      </c>
    </row>
    <row r="73">
      <c r="A73" t="n">
        <v>177202.0</v>
      </c>
      <c r="B73" t="inlineStr">
        <is>
          <t>Qiang,L., M. Chen, L. Zhu, W. Wu, and Q. Wang</t>
        </is>
      </c>
      <c r="C73" t="inlineStr">
        <is>
          <t>Facilitated Bioaccumulation of Perfluorooctanesulfonate in Common Carp (Cyprinus carpio) by Graphene Oxide and Remission Mechanism of Fulvic Acid</t>
        </is>
      </c>
      <c r="D73" t="inlineStr">
        <is>
          <t>Environ. Sci. Technol.50(21): 11627-11636</t>
        </is>
      </c>
      <c r="E73" t="n">
        <v>2016.0</v>
      </c>
      <c r="F73"/>
      <c r="G73" t="inlineStr">
        <is>
          <t>Qiang,L., M. Chen, L. Zhu, W. Wu, and Q. Wang (2016). Facilitated Bioaccumulation of Perfluorooctanesulfonate in Common Carp (Cyprinus carpio) by Graphene Oxide and Remission Mechanism of Fulvic Acid. Environ. Sci. Technol., 50, (21), 11627-11636. doi:10.1021/acs.est.6b02100. ECOREF#:177202</t>
        </is>
      </c>
      <c r="H73" s="72" t="n">
        <f>HYPERLINK("https://scholar.google.com/scholar?hl=en&amp;as_q=&amp;as_oq=&amp;as_eq=&amp;as_sauthors=&amp;as_publication=&amp;as_ylo=&amp;as_yhi=&amp;as_occt=title&amp;as_sdt=0%2C5&amp;as_epq=%22Facilitated+Bioaccumulation+of+Perfluorooctanesulfonate+in+Common+Carp+%28Cyprinus+carpio%29+by+Graphene+Oxide+a", "Google Scholar")</f>
        <v>0.0</v>
      </c>
    </row>
    <row r="74">
      <c r="A74" t="n">
        <v>177094.0</v>
      </c>
      <c r="B74" t="inlineStr">
        <is>
          <t>Qiang,L., X. Pan, L. Zhu, S. Fang, and S. Tian</t>
        </is>
      </c>
      <c r="C74" t="inlineStr">
        <is>
          <t>Effects of Nano-TiO2 on Perfluorooctanesulfonate Bioaccumulation in Fishes Living in Different Water Layers: Implications for Enhanced Risk of Perfluorooctanesulfonate</t>
        </is>
      </c>
      <c r="D74" t="inlineStr">
        <is>
          <t>Nanotoxicology10(4): 471-479</t>
        </is>
      </c>
      <c r="E74" t="n">
        <v>2016.0</v>
      </c>
      <c r="F74"/>
      <c r="G74" t="inlineStr">
        <is>
          <t>Qiang,L., X. Pan, L. Zhu, S. Fang, and S. Tian (2016). Effects of Nano-TiO2 on Perfluorooctanesulfonate Bioaccumulation in Fishes Living in Different Water Layers: Implications for Enhanced Risk of Perfluorooctanesulfonate. Nanotoxicology, 10, (4), 471-479. doi:10.3109/17435390.2015.1084058. ECOREF#:177094</t>
        </is>
      </c>
      <c r="H74" s="73" t="n">
        <f>HYPERLINK("https://scholar.google.com/scholar?hl=en&amp;as_q=&amp;as_oq=&amp;as_eq=&amp;as_sauthors=&amp;as_publication=&amp;as_ylo=&amp;as_yhi=&amp;as_occt=title&amp;as_sdt=0%2C5&amp;as_epq=%22Effects+of+Nano-TiO2+on+Perfluorooctanesulfonate+Bioaccumulation+in+Fishes+Living+in+Different+Water+Layers%3A+I", "Google Scholar")</f>
        <v>0.0</v>
      </c>
    </row>
    <row r="75">
      <c r="A75" t="n">
        <v>175667.0</v>
      </c>
      <c r="B75" t="inlineStr">
        <is>
          <t>Qiang,L., X. Shi, X. Pan, L. Zhu, M. Chen, and Y. Han</t>
        </is>
      </c>
      <c r="C75" t="inlineStr">
        <is>
          <t>Facilitated Bioaccumulation of Perfluorooctanesulfonate in Zebrafish by Nano-TiO2 in Two Crystalline Phases</t>
        </is>
      </c>
      <c r="D75" t="inlineStr">
        <is>
          <t>Environ. Pollut.206:644-651</t>
        </is>
      </c>
      <c r="E75" t="n">
        <v>2015.0</v>
      </c>
      <c r="F75"/>
      <c r="G75" t="inlineStr">
        <is>
          <t>Qiang,L., X. Shi, X. Pan, L. Zhu, M. Chen, and Y. Han (2015). Facilitated Bioaccumulation of Perfluorooctanesulfonate in Zebrafish by Nano-TiO2 in Two Crystalline Phases. Environ. Pollut., 206, 644-651. doi:10.1016/j.envpol.2015.08.032. ECOREF#:175667</t>
        </is>
      </c>
      <c r="H75" s="74" t="n">
        <f>HYPERLINK("https://scholar.google.com/scholar?hl=en&amp;as_q=&amp;as_oq=&amp;as_eq=&amp;as_sauthors=&amp;as_publication=&amp;as_ylo=&amp;as_yhi=&amp;as_occt=title&amp;as_sdt=0%2C5&amp;as_epq=%22Facilitated+Bioaccumulation+of+Perfluorooctanesulfonate+in+Zebrafish+by+Nano-TiO2+in+Two+Crystalline+Phases", "Google Scholar")</f>
        <v>0.0</v>
      </c>
    </row>
    <row r="76">
      <c r="A76" t="n">
        <v>175703.0</v>
      </c>
      <c r="B76" t="inlineStr">
        <is>
          <t>Qu,R., J. Liu, L. Wang, and Z. Wang</t>
        </is>
      </c>
      <c r="C76" t="inlineStr">
        <is>
          <t>The Toxic Effect and Bioaccumulation in Aquatic Oligochaete Limnodrilus hoffmeisteri After Combined Exposure to Cadmium and Perfluorooctane Sulfonate at Different pH Values</t>
        </is>
      </c>
      <c r="D76" t="inlineStr">
        <is>
          <t>Chemosphere152:496-502</t>
        </is>
      </c>
      <c r="E76" t="n">
        <v>2016.0</v>
      </c>
      <c r="F76"/>
      <c r="G76" t="inlineStr">
        <is>
          <t>Qu,R., J. Liu, L. Wang, and Z. Wang (2016). The Toxic Effect and Bioaccumulation in Aquatic Oligochaete Limnodrilus hoffmeisteri After Combined Exposure to Cadmium and Perfluorooctane Sulfonate at Different pH Values. Chemosphere, 152, 496-502. doi:10.1016/j.chemosphere.2016.03.024. ECOREF#:175703</t>
        </is>
      </c>
      <c r="H76" s="75" t="n">
        <f>HYPERLINK("https://scholar.google.com/scholar?hl=en&amp;as_q=&amp;as_oq=&amp;as_eq=&amp;as_sauthors=&amp;as_publication=&amp;as_ylo=&amp;as_yhi=&amp;as_occt=title&amp;as_sdt=0%2C5&amp;as_epq=%22The+Toxic+Effect+and+Bioaccumulation+in+Aquatic+Oligochaete+Limnodrilus+hoffmeisteri+After+Combined+Exposure+to+", "Google Scholar")</f>
        <v>0.0</v>
      </c>
    </row>
    <row r="77">
      <c r="A77" t="n">
        <v>187197.0</v>
      </c>
      <c r="B77" t="inlineStr">
        <is>
          <t>Raine,J.C., S. Su, E. Lin, Z.L. Yang, J.P. Giesy, and P.D. Jones</t>
        </is>
      </c>
      <c r="C77" t="inlineStr">
        <is>
          <t>Prefertilization Exposure of Rainbow Trout Eggs to Per- and Polyfluoroalkyl Substances to Simulate Accumulation During Oogenesis</t>
        </is>
      </c>
      <c r="D77" t="inlineStr">
        <is>
          <t>Environ. Toxicol. Chem.40(11): 3159-3165</t>
        </is>
      </c>
      <c r="E77" t="n">
        <v>2021.0</v>
      </c>
      <c r="F77"/>
      <c r="G77" t="inlineStr">
        <is>
          <t>Raine,J.C., S. Su, E. Lin, Z.L. Yang, J.P. Giesy, and P.D. Jones (2021). Prefertilization Exposure of Rainbow Trout Eggs to Per- and Polyfluoroalkyl Substances to Simulate Accumulation During Oogenesis. Environ. Toxicol. Chem., 40, (11), 3159-3165. doi:10.1002/etc.5200. ECOREF#:187197</t>
        </is>
      </c>
      <c r="H77" s="76" t="n">
        <f>HYPERLINK("https://scholar.google.com/scholar?hl=en&amp;as_q=&amp;as_oq=&amp;as_eq=&amp;as_sauthors=&amp;as_publication=&amp;as_ylo=&amp;as_yhi=&amp;as_occt=title&amp;as_sdt=0%2C5&amp;as_epq=%22Prefertilization+Exposure+of+Rainbow+Trout+Eggs+to+Per-+and+Polyfluoroalkyl+Substances+to+Simulate+Accumulation+", "Google Scholar")</f>
        <v>0.0</v>
      </c>
    </row>
    <row r="78">
      <c r="A78" t="n">
        <v>175716.0</v>
      </c>
      <c r="B78" t="inlineStr">
        <is>
          <t>Roland,K., P. Kestemont, R. Loos, S. Tavazzi, B. Paracchini, C. Belpaire, M. Dieu, M. Raes, and F. Silvestre</t>
        </is>
      </c>
      <c r="C78" t="inlineStr">
        <is>
          <t>Looking for Protein Expression Signatures in European Eel Peripheral Blood Mononuclear Cells After In Vivo Exposure to Perfluorooctane Sulfonate and a Real World Field Study</t>
        </is>
      </c>
      <c r="D78" t="inlineStr">
        <is>
          <t>Sci. Total Environ.468/469:958-967</t>
        </is>
      </c>
      <c r="E78" t="n">
        <v>2014.0</v>
      </c>
      <c r="F78"/>
      <c r="G78" t="inlineStr">
        <is>
          <t>Roland,K., P. Kestemont, R. Loos, S. Tavazzi, B. Paracchini, C. Belpaire, M. Dieu, M. Raes, and F. Silvestre (2014). Looking for Protein Expression Signatures in European Eel Peripheral Blood Mononuclear Cells After In Vivo Exposure to Perfluorooctane Sulfonate and a Real World Field Study. Sci. Total Environ., 468/469, 958-967. doi:10.1016/j.scitotenv.2013.07.110. ECOREF#:175716</t>
        </is>
      </c>
      <c r="H78" s="77" t="n">
        <f>HYPERLINK("https://scholar.google.com/scholar?hl=en&amp;as_q=&amp;as_oq=&amp;as_eq=&amp;as_sauthors=&amp;as_publication=&amp;as_ylo=&amp;as_yhi=&amp;as_occt=title&amp;as_sdt=0%2C5&amp;as_epq=%22Looking+for+Protein+Expression+Signatures+in+European+Eel+Peripheral+Blood+Mononuclear+Cells+After+In+Vivo+Expos", "Google Scholar")</f>
        <v>0.0</v>
      </c>
    </row>
    <row r="79">
      <c r="A79" t="n">
        <v>177135.0</v>
      </c>
      <c r="B79" t="inlineStr">
        <is>
          <t>Sakurai,T., J. Kobayashi, N. Ito, S. Serizawa, H. Shiraishi, T. Yabe, Y. Ishii, and N. Suzuki</t>
        </is>
      </c>
      <c r="C79" t="inlineStr">
        <is>
          <t>Respiratory Uptake and Depuration Kinetics of Perfluorooctanesulfonate (PFOS) in a Marine Sandworm Species</t>
        </is>
      </c>
      <c r="D79" t="inlineStr">
        <is>
          <t>Bull. Environ. Contam. Toxicol.99(2): 203-207</t>
        </is>
      </c>
      <c r="E79" t="n">
        <v>2017.0</v>
      </c>
      <c r="F79"/>
      <c r="G79" t="inlineStr">
        <is>
          <t>Sakurai,T., J. Kobayashi, N. Ito, S. Serizawa, H. Shiraishi, T. Yabe, Y. Ishii, and N. Suzuki (2017). Respiratory Uptake and Depuration Kinetics of Perfluorooctanesulfonate (PFOS) in a Marine Sandworm Species. Bull. Environ. Contam. Toxicol., 99, (2), 203-207. doi:10.1007/s00128-017-2124-4. ECOREF#:177135</t>
        </is>
      </c>
      <c r="H79" s="78" t="n">
        <f>HYPERLINK("https://scholar.google.com/scholar?hl=en&amp;as_q=&amp;as_oq=&amp;as_eq=&amp;as_sauthors=&amp;as_publication=&amp;as_ylo=&amp;as_yhi=&amp;as_occt=title&amp;as_sdt=0%2C5&amp;as_epq=%22Respiratory+Uptake+and+Depuration+Kinetics+of+Perfluorooctanesulfonate+%28PFOS%29+in+a+Marine+Sandworm+Species", "Google Scholar")</f>
        <v>0.0</v>
      </c>
    </row>
    <row r="80">
      <c r="A80" t="n">
        <v>191162.0</v>
      </c>
      <c r="B80" t="inlineStr">
        <is>
          <t>Shan,G., J. Zhao, X. Sun, L. Yang, H. Wei, and L. Zhu</t>
        </is>
      </c>
      <c r="C80" t="inlineStr">
        <is>
          <t>Quantitative Estimation of Relative Contributions of Direct and Indirect Exposures to Perfluorooctane Sulfonate in Organisms Using the Isomer Profiling Technique</t>
        </is>
      </c>
      <c r="D80" t="inlineStr">
        <is>
          <t>ACS ES&amp;T Water2(5): 730-737</t>
        </is>
      </c>
      <c r="E80" t="n">
        <v>2022.0</v>
      </c>
      <c r="F80"/>
      <c r="G80" t="inlineStr">
        <is>
          <t>Shan,G., J. Zhao, X. Sun, L. Yang, H. Wei, and L. Zhu (2022). Quantitative Estimation of Relative Contributions of Direct and Indirect Exposures to Perfluorooctane Sulfonate in Organisms Using the Isomer Profiling Technique. ACS ES&amp;T Water, 2, (5), 730-737. doi:10.1021/acsestwater.1c00368. ECOREF#:191162</t>
        </is>
      </c>
      <c r="H80" s="79" t="n">
        <f>HYPERLINK("https://scholar.google.com/scholar?hl=en&amp;as_q=&amp;as_oq=&amp;as_eq=&amp;as_sauthors=&amp;as_publication=&amp;as_ylo=&amp;as_yhi=&amp;as_occt=title&amp;as_sdt=0%2C5&amp;as_epq=%22Quantitative+Estimation+of+Relative+Contributions+of+Direct+and+Indirect+Exposures+to+Perfluorooctane+Sulfonate+", "Google Scholar")</f>
        <v>0.0</v>
      </c>
    </row>
    <row r="81">
      <c r="A81" t="n">
        <v>151619.0</v>
      </c>
      <c r="B81" t="inlineStr">
        <is>
          <t>Sharpe,R.L., J.P. Benskin, A.H. Laarman, S.L. MacLeod, J.W. Martin, C.S. Wong, and G.G. Goss</t>
        </is>
      </c>
      <c r="C81" t="inlineStr">
        <is>
          <t>Perfluorooctane Sulfonate Toxicity, Isomer-Specific Accumulation, and Maternal Transfer in Zebrafish (Danio rerio) and Rainbow Trout (Oncorhynchus mykiss)</t>
        </is>
      </c>
      <c r="D81" t="inlineStr">
        <is>
          <t>Environ. Toxicol. Chem.29(9): 1957-1966</t>
        </is>
      </c>
      <c r="E81" t="n">
        <v>2010.0</v>
      </c>
      <c r="F81"/>
      <c r="G81" t="inlineStr">
        <is>
          <t>Sharpe,R.L., J.P. Benskin, A.H. Laarman, S.L. MacLeod, J.W. Martin, C.S. Wong, and G.G. Goss (2010). Perfluorooctane Sulfonate Toxicity, Isomer-Specific Accumulation, and Maternal Transfer in Zebrafish (Danio rerio) and Rainbow Trout (Oncorhynchus mykiss). Environ. Toxicol. Chem., 29, (9), 1957-1966. doi:10.1002/etc.257. ECOREF#:151619</t>
        </is>
      </c>
      <c r="H81" s="80" t="n">
        <f>HYPERLINK("https://scholar.google.com/scholar?hl=en&amp;as_q=&amp;as_oq=&amp;as_eq=&amp;as_sauthors=&amp;as_publication=&amp;as_ylo=&amp;as_yhi=&amp;as_occt=title&amp;as_sdt=0%2C5&amp;as_epq=%22Perfluorooctane+Sulfonate+Toxicity%2C+Isomer-Specific+Accumulation%2C+and+Maternal+Transfer+in+Zebrafish+%28Dani", "Google Scholar")</f>
        <v>0.0</v>
      </c>
    </row>
    <row r="82">
      <c r="A82" t="n">
        <v>191156.0</v>
      </c>
      <c r="B82" t="inlineStr">
        <is>
          <t>Sinclair,G.M., S.M. Long, N. Singh, T.L. Coggan, M.P.J. Askeland, and O.A.H. Jones</t>
        </is>
      </c>
      <c r="C82" t="inlineStr">
        <is>
          <t>Exposure to Environmentally Relevant Levels of PFAS Causes Metabolic Changes in the Freshwater Amphipod Austrochiltonia subtenuis</t>
        </is>
      </c>
      <c r="D82" t="inlineStr">
        <is>
          <t>Metabolites12(11): 19 p.</t>
        </is>
      </c>
      <c r="E82" t="n">
        <v>2022.0</v>
      </c>
      <c r="F82"/>
      <c r="G82"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c r="H82" s="81" t="n">
        <f>HYPERLINK("https://scholar.google.com/scholar?hl=en&amp;as_q=&amp;as_oq=&amp;as_eq=&amp;as_sauthors=&amp;as_publication=&amp;as_ylo=&amp;as_yhi=&amp;as_occt=title&amp;as_sdt=0%2C5&amp;as_epq=%22Exposure+to+Environmentally+Relevant+Levels+of+PFAS+Causes+Metabolic+Changes+in+the+Freshwater+Amphipod+Austroch", "Google Scholar")</f>
        <v>0.0</v>
      </c>
    </row>
    <row r="83">
      <c r="A83" t="n">
        <v>181476.0</v>
      </c>
      <c r="B83" t="inlineStr">
        <is>
          <t>Spulber,S., P. Kilian, W.N.W. Ibrahim, N. Onishchenko, M. Ulhaq, L. Norrgren, S. Negri, M. Di Tuccio, and S. Ceccatelli</t>
        </is>
      </c>
      <c r="C83" t="inlineStr">
        <is>
          <t>PFOS Induces Behavioral Alterations, Including Spontaneous Hyperactivity that is Corrected by Dexamfetamine in Zebrafish Larvae</t>
        </is>
      </c>
      <c r="D83" t="inlineStr">
        <is>
          <t>PLoS One9(4): 13 p.</t>
        </is>
      </c>
      <c r="E83" t="n">
        <v>2014.0</v>
      </c>
      <c r="F83"/>
      <c r="G83" t="inlineStr">
        <is>
          <t>Spulber,S., P. Kilian, W.N.W. Ibrahim, N. Onishchenko, M. Ulhaq, L. Norrgren, S. Negri, M. Di Tuccio, and S. Ceccatelli (2014). PFOS Induces Behavioral Alterations, Including Spontaneous Hyperactivity that is Corrected by Dexamfetamine in Zebrafish Larvae. PLoS One, 9, (4), 13 p. doi:10.1371/journal.pone.0094227. ECOREF#:181476</t>
        </is>
      </c>
      <c r="H83" s="82" t="n">
        <f>HYPERLINK("https://scholar.google.com/scholar?hl=en&amp;as_q=&amp;as_oq=&amp;as_eq=&amp;as_sauthors=&amp;as_publication=&amp;as_ylo=&amp;as_yhi=&amp;as_occt=title&amp;as_sdt=0%2C5&amp;as_epq=%22PFOS+Induces+Behavioral+Alterations%2C+Including+Spontaneous+Hyperactivity+that+is+Corrected+by+Dexamfetamine+in", "Google Scholar")</f>
        <v>0.0</v>
      </c>
    </row>
    <row r="84">
      <c r="A84" t="n">
        <v>175712.0</v>
      </c>
      <c r="B84" t="inlineStr">
        <is>
          <t>Stevenson,C.N., L.A. MacManus-Spencer, T. Luckenbach, R.G. Luthy, and D. Epel</t>
        </is>
      </c>
      <c r="C84" t="inlineStr">
        <is>
          <t>New Perspectives on Perfluorochemical Ecotoxicology: Inhibition and Induction of an Efflux Transporter in the Marine Mussel, Mytilus californianus</t>
        </is>
      </c>
      <c r="D84" t="inlineStr">
        <is>
          <t>Environ. Sci. Technol.40(17): 5580-5585</t>
        </is>
      </c>
      <c r="E84" t="n">
        <v>2006.0</v>
      </c>
      <c r="F84"/>
      <c r="G84"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H84" s="83" t="n">
        <f>HYPERLINK("https://scholar.google.com/scholar?hl=en&amp;as_q=&amp;as_oq=&amp;as_eq=&amp;as_sauthors=&amp;as_publication=&amp;as_ylo=&amp;as_yhi=&amp;as_occt=title&amp;as_sdt=0%2C5&amp;as_epq=%22New+Perspectives+on+Perfluorochemical+Ecotoxicology%3A+Inhibition+and+Induction+of+an+Efflux+Transporter+in+the+", "Google Scholar")</f>
        <v>0.0</v>
      </c>
    </row>
    <row r="85">
      <c r="A85" t="n">
        <v>194792.0</v>
      </c>
      <c r="B85" t="inlineStr">
        <is>
          <t>Su,S., Z. Yang, Y. Gong, Y. Xie, J. Tang, C. Wang, X. Zhao, J.C. Raine, J.P. Giesy, and P.D. Jones</t>
        </is>
      </c>
      <c r="C85" t="inlineStr">
        <is>
          <t>Apical Effects of Simulated Maternal Exposure of Salmonid Fishes to Novel and Typical Per- and Polyfluoroalkyl Substances</t>
        </is>
      </c>
      <c r="D85" t="inlineStr">
        <is>
          <t>Environ. Toxicol. Chem.44(7): 1883-1890</t>
        </is>
      </c>
      <c r="E85" t="n">
        <v>2025.0</v>
      </c>
      <c r="F85"/>
      <c r="G85"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c r="H85" s="84" t="n">
        <f>HYPERLINK("https://scholar.google.com/scholar?hl=en&amp;as_q=&amp;as_oq=&amp;as_eq=&amp;as_sauthors=&amp;as_publication=&amp;as_ylo=&amp;as_yhi=&amp;as_occt=title&amp;as_sdt=0%2C5&amp;as_epq=%22Apical+Effects+of+Simulated+Maternal+Exposure+of+Salmonid+Fishes+to+Novel+and+Typical+Per-+and+Polyfluoroalkyl+S", "Google Scholar")</f>
        <v>0.0</v>
      </c>
    </row>
    <row r="86">
      <c r="A86" t="n">
        <v>185548.0</v>
      </c>
      <c r="B86" t="inlineStr">
        <is>
          <t>Suski,J.G., C.J. Salice, M.K. Chanov, J. Ayers, J. Rewerts, and J. Field</t>
        </is>
      </c>
      <c r="C86" t="inlineStr">
        <is>
          <t>Sensitivity and Accumulation of Perfluorooctanesulfonate and Perfluorohexanesulfonic Acid in Fathead Minnows (Pimephales promelas) Exposed over Critical Life Stages of Reproduction and Development</t>
        </is>
      </c>
      <c r="D86" t="inlineStr">
        <is>
          <t>Environ. Toxicol. Chem.40(3): 811-819</t>
        </is>
      </c>
      <c r="E86" t="n">
        <v>2021.0</v>
      </c>
      <c r="F86"/>
      <c r="G86"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c r="H86" s="85" t="n">
        <f>HYPERLINK("https://scholar.google.com/scholar?hl=en&amp;as_q=&amp;as_oq=&amp;as_eq=&amp;as_sauthors=&amp;as_publication=&amp;as_ylo=&amp;as_yhi=&amp;as_occt=title&amp;as_sdt=0%2C5&amp;as_epq=%22Sensitivity+and+Accumulation+of+Perfluorooctanesulfonate+and+Perfluorohexanesulfonic+Acid+in+Fathead+Minnows+%28", "Google Scholar")</f>
        <v>0.0</v>
      </c>
    </row>
    <row r="87">
      <c r="A87" t="n">
        <v>195287.0</v>
      </c>
      <c r="B87" t="inlineStr">
        <is>
          <t>Tompach,M.C., C.K. Gridley, M. Marin, P.F. Murphy, J. Lee, J.M. Clark, and A.R. Timme-Laragy</t>
        </is>
      </c>
      <c r="C87" t="inlineStr">
        <is>
          <t>Developmental Perfluorooctanesulfonic Acid Exposure Impairs Exocrine Pancreas Function in Zebrafish (Danio rerio)</t>
        </is>
      </c>
      <c r="D87" t="inlineStr">
        <is>
          <t>Toxicol. Sci.206(1): 46-57</t>
        </is>
      </c>
      <c r="E87" t="n">
        <v>2025.0</v>
      </c>
      <c r="F87"/>
      <c r="G87" t="inlineStr">
        <is>
          <t>Tompach,M.C., C.K. Gridley, M. Marin, P.F. Murphy, J. Lee, J.M. Clark, and A.R. Timme-Laragy (2025). Developmental Perfluorooctanesulfonic Acid Exposure Impairs Exocrine Pancreas Function in Zebrafish (Danio rerio). Toxicol. Sci., 206, (1), 46-57. ECOREF#:195287</t>
        </is>
      </c>
      <c r="H87" s="86" t="n">
        <f>HYPERLINK("https://scholar.google.com/scholar?hl=en&amp;as_q=&amp;as_oq=&amp;as_eq=&amp;as_sauthors=&amp;as_publication=&amp;as_ylo=&amp;as_yhi=&amp;as_occt=title&amp;as_sdt=0%2C5&amp;as_epq=%22Developmental+Perfluorooctanesulfonic+Acid+Exposure+Impairs+Exocrine+Pancreas+Function+in+Zebrafish+%28Danio+rer", "Google Scholar")</f>
        <v>0.0</v>
      </c>
    </row>
    <row r="88">
      <c r="A88" t="n">
        <v>184259.0</v>
      </c>
      <c r="B88" t="inlineStr">
        <is>
          <t>Tu,W., R. Mart­Nez, L. Navarro-Martin, D.J. Kostyniuk, C. Hum, J. Huang, M. Deng, Y. Jin, H.M. Chan, and J.A. Mennigen</t>
        </is>
      </c>
      <c r="C88" t="inlineStr">
        <is>
          <t>Bioconcentration and Metabolic Effects of Emerging PFOS Alternatives in Developing Zebrafish</t>
        </is>
      </c>
      <c r="D88" t="inlineStr">
        <is>
          <t>Environ. Sci. Technol.22:13427-13439</t>
        </is>
      </c>
      <c r="E88" t="n">
        <v>2019.0</v>
      </c>
      <c r="F88"/>
      <c r="G88" t="inlineStr">
        <is>
          <t>Tu,W., R. Mart­Nez, L. Navarro-Martin, D.J. Kostyniuk, C. Hum, J. Huang, M. Deng, Y. Jin, H.M. Chan, and J.A. Mennigen (2019). Bioconcentration and Metabolic Effects of Emerging PFOS Alternatives in Developing Zebrafish. Environ. Sci. Technol., 22, 13427-13439. doi:10.1021/acs.est.9b03820. ECOREF#:184259</t>
        </is>
      </c>
      <c r="H88" s="87" t="n">
        <f>HYPERLINK("https://scholar.google.com/scholar?hl=en&amp;as_q=&amp;as_oq=&amp;as_eq=&amp;as_sauthors=&amp;as_publication=&amp;as_ylo=&amp;as_yhi=&amp;as_occt=title&amp;as_sdt=0%2C5&amp;as_epq=%22Bioconcentration+and+Metabolic+Effects+of+Emerging+PFOS+Alternatives+in+Developing+Zebrafish", "Google Scholar")</f>
        <v>0.0</v>
      </c>
    </row>
    <row r="89">
      <c r="A89" t="n">
        <v>181482.0</v>
      </c>
      <c r="B89" t="inlineStr">
        <is>
          <t>Vogs,C., G. Johanson, M. Naslund, S. Wulff, M. Sjodin, M. Hellstrandh, J. Lindberg, and E. Wincent</t>
        </is>
      </c>
      <c r="C89" t="inlineStr">
        <is>
          <t>Toxicokinetics of Perfluorinated Alkyl Acids Influences Their Toxic Potency in the Zebrafish Embryo (Danio rerio)</t>
        </is>
      </c>
      <c r="D89" t="inlineStr">
        <is>
          <t>Environ. Sci. Technol.53(7): 3898-3907</t>
        </is>
      </c>
      <c r="E89" t="n">
        <v>2019.0</v>
      </c>
      <c r="F89"/>
      <c r="G89"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c r="H89" s="88" t="n">
        <f>HYPERLINK("https://scholar.google.com/scholar?hl=en&amp;as_q=&amp;as_oq=&amp;as_eq=&amp;as_sauthors=&amp;as_publication=&amp;as_ylo=&amp;as_yhi=&amp;as_occt=title&amp;as_sdt=0%2C5&amp;as_epq=%22Toxicokinetics+of+Perfluorinated+Alkyl+Acids+Influences+Their+Toxic+Potency+in+the+Zebrafish+Embryo+%28Danio+rer", "Google Scholar")</f>
        <v>0.0</v>
      </c>
    </row>
    <row r="90">
      <c r="A90" t="n">
        <v>193410.0</v>
      </c>
      <c r="B90" t="inlineStr">
        <is>
          <t>Wang,M., B. Song, T. Song, K. Sun, J. He, J. Deng, L. Fang, T. Luan, and L. Lin</t>
        </is>
      </c>
      <c r="C90" t="inlineStr">
        <is>
          <t>Efflux Transport Proteins of Tetrahymena thermophila Play Important Roles in Resistance to Perfluorooctane Sulfonate Exposure</t>
        </is>
      </c>
      <c r="D90" t="inlineStr">
        <is>
          <t>J. Hazard. Mater.459:9 p.</t>
        </is>
      </c>
      <c r="E90" t="n">
        <v>2023.0</v>
      </c>
      <c r="F90"/>
      <c r="G90" t="inlineStr">
        <is>
          <t>Wang,M., B. Song, T. Song, K. Sun, J. He, J. Deng, L. Fang, T. Luan, and L. Lin (2023). Efflux Transport Proteins of Tetrahymena thermophila Play Important Roles in Resistance to Perfluorooctane Sulfonate Exposure. J. Hazard. Mater., 459, 9 p. ECOREF#:193410</t>
        </is>
      </c>
      <c r="H90" s="89" t="n">
        <f>HYPERLINK("https://scholar.google.com/scholar?hl=en&amp;as_q=&amp;as_oq=&amp;as_eq=&amp;as_sauthors=&amp;as_publication=&amp;as_ylo=&amp;as_yhi=&amp;as_occt=title&amp;as_sdt=0%2C5&amp;as_epq=%22Efflux+Transport+Proteins+of+Tetrahymena+thermophila+Play+Important+Roles+in+Resistance+to+Perfluorooctane+Sulfo", "Google Scholar")</f>
        <v>0.0</v>
      </c>
    </row>
    <row r="91">
      <c r="A91" t="n">
        <v>164068.0</v>
      </c>
      <c r="B91" t="inlineStr">
        <is>
          <t>Wang,M., J. Chen, K. Lin, Y. Chen, W. Hu, R.L. Tanguay, C. Huang, and Q. Dong</t>
        </is>
      </c>
      <c r="C91" t="inlineStr">
        <is>
          <t>Chronic Zebrafish PFOS Exposure Alters Sex Ratio and Maternal Related Effects in F1 Offspring</t>
        </is>
      </c>
      <c r="D91" t="inlineStr">
        <is>
          <t>Environ. Toxicol. Chem.30(9): 2073-2080</t>
        </is>
      </c>
      <c r="E91" t="n">
        <v>2011.0</v>
      </c>
      <c r="F91"/>
      <c r="G91" t="inlineStr">
        <is>
          <t>Wang,M., J. Chen, K. Lin, Y. Chen, W. Hu, R.L. Tanguay, C. Huang, and Q. Dong (2011). Chronic Zebrafish PFOS Exposure Alters Sex Ratio and Maternal Related Effects in F1 Offspring. Environ. Toxicol. Chem., 30, (9), 2073-2080. doi:10.1002/etc.594. ECOREF#:164068</t>
        </is>
      </c>
      <c r="H91" s="90" t="n">
        <f>HYPERLINK("https://scholar.google.com/scholar?hl=en&amp;as_q=&amp;as_oq=&amp;as_eq=&amp;as_sauthors=&amp;as_publication=&amp;as_ylo=&amp;as_yhi=&amp;as_occt=title&amp;as_sdt=0%2C5&amp;as_epq=%22Chronic+Zebrafish+PFOS+Exposure+Alters+Sex+Ratio+and+Maternal+Related+Effects+in+F1+Offspring", "Google Scholar")</f>
        <v>0.0</v>
      </c>
    </row>
    <row r="92">
      <c r="A92" t="n">
        <v>191253.0</v>
      </c>
      <c r="B92" t="inlineStr">
        <is>
          <t>Wang,Q., J. Huang, S. Liu, C. Wang, Y. Jin, H. Lai, and W. Tu</t>
        </is>
      </c>
      <c r="C92" t="inlineStr">
        <is>
          <t>Aberrant Hepatic Lipid Metabolism Associated with Gut Microbiota Dysbiosis Triggers Hepatotoxicity of Novel PFOS Alternatives in Adult Zebrafish</t>
        </is>
      </c>
      <c r="D92" t="inlineStr">
        <is>
          <t>Environ. Int.166:11 p.</t>
        </is>
      </c>
      <c r="E92" t="n">
        <v>2022.0</v>
      </c>
      <c r="F92"/>
      <c r="G92" t="inlineStr">
        <is>
          <t>Wang,Q., J. Huang, S. Liu, C. Wang, Y. Jin, H. Lai, and W. Tu (2022). Aberrant Hepatic Lipid Metabolism Associated with Gut Microbiota Dysbiosis Triggers Hepatotoxicity of Novel PFOS Alternatives in Adult Zebrafish. Environ. Int., 166, 11 p. doi:10.1016/j.envint.2022.107351. ECOREF#:191253</t>
        </is>
      </c>
      <c r="H92" s="91" t="n">
        <f>HYPERLINK("https://scholar.google.com/scholar?hl=en&amp;as_q=&amp;as_oq=&amp;as_eq=&amp;as_sauthors=&amp;as_publication=&amp;as_ylo=&amp;as_yhi=&amp;as_occt=title&amp;as_sdt=0%2C5&amp;as_epq=%22Aberrant+Hepatic+Lipid+Metabolism+Associated+with+Gut+Microbiota+Dysbiosis+Triggers+Hepatotoxicity+of+Novel+PFOS", "Google Scholar")</f>
        <v>0.0</v>
      </c>
    </row>
    <row r="93">
      <c r="A93" t="n">
        <v>191254.0</v>
      </c>
      <c r="B93" t="inlineStr">
        <is>
          <t>Wang,Q., X. Gu, Y. Liu, S. Liu, W. Lu, Y. Wu, H. Lu, J. Huang, and W. Tu</t>
        </is>
      </c>
      <c r="C93" t="inlineStr">
        <is>
          <t>Insights into the Circadian Rhythm Alterations of the Novel PFOS Substitutes F-53B and OBS on Adult Zebrafish</t>
        </is>
      </c>
      <c r="D93" t="inlineStr">
        <is>
          <t>J. Hazard. Mater.448:11 p.</t>
        </is>
      </c>
      <c r="E93" t="n">
        <v>2023.0</v>
      </c>
      <c r="F93"/>
      <c r="G93" t="inlineStr">
        <is>
          <t>Wang,Q., X. Gu, Y. Liu, S. Liu, W. Lu, Y. Wu, H. Lu, J. Huang, and W. Tu (2023). Insights into the Circadian Rhythm Alterations of the Novel PFOS Substitutes F-53B and OBS on Adult Zebrafish. J. Hazard. Mater., 448, 11 p. doi:10.1016/j.jhazmat.2023.130959. ECOREF#:191254</t>
        </is>
      </c>
      <c r="H93" s="92" t="n">
        <f>HYPERLINK("https://scholar.google.com/scholar?hl=en&amp;as_q=&amp;as_oq=&amp;as_eq=&amp;as_sauthors=&amp;as_publication=&amp;as_ylo=&amp;as_yhi=&amp;as_occt=title&amp;as_sdt=0%2C5&amp;as_epq=%22Insights+into+the+Circadian+Rhythm+Alterations+of+the+Novel+PFOS+Substitutes+F-53B+and+OBS+on+Adult+Zebrafish", "Google Scholar")</f>
        <v>0.0</v>
      </c>
    </row>
    <row r="94">
      <c r="A94" t="n">
        <v>184779.0</v>
      </c>
      <c r="B94" t="inlineStr">
        <is>
          <t>Wang,T.T., G.G. Ying, L.Y. He, Y.S. Liu, and J.L. Zhao</t>
        </is>
      </c>
      <c r="C94" t="inlineStr">
        <is>
          <t>Uptake Mechanism, Subcellular Distribution, and Uptake Process of Perfluorooctanoic Acid and Perfluorooctane Sulfonic Acid by Wetland Plant Alisma orientale</t>
        </is>
      </c>
      <c r="D94" t="inlineStr">
        <is>
          <t>Sci. Total Environ.733:11 p.</t>
        </is>
      </c>
      <c r="E94" t="n">
        <v>2020.0</v>
      </c>
      <c r="F94"/>
      <c r="G94" t="inlineStr">
        <is>
          <t>Wang,T.T., G.G. Ying, L.Y. He, Y.S. Liu, and J.L. Zhao (2020). Uptake Mechanism, Subcellular Distribution, and Uptake Process of Perfluorooctanoic Acid and Perfluorooctane Sulfonic Acid by Wetland Plant Alisma orientale. Sci. Total Environ., 733, 11 p. doi:10.1016/j.scitotenv.2020.139383. ECOREF#:184779</t>
        </is>
      </c>
      <c r="H94" s="93" t="n">
        <f>HYPERLINK("https://scholar.google.com/scholar?hl=en&amp;as_q=&amp;as_oq=&amp;as_eq=&amp;as_sauthors=&amp;as_publication=&amp;as_ylo=&amp;as_yhi=&amp;as_occt=title&amp;as_sdt=0%2C5&amp;as_epq=%22Uptake+Mechanism%2C+Subcellular+Distribution%2C+and+Uptake+Process+of+Perfluorooctanoic+Acid+and+Perfluorooctane", "Google Scholar")</f>
        <v>0.0</v>
      </c>
    </row>
    <row r="95">
      <c r="A95" t="n">
        <v>193362.0</v>
      </c>
      <c r="B95" t="inlineStr">
        <is>
          <t>Wu,L.Y., J.L. Zhang, M. Zeeshan, Y. Zhou, Y.T. Zhang, W.T. He, N. Jin, Y. Dai, W. Chi, Z. Ou, G.H. Dong, and L.Z. Lin</t>
        </is>
      </c>
      <c r="C95" t="inlineStr">
        <is>
          <t>Caspase-8 Promotes NLRP3 Inflammasome Activation Mediates Eye Development Defects in Zebrafish Larvae Exposed to Perfluorooctane Sulfonate (PFOS)</t>
        </is>
      </c>
      <c r="D95" t="inlineStr">
        <is>
          <t>Environ. Pollut.356:11 p.</t>
        </is>
      </c>
      <c r="E95" t="n">
        <v>2024.0</v>
      </c>
      <c r="F95"/>
      <c r="G95" t="inlineStr">
        <is>
          <t>Wu,L.Y., J.L. Zhang, M. Zeeshan, Y. Zhou, Y.T. Zhang, W.T. He, N. Jin, Y. Dai, W. Chi, Z. Ou, G.H. Dong, and L.Z. Lin (2024). Caspase-8 Promotes NLRP3 Inflammasome Activation Mediates Eye Development Defects in Zebrafish Larvae Exposed to Perfluorooctane Sulfonate (PFOS). Environ. Pollut., 356, 11 p. ECOREF#:193362</t>
        </is>
      </c>
      <c r="H95" s="94" t="n">
        <f>HYPERLINK("https://scholar.google.com/scholar?hl=en&amp;as_q=&amp;as_oq=&amp;as_eq=&amp;as_sauthors=&amp;as_publication=&amp;as_ylo=&amp;as_yhi=&amp;as_occt=title&amp;as_sdt=0%2C5&amp;as_epq=%22Caspase-8+Promotes+NLRP3+Inflammasome+Activation+Mediates+Eye+Development+Defects+in+Zebrafish+Larvae+Exposed+to", "Google Scholar")</f>
        <v>0.0</v>
      </c>
    </row>
    <row r="96">
      <c r="A96" t="n">
        <v>188755.0</v>
      </c>
      <c r="B96" t="inlineStr">
        <is>
          <t>Wu,L.Y., Y. Dang, L.X. Liang, Y.C. Gong, M. Zeeshan, Z.M. Qian, S.D. Geiger, M.G. Vaughn, Y. Zhou, Q.Q. Li, C. Chu, Y.W</t>
        </is>
      </c>
      <c r="C96" t="inlineStr">
        <is>
          <t>Perfluorooctane Sulfonates Induces Neurobehavioral Changes and Increases Dopamine Neurotransmitter Levels in Zebrafish Larvae</t>
        </is>
      </c>
      <c r="D96" t="inlineStr">
        <is>
          <t>Chemosphere297:9 p.</t>
        </is>
      </c>
      <c r="E96" t="n">
        <v>2022.0</v>
      </c>
      <c r="F96"/>
      <c r="G96" t="inlineStr">
        <is>
          <t>Wu,L.Y., Y. Dang, L.X. Liang, Y.C. Gong, M. Zeeshan, Z.M. Qian, S.D. Geiger, M.G. Vaughn, Y. Zhou, Q.Q. Li, C. Chu, Y.W (2022). Perfluorooctane Sulfonates Induces Neurobehavioral Changes and Increases Dopamine Neurotransmitter Levels in Zebrafish Larvae. Chemosphere, 297, 9 p. doi:10.1016/j.chemosphere.2022.134234. ECOREF#:188755</t>
        </is>
      </c>
      <c r="H96" s="95" t="n">
        <f>HYPERLINK("https://scholar.google.com/scholar?hl=en&amp;as_q=&amp;as_oq=&amp;as_eq=&amp;as_sauthors=&amp;as_publication=&amp;as_ylo=&amp;as_yhi=&amp;as_occt=title&amp;as_sdt=0%2C5&amp;as_epq=%22Perfluorooctane+Sulfonates+Induces+Neurobehavioral+Changes+and+Increases+Dopamine+Neurotransmitter+Levels+in+Zeb", "Google Scholar")</f>
        <v>0.0</v>
      </c>
    </row>
    <row r="97">
      <c r="A97" t="n">
        <v>191130.0</v>
      </c>
      <c r="B97" t="inlineStr">
        <is>
          <t>Wu,Y., Q. Xiong, B. Wang, Y. Liu, P. Zhou, L. Hu, F. Liu, and G. Ying</t>
        </is>
      </c>
      <c r="C97" t="inlineStr">
        <is>
          <t>Screening of Structural and Functional Alterations in Duckweed (Lemna minor) Induced by Per- and Polyfluoroalkyl Substances (PFASs) with FTIR Spectroscopy</t>
        </is>
      </c>
      <c r="D97" t="inlineStr">
        <is>
          <t>Environ. Pollut.317:10 p.</t>
        </is>
      </c>
      <c r="E97" t="n">
        <v>2023.0</v>
      </c>
      <c r="F97"/>
      <c r="G97" t="inlineStr">
        <is>
          <t>Wu,Y., Q. Xiong, B. Wang, Y. Liu, P. Zhou, L. Hu, F. Liu, and G. Ying (2023). Screening of Structural and Functional Alterations in Duckweed (Lemna minor) Induced by Per- and Polyfluoroalkyl Substances (PFASs) with FTIR Spectroscopy. Environ. Pollut., 317, 10 p. doi:10.1016/j.envpol.2022.120671. ECOREF#:191130</t>
        </is>
      </c>
      <c r="H97" s="96" t="n">
        <f>HYPERLINK("https://scholar.google.com/scholar?hl=en&amp;as_q=&amp;as_oq=&amp;as_eq=&amp;as_sauthors=&amp;as_publication=&amp;as_ylo=&amp;as_yhi=&amp;as_occt=title&amp;as_sdt=0%2C5&amp;as_epq=%22Screening+of+Structural+and+Functional+Alterations+in+Duckweed+%28Lemna+minor%29+Induced+by+Per-+and+Polyfluoroa", "Google Scholar")</f>
        <v>0.0</v>
      </c>
    </row>
    <row r="98">
      <c r="A98" t="n">
        <v>194040.0</v>
      </c>
      <c r="B98" t="inlineStr">
        <is>
          <t>Xiao,Y., Q. Li, Y. Yang, Y. Zhang, Y. Shen, J. Liu, N. Lei, W. Zhang, and Q. Wang</t>
        </is>
      </c>
      <c r="C98" t="inlineStr">
        <is>
          <t>Unravelling the Mechanisms of PFAS Toxicity to Submerged Macrophytes and Epiphytic Biofilms at Metabolic and Molecular Levels</t>
        </is>
      </c>
      <c r="D98" t="inlineStr">
        <is>
          <t>Sci. Total Environ.952:11 p.</t>
        </is>
      </c>
      <c r="E98" t="n">
        <v>2024.0</v>
      </c>
      <c r="F98"/>
      <c r="G98" t="inlineStr">
        <is>
          <t>Xiao,Y., Q. Li, Y. Yang, Y. Zhang, Y. Shen, J. Liu, N. Lei, W. Zhang, and Q. Wang (2024). Unravelling the Mechanisms of PFAS Toxicity to Submerged Macrophytes and Epiphytic Biofilms at Metabolic and Molecular Levels. Sci. Total Environ., 952, 11 p. doi:10.1016/j.scitotenv.2024.175726. ECOREF#:194040</t>
        </is>
      </c>
      <c r="H98" s="97" t="n">
        <f>HYPERLINK("https://scholar.google.com/scholar?hl=en&amp;as_q=&amp;as_oq=&amp;as_eq=&amp;as_sauthors=&amp;as_publication=&amp;as_ylo=&amp;as_yhi=&amp;as_occt=title&amp;as_sdt=0%2C5&amp;as_epq=%22Unravelling+the+Mechanisms+of+PFAS+Toxicity+to+Submerged+Macrophytes+and+Epiphytic+Biofilms+at+Metabolic+and+Mol", "Google Scholar")</f>
        <v>0.0</v>
      </c>
    </row>
    <row r="99">
      <c r="A99" t="n">
        <v>182584.0</v>
      </c>
      <c r="B99" t="inlineStr">
        <is>
          <t>Xin,Y., B. Wan, B. Yu, Y. Fan, Chen, and L.H. Guo</t>
        </is>
      </c>
      <c r="C99" t="inlineStr">
        <is>
          <t>Chlorinated Polyfluoroalkylether Sulfonic Acids Exhibit Stronger Estrogenic Effects than Perfluorooctane Sulfonate by Activating Nuclear Estrogen Receptor Pathways</t>
        </is>
      </c>
      <c r="D99" t="inlineStr">
        <is>
          <t>Environ. Sci. Technol.54(6): 3455-3464</t>
        </is>
      </c>
      <c r="E99" t="n">
        <v>2020.0</v>
      </c>
      <c r="F99"/>
      <c r="G99" t="inlineStr">
        <is>
          <t>Xin,Y., B. Wan, B. Yu, Y. Fan, Chen, and L.H. Guo (2020). Chlorinated Polyfluoroalkylether Sulfonic Acids Exhibit Stronger Estrogenic Effects than Perfluorooctane Sulfonate by Activating Nuclear Estrogen Receptor Pathways. Environ. Sci. Technol., 54, (6), 3455-3464. doi:10.1021/acs.est.9b07708. ECOREF#:182584</t>
        </is>
      </c>
      <c r="H99" s="98" t="n">
        <f>HYPERLINK("https://scholar.google.com/scholar?hl=en&amp;as_q=&amp;as_oq=&amp;as_eq=&amp;as_sauthors=&amp;as_publication=&amp;as_ylo=&amp;as_yhi=&amp;as_occt=title&amp;as_sdt=0%2C5&amp;as_epq=%22Chlorinated+Polyfluoroalkylether+Sulfonic+Acids+Exhibit+Stronger+Estrogenic+Effects+than+Perfluorooctane+Sulfona", "Google Scholar")</f>
        <v>0.0</v>
      </c>
    </row>
    <row r="100">
      <c r="A100" t="n">
        <v>191112.0</v>
      </c>
      <c r="B100" t="inlineStr">
        <is>
          <t>Xu,P., M. Junaid, Y. Liu, X. Jiang, Y. Chen, C. Bi, J. Wang, and N. Xu</t>
        </is>
      </c>
      <c r="C100" t="inlineStr">
        <is>
          <t>Nanoplastics Influence the Perfluorooctane Sulfonate (PFOS) Mediated Toxicity on Marine Mussel Perna viridis: Single and Mixture Exposure Study</t>
        </is>
      </c>
      <c r="D100" t="inlineStr">
        <is>
          <t>Gondwana Res.108:144-157</t>
        </is>
      </c>
      <c r="E100" t="n">
        <v>2022.0</v>
      </c>
      <c r="F100"/>
      <c r="G100" t="inlineStr">
        <is>
          <t>Xu,P., M. Junaid, Y. Liu, X. Jiang, Y. Chen, C. Bi, J. Wang, and N. Xu (2022). Nanoplastics Influence the Perfluorooctane Sulfonate (PFOS) Mediated Toxicity on Marine Mussel Perna viridis: Single and Mixture Exposure Study. Gondwana Res., 108, 144-157. doi:10.1016/j.gr.2021.12.001. ECOREF#:191112</t>
        </is>
      </c>
      <c r="H100" s="99" t="n">
        <f>HYPERLINK("https://scholar.google.com/scholar?hl=en&amp;as_q=&amp;as_oq=&amp;as_eq=&amp;as_sauthors=&amp;as_publication=&amp;as_ylo=&amp;as_yhi=&amp;as_occt=title&amp;as_sdt=0%2C5&amp;as_epq=%22Nanoplastics+Influence+the+Perfluorooctane+Sulfonate+%28PFOS%29+Mediated+Toxicity+on+Marine+Mussel+Perna+viridis", "Google Scholar")</f>
        <v>0.0</v>
      </c>
    </row>
    <row r="101">
      <c r="A101" t="n">
        <v>184260.0</v>
      </c>
      <c r="B101" t="inlineStr">
        <is>
          <t>Yi,S., L. Zhu, and S.A. Mabury</t>
        </is>
      </c>
      <c r="C101" t="inlineStr">
        <is>
          <t>First Report on In Vivo Pharmacokinetics and Biotransformation of Chlorinated Polyfluoroalkyl Ether Sulfonates in Rainbow Trout</t>
        </is>
      </c>
      <c r="D101" t="inlineStr">
        <is>
          <t>Environ. Sci. Technol.1:345-354</t>
        </is>
      </c>
      <c r="E101" t="n">
        <v>2020.0</v>
      </c>
      <c r="F101"/>
      <c r="G101" t="inlineStr">
        <is>
          <t>Yi,S., L. Zhu, and S.A. Mabury (2020). First Report on In Vivo Pharmacokinetics and Biotransformation of Chlorinated Polyfluoroalkyl Ether Sulfonates in Rainbow Trout. Environ. Sci. Technol., 1, 345-354. doi:10.1021/acs.est.9b05258. ECOREF#:184260</t>
        </is>
      </c>
      <c r="H101" s="100" t="n">
        <f>HYPERLINK("https://scholar.google.com/scholar?hl=en&amp;as_q=&amp;as_oq=&amp;as_eq=&amp;as_sauthors=&amp;as_publication=&amp;as_ylo=&amp;as_yhi=&amp;as_occt=title&amp;as_sdt=0%2C5&amp;as_epq=%22First+Report+on+In+Vivo+Pharmacokinetics+and+Biotransformation+of+Chlorinated+Polyfluoroalkyl+Ether+Sulfonates+i", "Google Scholar")</f>
        <v>0.0</v>
      </c>
    </row>
    <row r="102">
      <c r="A102" t="n">
        <v>193990.0</v>
      </c>
      <c r="B102" t="inlineStr">
        <is>
          <t>Yu,Q., S. Wang, E. Li, Y. Yang, X. Wang, C. Qin, J.G. Qin, and L. Chen</t>
        </is>
      </c>
      <c r="C102" t="inlineStr">
        <is>
          <t>Interactions of a PFOS/Sodium Nitrite Mixture in Chinese Mitten Crab (Eriocheir sinensis): Impacts on Survival, Growth, Behavior, Energy Metabolism and Hepatopancreas Transcriptome</t>
        </is>
      </c>
      <c r="D102" t="inlineStr">
        <is>
          <t>Comp. Biochem. Physiol. C Toxicol. Pharmacol.289:12 p.</t>
        </is>
      </c>
      <c r="E102" t="n">
        <v>2025.0</v>
      </c>
      <c r="F102"/>
      <c r="G102" t="inlineStr">
        <is>
          <t>Yu,Q., S. Wang, E. Li, Y. Yang, X. Wang, C. Qin, J.G. Qin, and L. Chen (2025). Interactions of a PFOS/Sodium Nitrite Mixture in Chinese Mitten Crab (Eriocheir sinensis): Impacts on Survival, Growth, Behavior, Energy Metabolism and Hepatopancreas Transcriptome. Comp. Biochem. Physiol. C Toxicol. Pharmacol., 289, 12 p. doi:10.1016/j.cbpc.2024.110114. ECOREF#:193990</t>
        </is>
      </c>
      <c r="H102" s="101" t="n">
        <f>HYPERLINK("https://scholar.google.com/scholar?hl=en&amp;as_q=&amp;as_oq=&amp;as_eq=&amp;as_sauthors=&amp;as_publication=&amp;as_ylo=&amp;as_yhi=&amp;as_occt=title&amp;as_sdt=0%2C5&amp;as_epq=%22Interactions+of+a+PFOS%2FSodium+Nitrite+Mixture+in+Chinese+Mitten+Crab+%28Eriocheir+sinensis%29%3A+Impacts+on+Su", "Google Scholar")</f>
        <v>0.0</v>
      </c>
    </row>
    <row r="103">
      <c r="A103" t="n">
        <v>195317.0</v>
      </c>
      <c r="B103" t="inlineStr">
        <is>
          <t>Zachritz,A.M., J.A. Steevens, D.A. Miranda, B.G. Perrotta, R.A. Dorman, H.D. Whitehead, E.L. Pulster, D.M. Walters, D.J</t>
        </is>
      </c>
      <c r="C103" t="inlineStr">
        <is>
          <t>Concentration Dependency of PFOS Bioaccumulation by Freshwater Benthic Algae</t>
        </is>
      </c>
      <c r="D103" t="inlineStr">
        <is>
          <t>ACS ES&amp;T Water5(8): 4415-4422</t>
        </is>
      </c>
      <c r="E103" t="n">
        <v>2025.0</v>
      </c>
      <c r="F103"/>
      <c r="G103" t="inlineStr">
        <is>
          <t>Zachritz,A.M., J.A. Steevens, D.A. Miranda, B.G. Perrotta, R.A. Dorman, H.D. Whitehead, E.L. Pulster, D.M. Walters, D.J (2025). Concentration Dependency of PFOS Bioaccumulation by Freshwater Benthic Algae. ACS ES&amp;T Water, 5, (8), 4415-4422. doi:10.1021/acsestwater.5c00048. ECOREF#:195317</t>
        </is>
      </c>
      <c r="H103" s="102" t="n">
        <f>HYPERLINK("https://scholar.google.com/scholar?hl=en&amp;as_q=&amp;as_oq=&amp;as_eq=&amp;as_sauthors=&amp;as_publication=&amp;as_ylo=&amp;as_yhi=&amp;as_occt=title&amp;as_sdt=0%2C5&amp;as_epq=%22Concentration+Dependency+of+PFOS+Bioaccumulation+by+Freshwater+Benthic+Algae", "Google Scholar")</f>
        <v>0.0</v>
      </c>
    </row>
    <row r="104">
      <c r="A104" t="n">
        <v>177074.0</v>
      </c>
      <c r="B104" t="inlineStr">
        <is>
          <t>Zhai,Y., X. Xia, X. Zhao, H. Dong, B. Zhu, N. Xia, and J. Dong</t>
        </is>
      </c>
      <c r="C104" t="inlineStr">
        <is>
          <t>Role of Ingestion Route in the Perfluoroalkyl Substance Bioaccumulation by Chironomus plumosus Larvae in Sediments Amended with Carbonaceous Materials</t>
        </is>
      </c>
      <c r="D104" t="inlineStr">
        <is>
          <t>J. Hazard. Mater.302:404-414</t>
        </is>
      </c>
      <c r="E104" t="n">
        <v>2016.0</v>
      </c>
      <c r="F104"/>
      <c r="G104" t="inlineStr">
        <is>
          <t>Zhai,Y., X. Xia, X. Zhao, H. Dong, B. Zhu, N. Xia, and J. Dong (2016). Role of Ingestion Route in the Perfluoroalkyl Substance Bioaccumulation by Chironomus plumosus Larvae in Sediments Amended with Carbonaceous Materials. J. Hazard. Mater., 302, 404-414. doi:10.1016/j.jhazmat.2015.10.008. ECOREF#:177074</t>
        </is>
      </c>
      <c r="H104" s="103" t="n">
        <f>HYPERLINK("https://scholar.google.com/scholar?hl=en&amp;as_q=&amp;as_oq=&amp;as_eq=&amp;as_sauthors=&amp;as_publication=&amp;as_ylo=&amp;as_yhi=&amp;as_occt=title&amp;as_sdt=0%2C5&amp;as_epq=%22Role+of+Ingestion+Route+in+the+Perfluoroalkyl+Substance+Bioaccumulation+by+Chironomus+plumosus+Larvae+in+Sedimen", "Google Scholar")</f>
        <v>0.0</v>
      </c>
    </row>
    <row r="105">
      <c r="A105" t="n">
        <v>185970.0</v>
      </c>
      <c r="B105" t="inlineStr">
        <is>
          <t>Zhang,W., and Y. Liang</t>
        </is>
      </c>
      <c r="C105" t="inlineStr">
        <is>
          <t>Interactions Between Lemna minor (Common Duckweed) and PFAS Intermediates: Perfluorooctanesulfonamide (PFOSA) and 6:2 Fluorotelomer Sulfonate (6:2 FTSA)</t>
        </is>
      </c>
      <c r="D105" t="inlineStr">
        <is>
          <t>Chemosphere276:13 p.</t>
        </is>
      </c>
      <c r="E105" t="n">
        <v>2021.0</v>
      </c>
      <c r="F105"/>
      <c r="G105" t="inlineStr">
        <is>
          <t>Zhang,W., and Y. Liang (2021). Interactions Between Lemna minor (Common Duckweed) and PFAS Intermediates: Perfluorooctanesulfonamide (PFOSA) and 6:2 Fluorotelomer Sulfonate (6:2 FTSA). Chemosphere, 276, 13 p. ECOREF#:185970</t>
        </is>
      </c>
      <c r="H105" s="104" t="n">
        <f>HYPERLINK("https://scholar.google.com/scholar?hl=en&amp;as_q=&amp;as_oq=&amp;as_eq=&amp;as_sauthors=&amp;as_publication=&amp;as_ylo=&amp;as_yhi=&amp;as_occt=title&amp;as_sdt=0%2C5&amp;as_epq=%22Interactions+Between+Lemna+minor+%28Common+Duckweed%29+and+PFAS+Intermediates%3A+Perfluorooctanesulfonamide+%28P", "Google Scholar")</f>
        <v>0.0</v>
      </c>
    </row>
    <row r="106">
      <c r="A106" t="n">
        <v>186169.0</v>
      </c>
      <c r="B106" t="inlineStr">
        <is>
          <t>Zhang,W.L., and Y.N. Liang</t>
        </is>
      </c>
      <c r="C106" t="inlineStr">
        <is>
          <t>Interactions Between Lemna minor (Common Duckweed) and PFAS Intermediates: Perfluorooctanesulfonamide (PFOSA) and 6:2 Fluorotelomer Sulfonate (6:2 FTSA)</t>
        </is>
      </c>
      <c r="D106" t="inlineStr">
        <is>
          <t>Chemosphere276:7 p.</t>
        </is>
      </c>
      <c r="E106" t="n">
        <v>2021.0</v>
      </c>
      <c r="F106"/>
      <c r="G106" t="inlineStr">
        <is>
          <t>Zhang,W.L., and Y.N. Liang (2021). Interactions Between Lemna minor (Common Duckweed) and PFAS Intermediates: Perfluorooctanesulfonamide (PFOSA) and 6:2 Fluorotelomer Sulfonate (6:2 FTSA). Chemosphere, 276, 7 p. doi:10.1016/j.chemosphere.2021.130165. ECOREF#:186169</t>
        </is>
      </c>
      <c r="H106" s="105" t="n">
        <f>HYPERLINK("https://scholar.google.com/scholar?hl=en&amp;as_q=&amp;as_oq=&amp;as_eq=&amp;as_sauthors=&amp;as_publication=&amp;as_ylo=&amp;as_yhi=&amp;as_occt=title&amp;as_sdt=0%2C5&amp;as_epq=%22Interactions+Between+Lemna+minor+%28Common+Duckweed%29+and+PFAS+Intermediates%3A+Perfluorooctanesulfonamide+%28P", "Google Scholar")</f>
        <v>0.0</v>
      </c>
    </row>
    <row r="107">
      <c r="A107" t="n">
        <v>195274.0</v>
      </c>
      <c r="B107" t="inlineStr">
        <is>
          <t>Zhou,C., W. Chen, R. Xuan, X. Kang, J. Wang, J.T. Magnuson, J. Li, D. Fang, and W. Qiu</t>
        </is>
      </c>
      <c r="C107" t="inlineStr">
        <is>
          <t>Perfluorodecanesulfonate (PFDS) Induces Innate Immune Toxicity Through the Nf-kB Pathway in Early Life Stage Zebrafish</t>
        </is>
      </c>
      <c r="D107" t="inlineStr">
        <is>
          <t>Environ. Int.202(109688): 11 p.</t>
        </is>
      </c>
      <c r="E107" t="n">
        <v>2025.0</v>
      </c>
      <c r="F107"/>
      <c r="G107" t="inlineStr">
        <is>
          <t>Zhou,C., W. Chen, R. Xuan, X. Kang, J. Wang, J.T. Magnuson, J. Li, D. Fang, and W. Qiu (2025). Perfluorodecanesulfonate (PFDS) Induces Innate Immune Toxicity Through the Nf-kB Pathway in Early Life Stage Zebrafish. Environ. Int., 202, (109688), 11 p. doi:10.1016/j.envint.2025.109688. ECOREF#:195274</t>
        </is>
      </c>
      <c r="H107" s="106" t="n">
        <f>HYPERLINK("https://scholar.google.com/scholar?hl=en&amp;as_q=&amp;as_oq=&amp;as_eq=&amp;as_sauthors=&amp;as_publication=&amp;as_ylo=&amp;as_yhi=&amp;as_occt=title&amp;as_sdt=0%2C5&amp;as_epq=%22Perfluorodecanesulfonate+%28PFDS%29+Induces+Innate+Immune+Toxicity+Through+the+Nf-kB+Pathway+in+Early+Life+Stage", "Google Scholar")</f>
        <v>0.0</v>
      </c>
    </row>
    <row r="108">
      <c r="A108" t="n">
        <v>185627.0</v>
      </c>
      <c r="B108" t="inlineStr">
        <is>
          <t>Zou,Y., Y. Wu, Q. Wang, J. Wan, M. Deng, and W. Tu</t>
        </is>
      </c>
      <c r="C108" t="inlineStr">
        <is>
          <t>Comparison of Toxicokinetics and Toxic Effects of PFOS and Its Novel Alternative OBS in Zebrafish Larvae</t>
        </is>
      </c>
      <c r="D108" t="inlineStr">
        <is>
          <t>Chemosphere265:7 p.</t>
        </is>
      </c>
      <c r="E108" t="n">
        <v>2021.0</v>
      </c>
      <c r="F108"/>
      <c r="G108" t="inlineStr">
        <is>
          <t>Zou,Y., Y. Wu, Q. Wang, J. Wan, M. Deng, and W. Tu (2021). Comparison of Toxicokinetics and Toxic Effects of PFOS and Its Novel Alternative OBS in Zebrafish Larvae. Chemosphere, 265, 7 p. doi:10.1016/j.chemosphere.2020.129116. ECOREF#:185627</t>
        </is>
      </c>
      <c r="H108" s="107" t="n">
        <f>HYPERLINK("https://scholar.google.com/scholar?hl=en&amp;as_q=&amp;as_oq=&amp;as_eq=&amp;as_sauthors=&amp;as_publication=&amp;as_ylo=&amp;as_yhi=&amp;as_occt=title&amp;as_sdt=0%2C5&amp;as_epq=%22Comparison+of+Toxicokinetics+and+Toxic+Effects+of+PFOS+and+Its+Novel+Alternative+OBS+in+Zebrafish+Larvae",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108" t="n">
        <v>46189.91347222222</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t="inlineStr">
        <is>
          <t>Name(s) / Number(s)</t>
        </is>
      </c>
      <c r="D8" t="inlineStr">
        <is>
          <t>PFOS</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2026-06-17T01:55:23Z</dcterms:created>
  <dc:creator>Apache POI</dc:creator>
</cp:coreProperties>
</file>