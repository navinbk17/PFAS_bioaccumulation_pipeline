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quatic-Export" r:id="rId3" sheetId="1"/>
    <sheet name="References" r:id="rId4" sheetId="2"/>
    <sheet name="Search_Parameter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31">
    <font>
      <sz val="11.0"/>
      <color indexed="8"/>
      <name val="Calibri"/>
      <family val="2"/>
      <scheme val="minor"/>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s>
  <fills count="5">
    <fill>
      <patternFill patternType="none"/>
    </fill>
    <fill>
      <patternFill patternType="darkGray"/>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7">
    <xf numFmtId="0" fontId="0" fillId="0" borderId="0" xfId="0"/>
    <xf numFmtId="0" fontId="2" fillId="0" borderId="0" xfId="0" applyFont="true"/>
    <xf numFmtId="0" fontId="4" fillId="0" borderId="0" xfId="0" applyFont="true"/>
    <xf numFmtId="0" fontId="6" fillId="0" borderId="0" xfId="0" applyFont="true"/>
    <xf numFmtId="0" fontId="8" fillId="0" borderId="0" xfId="0" applyFont="true"/>
    <xf numFmtId="0" fontId="10" fillId="0" borderId="0" xfId="0" applyFont="true"/>
    <xf numFmtId="0" fontId="12" fillId="0" borderId="0" xfId="0" applyFont="true"/>
    <xf numFmtId="0" fontId="14" fillId="0" borderId="0" xfId="0" applyFont="true"/>
    <xf numFmtId="0" fontId="16" fillId="0" borderId="0" xfId="0" applyFont="true"/>
    <xf numFmtId="0" fontId="18" fillId="0" borderId="0" xfId="0" applyFont="true"/>
    <xf numFmtId="0" fontId="20" fillId="0" borderId="0" xfId="0" applyFont="true"/>
    <xf numFmtId="0" fontId="22" fillId="0" borderId="0" xfId="0" applyFont="true"/>
    <xf numFmtId="0" fontId="24" fillId="0" borderId="0" xfId="0" applyFont="true"/>
    <xf numFmtId="0" fontId="26" fillId="0" borderId="0" xfId="0" applyFont="true"/>
    <xf numFmtId="0" fontId="28" fillId="0" borderId="0" xfId="0" applyFont="true"/>
    <xf numFmtId="0" fontId="30" fillId="0" borderId="0" xfId="0" applyFont="true"/>
    <xf numFmtId="164" fontId="0" fillId="4" borderId="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xSplit="1.0" ySplit="1.0" state="frozen" topLeftCell="B2" activePane="bottomRight"/>
      <selection pane="bottomRight"/>
    </sheetView>
  </sheetViews>
  <sheetFormatPr defaultRowHeight="15.0"/>
  <sheetData>
    <row r="1">
      <c r="A1" t="inlineStr">
        <is>
          <t>CAS Number</t>
        </is>
      </c>
      <c r="B1" t="inlineStr">
        <is>
          <t>Chemical Name</t>
        </is>
      </c>
      <c r="C1" t="inlineStr">
        <is>
          <t>Chemical Grade</t>
        </is>
      </c>
      <c r="D1" t="inlineStr">
        <is>
          <t>Chemical Analysis</t>
        </is>
      </c>
      <c r="E1" t="inlineStr">
        <is>
          <t>Chemical Purity Mean Op</t>
        </is>
      </c>
      <c r="F1" t="inlineStr">
        <is>
          <t>Chemical Purity Mean(%)</t>
        </is>
      </c>
      <c r="G1" t="inlineStr">
        <is>
          <t>Chemical Purity Min Op</t>
        </is>
      </c>
      <c r="H1" t="inlineStr">
        <is>
          <t>Chemical Purity Min(%)</t>
        </is>
      </c>
      <c r="I1" t="inlineStr">
        <is>
          <t>Chemical Purity Max Op</t>
        </is>
      </c>
      <c r="J1" t="inlineStr">
        <is>
          <t>Chemical Purity Max(%)</t>
        </is>
      </c>
      <c r="K1" t="inlineStr">
        <is>
          <t>Species Scientific Name</t>
        </is>
      </c>
      <c r="L1" t="inlineStr">
        <is>
          <t>Species Common Name</t>
        </is>
      </c>
      <c r="M1" t="inlineStr">
        <is>
          <t>Species Group</t>
        </is>
      </c>
      <c r="N1" t="inlineStr">
        <is>
          <t>Organism Lifestage</t>
        </is>
      </c>
      <c r="O1" t="inlineStr">
        <is>
          <t>Organism Age Mean Op</t>
        </is>
      </c>
      <c r="P1" t="inlineStr">
        <is>
          <t>Organism Age Mean</t>
        </is>
      </c>
      <c r="Q1" t="inlineStr">
        <is>
          <t>Organism Age Min Op</t>
        </is>
      </c>
      <c r="R1" t="inlineStr">
        <is>
          <t>Organism Age Min</t>
        </is>
      </c>
      <c r="S1" t="inlineStr">
        <is>
          <t>Organism Age Max Op</t>
        </is>
      </c>
      <c r="T1" t="inlineStr">
        <is>
          <t>Organism Age Max</t>
        </is>
      </c>
      <c r="U1" t="inlineStr">
        <is>
          <t>Age Units</t>
        </is>
      </c>
      <c r="V1" t="inlineStr">
        <is>
          <t>Exposure Type</t>
        </is>
      </c>
      <c r="W1" t="inlineStr">
        <is>
          <t>Media Type</t>
        </is>
      </c>
      <c r="X1" t="inlineStr">
        <is>
          <t>Test Location</t>
        </is>
      </c>
      <c r="Y1" t="inlineStr">
        <is>
          <t>Number of Doses</t>
        </is>
      </c>
      <c r="Z1" t="inlineStr">
        <is>
          <t>Conc 1 Type (Standardized)</t>
        </is>
      </c>
      <c r="AA1" t="inlineStr">
        <is>
          <t>Conc 1 Mean Op (Standardized)</t>
        </is>
      </c>
      <c r="AB1" t="inlineStr">
        <is>
          <t>Conc 1 Mean (Standardized)</t>
        </is>
      </c>
      <c r="AC1" t="inlineStr">
        <is>
          <t>Conc 1 Min Op (Standardized)</t>
        </is>
      </c>
      <c r="AD1" t="inlineStr">
        <is>
          <t>Conc Min 1 (Standardized)</t>
        </is>
      </c>
      <c r="AE1" t="inlineStr">
        <is>
          <t>Conc 1 Max Op (Standardized)</t>
        </is>
      </c>
      <c r="AF1" t="inlineStr">
        <is>
          <t>Conc 1 Max (Standardized)</t>
        </is>
      </c>
      <c r="AG1" t="inlineStr">
        <is>
          <t>Conc 1 Units (Standardized)</t>
        </is>
      </c>
      <c r="AH1" t="inlineStr">
        <is>
          <t>Conc 2 Type (Standardized)</t>
        </is>
      </c>
      <c r="AI1" t="inlineStr">
        <is>
          <t>Conc 2 Mean Op (Standardized)</t>
        </is>
      </c>
      <c r="AJ1" t="inlineStr">
        <is>
          <t>Conc 2 Mean (Standardized)</t>
        </is>
      </c>
      <c r="AK1" t="inlineStr">
        <is>
          <t>Conc 2 Min Op (Standardized)</t>
        </is>
      </c>
      <c r="AL1" t="inlineStr">
        <is>
          <t>Conc Min 2 (Standardized)</t>
        </is>
      </c>
      <c r="AM1" t="inlineStr">
        <is>
          <t>Conc 2 Max Op (Standardized)</t>
        </is>
      </c>
      <c r="AN1" t="inlineStr">
        <is>
          <t>Conc 2 Max (Standardized)</t>
        </is>
      </c>
      <c r="AO1" t="inlineStr">
        <is>
          <t>Conc 2 Units (Standardized)</t>
        </is>
      </c>
      <c r="AP1" t="inlineStr">
        <is>
          <t>Conc 3 Type (Standardized)</t>
        </is>
      </c>
      <c r="AQ1" t="inlineStr">
        <is>
          <t>Conc 3 Mean Op (Standardized)</t>
        </is>
      </c>
      <c r="AR1" t="inlineStr">
        <is>
          <t>Conc 3 Mean (Standardized)</t>
        </is>
      </c>
      <c r="AS1" t="inlineStr">
        <is>
          <t>Conc 3 Min Op (Standardized)</t>
        </is>
      </c>
      <c r="AT1" t="inlineStr">
        <is>
          <t>Conc Min 3 (Standardized)</t>
        </is>
      </c>
      <c r="AU1" t="inlineStr">
        <is>
          <t>Conc 3 Max Op (Standardized)</t>
        </is>
      </c>
      <c r="AV1" t="inlineStr">
        <is>
          <t>Conc 3 Max (Standardized)</t>
        </is>
      </c>
      <c r="AW1" t="inlineStr">
        <is>
          <t>Conc 3 Units (Standardized)</t>
        </is>
      </c>
      <c r="AX1" t="inlineStr">
        <is>
          <t>Effect</t>
        </is>
      </c>
      <c r="AY1" t="inlineStr">
        <is>
          <t>Effect Measurement</t>
        </is>
      </c>
      <c r="AZ1" t="inlineStr">
        <is>
          <t>Endpoint</t>
        </is>
      </c>
      <c r="BA1" t="inlineStr">
        <is>
          <t>Response Site</t>
        </is>
      </c>
      <c r="BB1" t="inlineStr">
        <is>
          <t>Observed Duration Mean Op (Days)</t>
        </is>
      </c>
      <c r="BC1" t="inlineStr">
        <is>
          <t>Observed Duration Mean (Days)</t>
        </is>
      </c>
      <c r="BD1" t="inlineStr">
        <is>
          <t>Observed Duration Min Op (Days)</t>
        </is>
      </c>
      <c r="BE1" t="inlineStr">
        <is>
          <t>Observed Duration Min (Days)</t>
        </is>
      </c>
      <c r="BF1" t="inlineStr">
        <is>
          <t>Observed Duration Max Op (Days)</t>
        </is>
      </c>
      <c r="BG1" t="inlineStr">
        <is>
          <t>Observed Duration Max (Days)</t>
        </is>
      </c>
      <c r="BH1" t="inlineStr">
        <is>
          <t>Observed Duration Units (Days)</t>
        </is>
      </c>
      <c r="BI1" t="inlineStr">
        <is>
          <t>BCF 1 Value Op</t>
        </is>
      </c>
      <c r="BJ1" t="inlineStr">
        <is>
          <t>BCF 1 Value</t>
        </is>
      </c>
      <c r="BK1" t="inlineStr">
        <is>
          <t>BCF 1 Min Op</t>
        </is>
      </c>
      <c r="BL1" t="inlineStr">
        <is>
          <t>BCF 1 Min</t>
        </is>
      </c>
      <c r="BM1" t="inlineStr">
        <is>
          <t>BCF 1 Max Op</t>
        </is>
      </c>
      <c r="BN1" t="inlineStr">
        <is>
          <t>BCF 1 Max</t>
        </is>
      </c>
      <c r="BO1" t="inlineStr">
        <is>
          <t>BCF 1 Unit</t>
        </is>
      </c>
      <c r="BP1" t="inlineStr">
        <is>
          <t>BCF 2 Value Op</t>
        </is>
      </c>
      <c r="BQ1" t="inlineStr">
        <is>
          <t>BCF 2 Value</t>
        </is>
      </c>
      <c r="BR1" t="inlineStr">
        <is>
          <t>BCF 2 Min Op</t>
        </is>
      </c>
      <c r="BS1" t="inlineStr">
        <is>
          <t>BCF 2 Min</t>
        </is>
      </c>
      <c r="BT1" t="inlineStr">
        <is>
          <t>BCF 2 Max Op</t>
        </is>
      </c>
      <c r="BU1" t="inlineStr">
        <is>
          <t>BCF 2 Max</t>
        </is>
      </c>
      <c r="BV1" t="inlineStr">
        <is>
          <t>BCF 2 Unit</t>
        </is>
      </c>
      <c r="BW1" t="inlineStr">
        <is>
          <t>BCF 3 Value Op</t>
        </is>
      </c>
      <c r="BX1" t="inlineStr">
        <is>
          <t>BCF 3 Value</t>
        </is>
      </c>
      <c r="BY1" t="inlineStr">
        <is>
          <t>BCF 3 Min Op</t>
        </is>
      </c>
      <c r="BZ1" t="inlineStr">
        <is>
          <t>BCF 3 Min</t>
        </is>
      </c>
      <c r="CA1" t="inlineStr">
        <is>
          <t>BCF 3 Max Op</t>
        </is>
      </c>
      <c r="CB1" t="inlineStr">
        <is>
          <t>BCF 3 Max</t>
        </is>
      </c>
      <c r="CC1" t="inlineStr">
        <is>
          <t>BCF 3 Unit</t>
        </is>
      </c>
      <c r="CD1" t="inlineStr">
        <is>
          <t>Author</t>
        </is>
      </c>
      <c r="CE1" t="inlineStr">
        <is>
          <t>Reference Number</t>
        </is>
      </c>
      <c r="CF1" t="inlineStr">
        <is>
          <t>Title</t>
        </is>
      </c>
      <c r="CG1" t="inlineStr">
        <is>
          <t>Source</t>
        </is>
      </c>
      <c r="CH1" t="inlineStr">
        <is>
          <t>Publication Year</t>
        </is>
      </c>
      <c r="CI1" t="inlineStr">
        <is>
          <t>Citation</t>
        </is>
      </c>
    </row>
    <row r="2">
      <c r="A2" t="n">
        <v>355464.0</v>
      </c>
      <c r="B2" t="inlineStr">
        <is>
          <t>1,1,2,2,3,3,4,4,5,5,6,6,6-Tridecafluoro-1-hexanesulfonic acid</t>
        </is>
      </c>
      <c r="C2"/>
      <c r="D2" t="inlineStr">
        <is>
          <t>Unmeasured values (some measured values reported in article)</t>
        </is>
      </c>
      <c r="E2"/>
      <c r="F2"/>
      <c r="G2"/>
      <c r="H2"/>
      <c r="I2"/>
      <c r="J2"/>
      <c r="K2" t="inlineStr">
        <is>
          <t>Ambystoma tigrinum</t>
        </is>
      </c>
      <c r="L2" t="inlineStr">
        <is>
          <t>Tiger Salamander</t>
        </is>
      </c>
      <c r="M2" t="inlineStr">
        <is>
          <t>Amphibians</t>
        </is>
      </c>
      <c r="N2" t="inlineStr">
        <is>
          <t>Larva</t>
        </is>
      </c>
      <c r="O2"/>
      <c r="P2"/>
      <c r="Q2"/>
      <c r="R2"/>
      <c r="S2"/>
      <c r="T2"/>
      <c r="U2"/>
      <c r="V2" t="inlineStr">
        <is>
          <t>Renewal</t>
        </is>
      </c>
      <c r="W2" t="inlineStr">
        <is>
          <t>Fresh water</t>
        </is>
      </c>
      <c r="X2" t="inlineStr">
        <is>
          <t>Lab</t>
        </is>
      </c>
      <c r="Y2" t="n">
        <v>4.0</v>
      </c>
      <c r="Z2" t="inlineStr">
        <is>
          <t>Active ingredient</t>
        </is>
      </c>
      <c r="AA2"/>
      <c r="AB2"/>
      <c r="AC2"/>
      <c r="AD2" t="n">
        <v>0.01</v>
      </c>
      <c r="AE2"/>
      <c r="AF2" t="n">
        <v>1.0</v>
      </c>
      <c r="AG2" t="inlineStr">
        <is>
          <t>AI mg/L</t>
        </is>
      </c>
      <c r="AH2"/>
      <c r="AI2"/>
      <c r="AJ2"/>
      <c r="AK2"/>
      <c r="AL2"/>
      <c r="AM2"/>
      <c r="AN2"/>
      <c r="AO2"/>
      <c r="AP2"/>
      <c r="AQ2"/>
      <c r="AR2"/>
      <c r="AS2"/>
      <c r="AT2"/>
      <c r="AU2"/>
      <c r="AV2"/>
      <c r="AW2"/>
      <c r="AX2" t="inlineStr">
        <is>
          <t>Accumulation</t>
        </is>
      </c>
      <c r="AY2" t="inlineStr">
        <is>
          <t>Residue</t>
        </is>
      </c>
      <c r="AZ2"/>
      <c r="BA2" t="inlineStr">
        <is>
          <t>Whole organism</t>
        </is>
      </c>
      <c r="BB2"/>
      <c r="BC2"/>
      <c r="BD2"/>
      <c r="BE2" t="n">
        <v>10.0</v>
      </c>
      <c r="BF2"/>
      <c r="BG2" t="n">
        <v>40.0</v>
      </c>
      <c r="BH2" t="inlineStr">
        <is>
          <t>Day(s)</t>
        </is>
      </c>
      <c r="BI2"/>
      <c r="BJ2"/>
      <c r="BK2"/>
      <c r="BL2"/>
      <c r="BM2"/>
      <c r="BN2"/>
      <c r="BO2" t="inlineStr">
        <is>
          <t>--</t>
        </is>
      </c>
      <c r="BP2"/>
      <c r="BQ2"/>
      <c r="BR2"/>
      <c r="BS2"/>
      <c r="BT2"/>
      <c r="BU2"/>
      <c r="BV2"/>
      <c r="BW2"/>
      <c r="BX2"/>
      <c r="BY2"/>
      <c r="BZ2"/>
      <c r="CA2"/>
      <c r="CB2"/>
      <c r="CC2"/>
      <c r="CD2" t="inlineStr">
        <is>
          <t>Hoover,G.M.</t>
        </is>
      </c>
      <c r="CE2" t="n">
        <v>180874.0</v>
      </c>
      <c r="CF2" t="inlineStr">
        <is>
          <t>Effects of Per/Polyfluoroalkyl Substance Exposure on Larval Amphibians</t>
        </is>
      </c>
      <c r="CG2" t="inlineStr">
        <is>
          <t>Ph.D.Thesis, Purdue University, West Lafayette, IN:119 p.</t>
        </is>
      </c>
      <c r="CH2" t="n">
        <v>2018.0</v>
      </c>
      <c r="CI2" t="inlineStr">
        <is>
          <t>Hoover,G.M. (2018). Effects of Per/Polyfluoroalkyl Substance Exposure on Larval Amphibians. Ph.D.Thesis, Purdue University, West Lafayette, IN, 119 p. ECOREF#:180874</t>
        </is>
      </c>
    </row>
    <row r="3">
      <c r="A3" t="n">
        <v>355464.0</v>
      </c>
      <c r="B3" t="inlineStr">
        <is>
          <t>1,1,2,2,3,3,4,4,5,5,6,6,6-Tridecafluoro-1-hexanesulfonic acid</t>
        </is>
      </c>
      <c r="C3"/>
      <c r="D3" t="inlineStr">
        <is>
          <t>Unmeasured values (some measured values reported in article)</t>
        </is>
      </c>
      <c r="E3"/>
      <c r="F3"/>
      <c r="G3"/>
      <c r="H3"/>
      <c r="I3"/>
      <c r="J3"/>
      <c r="K3" t="inlineStr">
        <is>
          <t>Anaxyrus americanus</t>
        </is>
      </c>
      <c r="L3" t="inlineStr">
        <is>
          <t xml:space="preserve">American Toad </t>
        </is>
      </c>
      <c r="M3" t="inlineStr">
        <is>
          <t>Amphibians</t>
        </is>
      </c>
      <c r="N3" t="inlineStr">
        <is>
          <t>Tadpole</t>
        </is>
      </c>
      <c r="O3"/>
      <c r="P3"/>
      <c r="Q3"/>
      <c r="R3"/>
      <c r="S3"/>
      <c r="T3"/>
      <c r="U3"/>
      <c r="V3" t="inlineStr">
        <is>
          <t>Renewal</t>
        </is>
      </c>
      <c r="W3" t="inlineStr">
        <is>
          <t>Fresh water</t>
        </is>
      </c>
      <c r="X3" t="inlineStr">
        <is>
          <t>Lab</t>
        </is>
      </c>
      <c r="Y3" t="n">
        <v>4.0</v>
      </c>
      <c r="Z3" t="inlineStr">
        <is>
          <t>Active ingredient</t>
        </is>
      </c>
      <c r="AA3"/>
      <c r="AB3"/>
      <c r="AC3"/>
      <c r="AD3" t="n">
        <v>0.01</v>
      </c>
      <c r="AE3"/>
      <c r="AF3" t="n">
        <v>1.0</v>
      </c>
      <c r="AG3" t="inlineStr">
        <is>
          <t>AI mg/L</t>
        </is>
      </c>
      <c r="AH3"/>
      <c r="AI3"/>
      <c r="AJ3"/>
      <c r="AK3"/>
      <c r="AL3"/>
      <c r="AM3"/>
      <c r="AN3"/>
      <c r="AO3"/>
      <c r="AP3"/>
      <c r="AQ3"/>
      <c r="AR3"/>
      <c r="AS3"/>
      <c r="AT3"/>
      <c r="AU3"/>
      <c r="AV3"/>
      <c r="AW3"/>
      <c r="AX3" t="inlineStr">
        <is>
          <t>Accumulation</t>
        </is>
      </c>
      <c r="AY3" t="inlineStr">
        <is>
          <t>Residue</t>
        </is>
      </c>
      <c r="AZ3"/>
      <c r="BA3" t="inlineStr">
        <is>
          <t>Whole organism</t>
        </is>
      </c>
      <c r="BB3"/>
      <c r="BC3"/>
      <c r="BD3"/>
      <c r="BE3" t="n">
        <v>10.0</v>
      </c>
      <c r="BF3"/>
      <c r="BG3" t="n">
        <v>35.0</v>
      </c>
      <c r="BH3" t="inlineStr">
        <is>
          <t>Day(s)</t>
        </is>
      </c>
      <c r="BI3"/>
      <c r="BJ3"/>
      <c r="BK3"/>
      <c r="BL3"/>
      <c r="BM3"/>
      <c r="BN3"/>
      <c r="BO3" t="inlineStr">
        <is>
          <t>--</t>
        </is>
      </c>
      <c r="BP3"/>
      <c r="BQ3"/>
      <c r="BR3"/>
      <c r="BS3"/>
      <c r="BT3"/>
      <c r="BU3"/>
      <c r="BV3"/>
      <c r="BW3"/>
      <c r="BX3"/>
      <c r="BY3"/>
      <c r="BZ3"/>
      <c r="CA3"/>
      <c r="CB3"/>
      <c r="CC3"/>
      <c r="CD3" t="inlineStr">
        <is>
          <t>Hoover,G.M.</t>
        </is>
      </c>
      <c r="CE3" t="n">
        <v>180874.0</v>
      </c>
      <c r="CF3" t="inlineStr">
        <is>
          <t>Effects of Per/Polyfluoroalkyl Substance Exposure on Larval Amphibians</t>
        </is>
      </c>
      <c r="CG3" t="inlineStr">
        <is>
          <t>Ph.D.Thesis, Purdue University, West Lafayette, IN:119 p.</t>
        </is>
      </c>
      <c r="CH3" t="n">
        <v>2018.0</v>
      </c>
      <c r="CI3" t="inlineStr">
        <is>
          <t>Hoover,G.M. (2018). Effects of Per/Polyfluoroalkyl Substance Exposure on Larval Amphibians. Ph.D.Thesis, Purdue University, West Lafayette, IN, 119 p. ECOREF#:180874</t>
        </is>
      </c>
    </row>
    <row r="4">
      <c r="A4" t="n">
        <v>355464.0</v>
      </c>
      <c r="B4" t="inlineStr">
        <is>
          <t>1,1,2,2,3,3,4,4,5,5,6,6,6-Tridecafluoro-1-hexanesulfonic acid</t>
        </is>
      </c>
      <c r="C4"/>
      <c r="D4" t="inlineStr">
        <is>
          <t>Chemical analysis reported</t>
        </is>
      </c>
      <c r="E4" t="inlineStr">
        <is>
          <t>&gt;=</t>
        </is>
      </c>
      <c r="F4" t="n">
        <v>98.0</v>
      </c>
      <c r="G4"/>
      <c r="H4"/>
      <c r="I4"/>
      <c r="J4"/>
      <c r="K4" t="inlineStr">
        <is>
          <t>Lithobates pipiens</t>
        </is>
      </c>
      <c r="L4" t="inlineStr">
        <is>
          <t>Leopard Frog</t>
        </is>
      </c>
      <c r="M4" t="inlineStr">
        <is>
          <t>Amphibians; Standard Test Species</t>
        </is>
      </c>
      <c r="N4" t="inlineStr">
        <is>
          <t>Tadpole</t>
        </is>
      </c>
      <c r="O4"/>
      <c r="P4" t="n">
        <v>26.0</v>
      </c>
      <c r="Q4"/>
      <c r="R4"/>
      <c r="S4"/>
      <c r="T4"/>
      <c r="U4" t="inlineStr">
        <is>
          <t>Gosner stage</t>
        </is>
      </c>
      <c r="V4" t="inlineStr">
        <is>
          <t>Renewal</t>
        </is>
      </c>
      <c r="W4" t="inlineStr">
        <is>
          <t>Fresh water</t>
        </is>
      </c>
      <c r="X4" t="inlineStr">
        <is>
          <t>Lab</t>
        </is>
      </c>
      <c r="Y4" t="n">
        <v>4.0</v>
      </c>
      <c r="Z4" t="inlineStr">
        <is>
          <t>Active ingredient</t>
        </is>
      </c>
      <c r="AA4"/>
      <c r="AB4" t="n">
        <v>1.0</v>
      </c>
      <c r="AC4"/>
      <c r="AD4"/>
      <c r="AE4"/>
      <c r="AF4"/>
      <c r="AG4" t="inlineStr">
        <is>
          <t>AI mg/L</t>
        </is>
      </c>
      <c r="AH4"/>
      <c r="AI4"/>
      <c r="AJ4"/>
      <c r="AK4"/>
      <c r="AL4"/>
      <c r="AM4"/>
      <c r="AN4"/>
      <c r="AO4"/>
      <c r="AP4"/>
      <c r="AQ4"/>
      <c r="AR4"/>
      <c r="AS4"/>
      <c r="AT4"/>
      <c r="AU4"/>
      <c r="AV4"/>
      <c r="AW4"/>
      <c r="AX4" t="inlineStr">
        <is>
          <t>Accumulation</t>
        </is>
      </c>
      <c r="AY4" t="inlineStr">
        <is>
          <t>Residue</t>
        </is>
      </c>
      <c r="AZ4" t="inlineStr">
        <is>
          <t>BCF</t>
        </is>
      </c>
      <c r="BA4" t="inlineStr">
        <is>
          <t>Whole organism</t>
        </is>
      </c>
      <c r="BB4"/>
      <c r="BC4" t="n">
        <v>20.0</v>
      </c>
      <c r="BD4"/>
      <c r="BE4"/>
      <c r="BF4"/>
      <c r="BG4"/>
      <c r="BH4" t="inlineStr">
        <is>
          <t>Day(s)</t>
        </is>
      </c>
      <c r="BI4"/>
      <c r="BJ4"/>
      <c r="BK4" t="inlineStr">
        <is>
          <t>&gt;</t>
        </is>
      </c>
      <c r="BL4" t="n">
        <v>0.1</v>
      </c>
      <c r="BM4" t="inlineStr">
        <is>
          <t>&lt;</t>
        </is>
      </c>
      <c r="BN4" t="n">
        <v>1.0</v>
      </c>
      <c r="BO4" t="inlineStr">
        <is>
          <t>RA</t>
        </is>
      </c>
      <c r="BP4"/>
      <c r="BQ4"/>
      <c r="BR4"/>
      <c r="BS4"/>
      <c r="BT4"/>
      <c r="BU4"/>
      <c r="BV4"/>
      <c r="BW4"/>
      <c r="BX4"/>
      <c r="BY4"/>
      <c r="BZ4"/>
      <c r="CA4"/>
      <c r="CB4"/>
      <c r="CC4"/>
      <c r="CD4" t="inlineStr">
        <is>
          <t>Hoover,G.M., M.F. Chislock, B.J. Tornabene, S.C. Guffey, Y.J. Choi, C. De Perre, J.T. Hoverman, L.S. Lee, and M.S. Sepu</t>
        </is>
      </c>
      <c r="CE4" t="n">
        <v>176982.0</v>
      </c>
      <c r="CF4" t="inlineStr">
        <is>
          <t>Uptake and Depuration of Four Per/Polyfluoroalkyl Substances (PFASs) in Northern Leopard Frog Rana pipiens Tadpoles</t>
        </is>
      </c>
      <c r="CG4" t="inlineStr">
        <is>
          <t>Environ. Sci. Technol. Lett.4(10): 399-403</t>
        </is>
      </c>
      <c r="CH4" t="n">
        <v>2017.0</v>
      </c>
      <c r="CI4"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5">
      <c r="A5" t="n">
        <v>355464.0</v>
      </c>
      <c r="B5" t="inlineStr">
        <is>
          <t>1,1,2,2,3,3,4,4,5,5,6,6,6-Tridecafluoro-1-hexanesulfonic acid</t>
        </is>
      </c>
      <c r="C5"/>
      <c r="D5" t="inlineStr">
        <is>
          <t>Chemical analysis reported</t>
        </is>
      </c>
      <c r="E5" t="inlineStr">
        <is>
          <t>&gt;=</t>
        </is>
      </c>
      <c r="F5" t="n">
        <v>98.0</v>
      </c>
      <c r="G5"/>
      <c r="H5"/>
      <c r="I5"/>
      <c r="J5"/>
      <c r="K5" t="inlineStr">
        <is>
          <t>Lithobates pipiens</t>
        </is>
      </c>
      <c r="L5" t="inlineStr">
        <is>
          <t>Leopard Frog</t>
        </is>
      </c>
      <c r="M5" t="inlineStr">
        <is>
          <t>Amphibians; Standard Test Species</t>
        </is>
      </c>
      <c r="N5" t="inlineStr">
        <is>
          <t>Tadpole</t>
        </is>
      </c>
      <c r="O5"/>
      <c r="P5" t="n">
        <v>26.0</v>
      </c>
      <c r="Q5"/>
      <c r="R5"/>
      <c r="S5"/>
      <c r="T5"/>
      <c r="U5" t="inlineStr">
        <is>
          <t>Gosner stage</t>
        </is>
      </c>
      <c r="V5" t="inlineStr">
        <is>
          <t>Renewal</t>
        </is>
      </c>
      <c r="W5" t="inlineStr">
        <is>
          <t>Fresh water</t>
        </is>
      </c>
      <c r="X5" t="inlineStr">
        <is>
          <t>Lab</t>
        </is>
      </c>
      <c r="Y5" t="n">
        <v>4.0</v>
      </c>
      <c r="Z5" t="inlineStr">
        <is>
          <t>Active ingredient</t>
        </is>
      </c>
      <c r="AA5"/>
      <c r="AB5" t="n">
        <v>0.01</v>
      </c>
      <c r="AC5"/>
      <c r="AD5"/>
      <c r="AE5"/>
      <c r="AF5"/>
      <c r="AG5" t="inlineStr">
        <is>
          <t>AI mg/L</t>
        </is>
      </c>
      <c r="AH5"/>
      <c r="AI5"/>
      <c r="AJ5"/>
      <c r="AK5"/>
      <c r="AL5"/>
      <c r="AM5"/>
      <c r="AN5"/>
      <c r="AO5"/>
      <c r="AP5"/>
      <c r="AQ5"/>
      <c r="AR5"/>
      <c r="AS5"/>
      <c r="AT5"/>
      <c r="AU5"/>
      <c r="AV5"/>
      <c r="AW5"/>
      <c r="AX5" t="inlineStr">
        <is>
          <t>Accumulation</t>
        </is>
      </c>
      <c r="AY5" t="inlineStr">
        <is>
          <t>Residue</t>
        </is>
      </c>
      <c r="AZ5" t="inlineStr">
        <is>
          <t>BCF</t>
        </is>
      </c>
      <c r="BA5" t="inlineStr">
        <is>
          <t>Whole organism</t>
        </is>
      </c>
      <c r="BB5"/>
      <c r="BC5" t="n">
        <v>30.0</v>
      </c>
      <c r="BD5"/>
      <c r="BE5"/>
      <c r="BF5"/>
      <c r="BG5"/>
      <c r="BH5" t="inlineStr">
        <is>
          <t>Day(s)</t>
        </is>
      </c>
      <c r="BI5"/>
      <c r="BJ5"/>
      <c r="BK5" t="inlineStr">
        <is>
          <t>&gt;</t>
        </is>
      </c>
      <c r="BL5" t="n">
        <v>0.1</v>
      </c>
      <c r="BM5" t="inlineStr">
        <is>
          <t>&lt;</t>
        </is>
      </c>
      <c r="BN5" t="n">
        <v>1.0</v>
      </c>
      <c r="BO5" t="inlineStr">
        <is>
          <t>RA</t>
        </is>
      </c>
      <c r="BP5"/>
      <c r="BQ5"/>
      <c r="BR5"/>
      <c r="BS5"/>
      <c r="BT5"/>
      <c r="BU5"/>
      <c r="BV5"/>
      <c r="BW5"/>
      <c r="BX5"/>
      <c r="BY5"/>
      <c r="BZ5"/>
      <c r="CA5"/>
      <c r="CB5"/>
      <c r="CC5"/>
      <c r="CD5" t="inlineStr">
        <is>
          <t>Hoover,G.M., M.F. Chislock, B.J. Tornabene, S.C. Guffey, Y.J. Choi, C. De Perre, J.T. Hoverman, L.S. Lee, and M.S. Sepu</t>
        </is>
      </c>
      <c r="CE5" t="n">
        <v>176982.0</v>
      </c>
      <c r="CF5" t="inlineStr">
        <is>
          <t>Uptake and Depuration of Four Per/Polyfluoroalkyl Substances (PFASs) in Northern Leopard Frog Rana pipiens Tadpoles</t>
        </is>
      </c>
      <c r="CG5" t="inlineStr">
        <is>
          <t>Environ. Sci. Technol. Lett.4(10): 399-403</t>
        </is>
      </c>
      <c r="CH5" t="n">
        <v>2017.0</v>
      </c>
      <c r="CI5"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6">
      <c r="A6" t="n">
        <v>355464.0</v>
      </c>
      <c r="B6" t="inlineStr">
        <is>
          <t>1,1,2,2,3,3,4,4,5,5,6,6,6-Tridecafluoro-1-hexanesulfonic acid</t>
        </is>
      </c>
      <c r="C6"/>
      <c r="D6" t="inlineStr">
        <is>
          <t>Chemical analysis reported</t>
        </is>
      </c>
      <c r="E6" t="inlineStr">
        <is>
          <t>&gt;=</t>
        </is>
      </c>
      <c r="F6" t="n">
        <v>98.0</v>
      </c>
      <c r="G6"/>
      <c r="H6"/>
      <c r="I6"/>
      <c r="J6"/>
      <c r="K6" t="inlineStr">
        <is>
          <t>Lithobates pipiens</t>
        </is>
      </c>
      <c r="L6" t="inlineStr">
        <is>
          <t>Leopard Frog</t>
        </is>
      </c>
      <c r="M6" t="inlineStr">
        <is>
          <t>Amphibians; Standard Test Species</t>
        </is>
      </c>
      <c r="N6" t="inlineStr">
        <is>
          <t>Tadpole</t>
        </is>
      </c>
      <c r="O6"/>
      <c r="P6" t="n">
        <v>26.0</v>
      </c>
      <c r="Q6"/>
      <c r="R6"/>
      <c r="S6"/>
      <c r="T6"/>
      <c r="U6" t="inlineStr">
        <is>
          <t>Gosner stage</t>
        </is>
      </c>
      <c r="V6" t="inlineStr">
        <is>
          <t>Renewal</t>
        </is>
      </c>
      <c r="W6" t="inlineStr">
        <is>
          <t>Fresh water</t>
        </is>
      </c>
      <c r="X6" t="inlineStr">
        <is>
          <t>Lab</t>
        </is>
      </c>
      <c r="Y6" t="n">
        <v>4.0</v>
      </c>
      <c r="Z6" t="inlineStr">
        <is>
          <t>Active ingredient</t>
        </is>
      </c>
      <c r="AA6"/>
      <c r="AB6" t="n">
        <v>0.1</v>
      </c>
      <c r="AC6"/>
      <c r="AD6"/>
      <c r="AE6"/>
      <c r="AF6"/>
      <c r="AG6" t="inlineStr">
        <is>
          <t>AI mg/L</t>
        </is>
      </c>
      <c r="AH6"/>
      <c r="AI6"/>
      <c r="AJ6"/>
      <c r="AK6"/>
      <c r="AL6"/>
      <c r="AM6"/>
      <c r="AN6"/>
      <c r="AO6"/>
      <c r="AP6"/>
      <c r="AQ6"/>
      <c r="AR6"/>
      <c r="AS6"/>
      <c r="AT6"/>
      <c r="AU6"/>
      <c r="AV6"/>
      <c r="AW6"/>
      <c r="AX6" t="inlineStr">
        <is>
          <t>Accumulation</t>
        </is>
      </c>
      <c r="AY6" t="inlineStr">
        <is>
          <t>Residue</t>
        </is>
      </c>
      <c r="AZ6" t="inlineStr">
        <is>
          <t>BCF</t>
        </is>
      </c>
      <c r="BA6" t="inlineStr">
        <is>
          <t>Whole organism</t>
        </is>
      </c>
      <c r="BB6"/>
      <c r="BC6" t="n">
        <v>40.0</v>
      </c>
      <c r="BD6"/>
      <c r="BE6"/>
      <c r="BF6"/>
      <c r="BG6"/>
      <c r="BH6" t="inlineStr">
        <is>
          <t>Day(s)</t>
        </is>
      </c>
      <c r="BI6"/>
      <c r="BJ6"/>
      <c r="BK6" t="inlineStr">
        <is>
          <t>&gt;</t>
        </is>
      </c>
      <c r="BL6" t="n">
        <v>0.1</v>
      </c>
      <c r="BM6" t="inlineStr">
        <is>
          <t>&lt;</t>
        </is>
      </c>
      <c r="BN6" t="n">
        <v>1.0</v>
      </c>
      <c r="BO6" t="inlineStr">
        <is>
          <t>RA</t>
        </is>
      </c>
      <c r="BP6"/>
      <c r="BQ6"/>
      <c r="BR6"/>
      <c r="BS6"/>
      <c r="BT6"/>
      <c r="BU6"/>
      <c r="BV6"/>
      <c r="BW6"/>
      <c r="BX6"/>
      <c r="BY6"/>
      <c r="BZ6"/>
      <c r="CA6"/>
      <c r="CB6"/>
      <c r="CC6"/>
      <c r="CD6" t="inlineStr">
        <is>
          <t>Hoover,G.M., M.F. Chislock, B.J. Tornabene, S.C. Guffey, Y.J. Choi, C. De Perre, J.T. Hoverman, L.S. Lee, and M.S. Sepu</t>
        </is>
      </c>
      <c r="CE6" t="n">
        <v>176982.0</v>
      </c>
      <c r="CF6" t="inlineStr">
        <is>
          <t>Uptake and Depuration of Four Per/Polyfluoroalkyl Substances (PFASs) in Northern Leopard Frog Rana pipiens Tadpoles</t>
        </is>
      </c>
      <c r="CG6" t="inlineStr">
        <is>
          <t>Environ. Sci. Technol. Lett.4(10): 399-403</t>
        </is>
      </c>
      <c r="CH6" t="n">
        <v>2017.0</v>
      </c>
      <c r="CI6"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7">
      <c r="A7" t="n">
        <v>355464.0</v>
      </c>
      <c r="B7" t="inlineStr">
        <is>
          <t>1,1,2,2,3,3,4,4,5,5,6,6,6-Tridecafluoro-1-hexanesulfonic acid</t>
        </is>
      </c>
      <c r="C7"/>
      <c r="D7" t="inlineStr">
        <is>
          <t>Chemical analysis reported</t>
        </is>
      </c>
      <c r="E7" t="inlineStr">
        <is>
          <t>&gt;=</t>
        </is>
      </c>
      <c r="F7" t="n">
        <v>98.0</v>
      </c>
      <c r="G7"/>
      <c r="H7"/>
      <c r="I7"/>
      <c r="J7"/>
      <c r="K7" t="inlineStr">
        <is>
          <t>Lithobates pipiens</t>
        </is>
      </c>
      <c r="L7" t="inlineStr">
        <is>
          <t>Leopard Frog</t>
        </is>
      </c>
      <c r="M7" t="inlineStr">
        <is>
          <t>Amphibians; Standard Test Species</t>
        </is>
      </c>
      <c r="N7" t="inlineStr">
        <is>
          <t>Tadpole</t>
        </is>
      </c>
      <c r="O7"/>
      <c r="P7" t="n">
        <v>26.0</v>
      </c>
      <c r="Q7"/>
      <c r="R7"/>
      <c r="S7"/>
      <c r="T7"/>
      <c r="U7" t="inlineStr">
        <is>
          <t>Gosner stage</t>
        </is>
      </c>
      <c r="V7" t="inlineStr">
        <is>
          <t>Renewal</t>
        </is>
      </c>
      <c r="W7" t="inlineStr">
        <is>
          <t>Fresh water</t>
        </is>
      </c>
      <c r="X7" t="inlineStr">
        <is>
          <t>Lab</t>
        </is>
      </c>
      <c r="Y7" t="n">
        <v>4.0</v>
      </c>
      <c r="Z7" t="inlineStr">
        <is>
          <t>Active ingredient</t>
        </is>
      </c>
      <c r="AA7"/>
      <c r="AB7" t="n">
        <v>1.0</v>
      </c>
      <c r="AC7"/>
      <c r="AD7"/>
      <c r="AE7"/>
      <c r="AF7"/>
      <c r="AG7" t="inlineStr">
        <is>
          <t>AI mg/L</t>
        </is>
      </c>
      <c r="AH7"/>
      <c r="AI7"/>
      <c r="AJ7"/>
      <c r="AK7"/>
      <c r="AL7"/>
      <c r="AM7"/>
      <c r="AN7"/>
      <c r="AO7"/>
      <c r="AP7"/>
      <c r="AQ7"/>
      <c r="AR7"/>
      <c r="AS7"/>
      <c r="AT7"/>
      <c r="AU7"/>
      <c r="AV7"/>
      <c r="AW7"/>
      <c r="AX7" t="inlineStr">
        <is>
          <t>Accumulation</t>
        </is>
      </c>
      <c r="AY7" t="inlineStr">
        <is>
          <t>Residue</t>
        </is>
      </c>
      <c r="AZ7" t="inlineStr">
        <is>
          <t>BCF</t>
        </is>
      </c>
      <c r="BA7" t="inlineStr">
        <is>
          <t>Whole organism</t>
        </is>
      </c>
      <c r="BB7"/>
      <c r="BC7" t="n">
        <v>40.0</v>
      </c>
      <c r="BD7"/>
      <c r="BE7"/>
      <c r="BF7"/>
      <c r="BG7"/>
      <c r="BH7" t="inlineStr">
        <is>
          <t>Day(s)</t>
        </is>
      </c>
      <c r="BI7"/>
      <c r="BJ7"/>
      <c r="BK7" t="inlineStr">
        <is>
          <t>&gt;</t>
        </is>
      </c>
      <c r="BL7" t="n">
        <v>0.1</v>
      </c>
      <c r="BM7" t="inlineStr">
        <is>
          <t>&lt;</t>
        </is>
      </c>
      <c r="BN7" t="n">
        <v>1.0</v>
      </c>
      <c r="BO7" t="inlineStr">
        <is>
          <t>RA</t>
        </is>
      </c>
      <c r="BP7"/>
      <c r="BQ7"/>
      <c r="BR7"/>
      <c r="BS7"/>
      <c r="BT7"/>
      <c r="BU7"/>
      <c r="BV7"/>
      <c r="BW7"/>
      <c r="BX7"/>
      <c r="BY7"/>
      <c r="BZ7"/>
      <c r="CA7"/>
      <c r="CB7"/>
      <c r="CC7"/>
      <c r="CD7" t="inlineStr">
        <is>
          <t>Hoover,G.M., M.F. Chislock, B.J. Tornabene, S.C. Guffey, Y.J. Choi, C. De Perre, J.T. Hoverman, L.S. Lee, and M.S. Sepu</t>
        </is>
      </c>
      <c r="CE7" t="n">
        <v>176982.0</v>
      </c>
      <c r="CF7" t="inlineStr">
        <is>
          <t>Uptake and Depuration of Four Per/Polyfluoroalkyl Substances (PFASs) in Northern Leopard Frog Rana pipiens Tadpoles</t>
        </is>
      </c>
      <c r="CG7" t="inlineStr">
        <is>
          <t>Environ. Sci. Technol. Lett.4(10): 399-403</t>
        </is>
      </c>
      <c r="CH7" t="n">
        <v>2017.0</v>
      </c>
      <c r="CI7"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8">
      <c r="A8" t="n">
        <v>355464.0</v>
      </c>
      <c r="B8" t="inlineStr">
        <is>
          <t>1,1,2,2,3,3,4,4,5,5,6,6,6-Tridecafluoro-1-hexanesulfonic acid</t>
        </is>
      </c>
      <c r="C8"/>
      <c r="D8" t="inlineStr">
        <is>
          <t>Chemical analysis reported</t>
        </is>
      </c>
      <c r="E8" t="inlineStr">
        <is>
          <t>&gt;=</t>
        </is>
      </c>
      <c r="F8" t="n">
        <v>98.0</v>
      </c>
      <c r="G8"/>
      <c r="H8"/>
      <c r="I8"/>
      <c r="J8"/>
      <c r="K8" t="inlineStr">
        <is>
          <t>Lithobates pipiens</t>
        </is>
      </c>
      <c r="L8" t="inlineStr">
        <is>
          <t>Leopard Frog</t>
        </is>
      </c>
      <c r="M8" t="inlineStr">
        <is>
          <t>Amphibians; Standard Test Species</t>
        </is>
      </c>
      <c r="N8" t="inlineStr">
        <is>
          <t>Tadpole</t>
        </is>
      </c>
      <c r="O8"/>
      <c r="P8" t="n">
        <v>26.0</v>
      </c>
      <c r="Q8"/>
      <c r="R8"/>
      <c r="S8"/>
      <c r="T8"/>
      <c r="U8" t="inlineStr">
        <is>
          <t>Gosner stage</t>
        </is>
      </c>
      <c r="V8" t="inlineStr">
        <is>
          <t>Renewal</t>
        </is>
      </c>
      <c r="W8" t="inlineStr">
        <is>
          <t>Fresh water</t>
        </is>
      </c>
      <c r="X8" t="inlineStr">
        <is>
          <t>Lab</t>
        </is>
      </c>
      <c r="Y8" t="n">
        <v>4.0</v>
      </c>
      <c r="Z8" t="inlineStr">
        <is>
          <t>Active ingredient</t>
        </is>
      </c>
      <c r="AA8"/>
      <c r="AB8" t="n">
        <v>0.1</v>
      </c>
      <c r="AC8"/>
      <c r="AD8"/>
      <c r="AE8"/>
      <c r="AF8"/>
      <c r="AG8" t="inlineStr">
        <is>
          <t>AI mg/L</t>
        </is>
      </c>
      <c r="AH8"/>
      <c r="AI8"/>
      <c r="AJ8"/>
      <c r="AK8"/>
      <c r="AL8"/>
      <c r="AM8"/>
      <c r="AN8"/>
      <c r="AO8"/>
      <c r="AP8"/>
      <c r="AQ8"/>
      <c r="AR8"/>
      <c r="AS8"/>
      <c r="AT8"/>
      <c r="AU8"/>
      <c r="AV8"/>
      <c r="AW8"/>
      <c r="AX8" t="inlineStr">
        <is>
          <t>Accumulation</t>
        </is>
      </c>
      <c r="AY8" t="inlineStr">
        <is>
          <t>Residue</t>
        </is>
      </c>
      <c r="AZ8" t="inlineStr">
        <is>
          <t>BCF</t>
        </is>
      </c>
      <c r="BA8" t="inlineStr">
        <is>
          <t>Whole organism</t>
        </is>
      </c>
      <c r="BB8"/>
      <c r="BC8" t="n">
        <v>30.0</v>
      </c>
      <c r="BD8"/>
      <c r="BE8"/>
      <c r="BF8"/>
      <c r="BG8"/>
      <c r="BH8" t="inlineStr">
        <is>
          <t>Day(s)</t>
        </is>
      </c>
      <c r="BI8"/>
      <c r="BJ8"/>
      <c r="BK8" t="inlineStr">
        <is>
          <t>&gt;</t>
        </is>
      </c>
      <c r="BL8" t="n">
        <v>0.1</v>
      </c>
      <c r="BM8" t="inlineStr">
        <is>
          <t>&lt;</t>
        </is>
      </c>
      <c r="BN8" t="n">
        <v>1.0</v>
      </c>
      <c r="BO8" t="inlineStr">
        <is>
          <t>RA</t>
        </is>
      </c>
      <c r="BP8"/>
      <c r="BQ8"/>
      <c r="BR8"/>
      <c r="BS8"/>
      <c r="BT8"/>
      <c r="BU8"/>
      <c r="BV8"/>
      <c r="BW8"/>
      <c r="BX8"/>
      <c r="BY8"/>
      <c r="BZ8"/>
      <c r="CA8"/>
      <c r="CB8"/>
      <c r="CC8"/>
      <c r="CD8" t="inlineStr">
        <is>
          <t>Hoover,G.M., M.F. Chislock, B.J. Tornabene, S.C. Guffey, Y.J. Choi, C. De Perre, J.T. Hoverman, L.S. Lee, and M.S. Sepu</t>
        </is>
      </c>
      <c r="CE8" t="n">
        <v>176982.0</v>
      </c>
      <c r="CF8" t="inlineStr">
        <is>
          <t>Uptake and Depuration of Four Per/Polyfluoroalkyl Substances (PFASs) in Northern Leopard Frog Rana pipiens Tadpoles</t>
        </is>
      </c>
      <c r="CG8" t="inlineStr">
        <is>
          <t>Environ. Sci. Technol. Lett.4(10): 399-403</t>
        </is>
      </c>
      <c r="CH8" t="n">
        <v>2017.0</v>
      </c>
      <c r="CI8"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9">
      <c r="A9" t="n">
        <v>355464.0</v>
      </c>
      <c r="B9" t="inlineStr">
        <is>
          <t>1,1,2,2,3,3,4,4,5,5,6,6,6-Tridecafluoro-1-hexanesulfonic acid</t>
        </is>
      </c>
      <c r="C9"/>
      <c r="D9" t="inlineStr">
        <is>
          <t>Chemical analysis reported</t>
        </is>
      </c>
      <c r="E9" t="inlineStr">
        <is>
          <t>&gt;=</t>
        </is>
      </c>
      <c r="F9" t="n">
        <v>98.0</v>
      </c>
      <c r="G9"/>
      <c r="H9"/>
      <c r="I9"/>
      <c r="J9"/>
      <c r="K9" t="inlineStr">
        <is>
          <t>Lithobates pipiens</t>
        </is>
      </c>
      <c r="L9" t="inlineStr">
        <is>
          <t>Leopard Frog</t>
        </is>
      </c>
      <c r="M9" t="inlineStr">
        <is>
          <t>Amphibians; Standard Test Species</t>
        </is>
      </c>
      <c r="N9" t="inlineStr">
        <is>
          <t>Tadpole</t>
        </is>
      </c>
      <c r="O9"/>
      <c r="P9" t="n">
        <v>26.0</v>
      </c>
      <c r="Q9"/>
      <c r="R9"/>
      <c r="S9"/>
      <c r="T9"/>
      <c r="U9" t="inlineStr">
        <is>
          <t>Gosner stage</t>
        </is>
      </c>
      <c r="V9" t="inlineStr">
        <is>
          <t>Renewal</t>
        </is>
      </c>
      <c r="W9" t="inlineStr">
        <is>
          <t>Fresh water</t>
        </is>
      </c>
      <c r="X9" t="inlineStr">
        <is>
          <t>Lab</t>
        </is>
      </c>
      <c r="Y9" t="n">
        <v>4.0</v>
      </c>
      <c r="Z9" t="inlineStr">
        <is>
          <t>Active ingredient</t>
        </is>
      </c>
      <c r="AA9"/>
      <c r="AB9" t="n">
        <v>1.0</v>
      </c>
      <c r="AC9"/>
      <c r="AD9"/>
      <c r="AE9"/>
      <c r="AF9"/>
      <c r="AG9" t="inlineStr">
        <is>
          <t>AI mg/L</t>
        </is>
      </c>
      <c r="AH9"/>
      <c r="AI9"/>
      <c r="AJ9"/>
      <c r="AK9"/>
      <c r="AL9"/>
      <c r="AM9"/>
      <c r="AN9"/>
      <c r="AO9"/>
      <c r="AP9"/>
      <c r="AQ9"/>
      <c r="AR9"/>
      <c r="AS9"/>
      <c r="AT9"/>
      <c r="AU9"/>
      <c r="AV9"/>
      <c r="AW9"/>
      <c r="AX9" t="inlineStr">
        <is>
          <t>Accumulation</t>
        </is>
      </c>
      <c r="AY9" t="inlineStr">
        <is>
          <t>Residue</t>
        </is>
      </c>
      <c r="AZ9" t="inlineStr">
        <is>
          <t>BCF</t>
        </is>
      </c>
      <c r="BA9" t="inlineStr">
        <is>
          <t>Whole organism</t>
        </is>
      </c>
      <c r="BB9"/>
      <c r="BC9" t="n">
        <v>30.0</v>
      </c>
      <c r="BD9"/>
      <c r="BE9"/>
      <c r="BF9"/>
      <c r="BG9"/>
      <c r="BH9" t="inlineStr">
        <is>
          <t>Day(s)</t>
        </is>
      </c>
      <c r="BI9"/>
      <c r="BJ9"/>
      <c r="BK9" t="inlineStr">
        <is>
          <t>&gt;</t>
        </is>
      </c>
      <c r="BL9" t="n">
        <v>0.1</v>
      </c>
      <c r="BM9" t="inlineStr">
        <is>
          <t>&lt;</t>
        </is>
      </c>
      <c r="BN9" t="n">
        <v>1.0</v>
      </c>
      <c r="BO9" t="inlineStr">
        <is>
          <t>RA</t>
        </is>
      </c>
      <c r="BP9"/>
      <c r="BQ9"/>
      <c r="BR9"/>
      <c r="BS9"/>
      <c r="BT9"/>
      <c r="BU9"/>
      <c r="BV9"/>
      <c r="BW9"/>
      <c r="BX9"/>
      <c r="BY9"/>
      <c r="BZ9"/>
      <c r="CA9"/>
      <c r="CB9"/>
      <c r="CC9"/>
      <c r="CD9" t="inlineStr">
        <is>
          <t>Hoover,G.M., M.F. Chislock, B.J. Tornabene, S.C. Guffey, Y.J. Choi, C. De Perre, J.T. Hoverman, L.S. Lee, and M.S. Sepu</t>
        </is>
      </c>
      <c r="CE9" t="n">
        <v>176982.0</v>
      </c>
      <c r="CF9" t="inlineStr">
        <is>
          <t>Uptake and Depuration of Four Per/Polyfluoroalkyl Substances (PFASs) in Northern Leopard Frog Rana pipiens Tadpoles</t>
        </is>
      </c>
      <c r="CG9" t="inlineStr">
        <is>
          <t>Environ. Sci. Technol. Lett.4(10): 399-403</t>
        </is>
      </c>
      <c r="CH9" t="n">
        <v>2017.0</v>
      </c>
      <c r="CI9"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0">
      <c r="A10" t="n">
        <v>355464.0</v>
      </c>
      <c r="B10" t="inlineStr">
        <is>
          <t>1,1,2,2,3,3,4,4,5,5,6,6,6-Tridecafluoro-1-hexanesulfonic acid</t>
        </is>
      </c>
      <c r="C10"/>
      <c r="D10" t="inlineStr">
        <is>
          <t>Chemical analysis reported</t>
        </is>
      </c>
      <c r="E10" t="inlineStr">
        <is>
          <t>&gt;=</t>
        </is>
      </c>
      <c r="F10" t="n">
        <v>98.0</v>
      </c>
      <c r="G10"/>
      <c r="H10"/>
      <c r="I10"/>
      <c r="J10"/>
      <c r="K10" t="inlineStr">
        <is>
          <t>Lithobates pipiens</t>
        </is>
      </c>
      <c r="L10" t="inlineStr">
        <is>
          <t>Leopard Frog</t>
        </is>
      </c>
      <c r="M10" t="inlineStr">
        <is>
          <t>Amphibians; Standard Test Species</t>
        </is>
      </c>
      <c r="N10" t="inlineStr">
        <is>
          <t>Tadpole</t>
        </is>
      </c>
      <c r="O10"/>
      <c r="P10" t="n">
        <v>26.0</v>
      </c>
      <c r="Q10"/>
      <c r="R10"/>
      <c r="S10"/>
      <c r="T10"/>
      <c r="U10" t="inlineStr">
        <is>
          <t>Gosner stage</t>
        </is>
      </c>
      <c r="V10" t="inlineStr">
        <is>
          <t>Renewal</t>
        </is>
      </c>
      <c r="W10" t="inlineStr">
        <is>
          <t>Fresh water</t>
        </is>
      </c>
      <c r="X10" t="inlineStr">
        <is>
          <t>Lab</t>
        </is>
      </c>
      <c r="Y10" t="n">
        <v>4.0</v>
      </c>
      <c r="Z10" t="inlineStr">
        <is>
          <t>Active ingredient</t>
        </is>
      </c>
      <c r="AA10"/>
      <c r="AB10" t="n">
        <v>0.01</v>
      </c>
      <c r="AC10"/>
      <c r="AD10"/>
      <c r="AE10"/>
      <c r="AF10"/>
      <c r="AG10" t="inlineStr">
        <is>
          <t>AI mg/L</t>
        </is>
      </c>
      <c r="AH10"/>
      <c r="AI10"/>
      <c r="AJ10"/>
      <c r="AK10"/>
      <c r="AL10"/>
      <c r="AM10"/>
      <c r="AN10"/>
      <c r="AO10"/>
      <c r="AP10"/>
      <c r="AQ10"/>
      <c r="AR10"/>
      <c r="AS10"/>
      <c r="AT10"/>
      <c r="AU10"/>
      <c r="AV10"/>
      <c r="AW10"/>
      <c r="AX10" t="inlineStr">
        <is>
          <t>Accumulation</t>
        </is>
      </c>
      <c r="AY10" t="inlineStr">
        <is>
          <t>Residue</t>
        </is>
      </c>
      <c r="AZ10" t="inlineStr">
        <is>
          <t>BCF</t>
        </is>
      </c>
      <c r="BA10" t="inlineStr">
        <is>
          <t>Whole organism</t>
        </is>
      </c>
      <c r="BB10"/>
      <c r="BC10" t="n">
        <v>40.0</v>
      </c>
      <c r="BD10"/>
      <c r="BE10"/>
      <c r="BF10"/>
      <c r="BG10"/>
      <c r="BH10" t="inlineStr">
        <is>
          <t>Day(s)</t>
        </is>
      </c>
      <c r="BI10"/>
      <c r="BJ10"/>
      <c r="BK10" t="inlineStr">
        <is>
          <t>&gt;</t>
        </is>
      </c>
      <c r="BL10" t="n">
        <v>0.1</v>
      </c>
      <c r="BM10" t="inlineStr">
        <is>
          <t>&lt;</t>
        </is>
      </c>
      <c r="BN10" t="n">
        <v>1.0</v>
      </c>
      <c r="BO10" t="inlineStr">
        <is>
          <t>RA</t>
        </is>
      </c>
      <c r="BP10"/>
      <c r="BQ10"/>
      <c r="BR10"/>
      <c r="BS10"/>
      <c r="BT10"/>
      <c r="BU10"/>
      <c r="BV10"/>
      <c r="BW10"/>
      <c r="BX10"/>
      <c r="BY10"/>
      <c r="BZ10"/>
      <c r="CA10"/>
      <c r="CB10"/>
      <c r="CC10"/>
      <c r="CD10" t="inlineStr">
        <is>
          <t>Hoover,G.M., M.F. Chislock, B.J. Tornabene, S.C. Guffey, Y.J. Choi, C. De Perre, J.T. Hoverman, L.S. Lee, and M.S. Sepu</t>
        </is>
      </c>
      <c r="CE10" t="n">
        <v>176982.0</v>
      </c>
      <c r="CF10" t="inlineStr">
        <is>
          <t>Uptake and Depuration of Four Per/Polyfluoroalkyl Substances (PFASs) in Northern Leopard Frog Rana pipiens Tadpoles</t>
        </is>
      </c>
      <c r="CG10" t="inlineStr">
        <is>
          <t>Environ. Sci. Technol. Lett.4(10): 399-403</t>
        </is>
      </c>
      <c r="CH10" t="n">
        <v>2017.0</v>
      </c>
      <c r="CI10"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1">
      <c r="A11" t="n">
        <v>355464.0</v>
      </c>
      <c r="B11" t="inlineStr">
        <is>
          <t>1,1,2,2,3,3,4,4,5,5,6,6,6-Tridecafluoro-1-hexanesulfonic acid</t>
        </is>
      </c>
      <c r="C11"/>
      <c r="D11" t="inlineStr">
        <is>
          <t>Chemical analysis reported</t>
        </is>
      </c>
      <c r="E11" t="inlineStr">
        <is>
          <t>&gt;=</t>
        </is>
      </c>
      <c r="F11" t="n">
        <v>98.0</v>
      </c>
      <c r="G11"/>
      <c r="H11"/>
      <c r="I11"/>
      <c r="J11"/>
      <c r="K11" t="inlineStr">
        <is>
          <t>Lithobates pipiens</t>
        </is>
      </c>
      <c r="L11" t="inlineStr">
        <is>
          <t>Leopard Frog</t>
        </is>
      </c>
      <c r="M11" t="inlineStr">
        <is>
          <t>Amphibians; Standard Test Species</t>
        </is>
      </c>
      <c r="N11" t="inlineStr">
        <is>
          <t>Tadpole</t>
        </is>
      </c>
      <c r="O11"/>
      <c r="P11" t="n">
        <v>26.0</v>
      </c>
      <c r="Q11"/>
      <c r="R11"/>
      <c r="S11"/>
      <c r="T11"/>
      <c r="U11" t="inlineStr">
        <is>
          <t>Gosner stage</t>
        </is>
      </c>
      <c r="V11" t="inlineStr">
        <is>
          <t>Renewal</t>
        </is>
      </c>
      <c r="W11" t="inlineStr">
        <is>
          <t>Fresh water</t>
        </is>
      </c>
      <c r="X11" t="inlineStr">
        <is>
          <t>Lab</t>
        </is>
      </c>
      <c r="Y11" t="n">
        <v>4.0</v>
      </c>
      <c r="Z11" t="inlineStr">
        <is>
          <t>Active ingredient</t>
        </is>
      </c>
      <c r="AA11"/>
      <c r="AB11" t="n">
        <v>1.0</v>
      </c>
      <c r="AC11"/>
      <c r="AD11"/>
      <c r="AE11"/>
      <c r="AF11"/>
      <c r="AG11" t="inlineStr">
        <is>
          <t>AI mg/L</t>
        </is>
      </c>
      <c r="AH11"/>
      <c r="AI11"/>
      <c r="AJ11"/>
      <c r="AK11"/>
      <c r="AL11"/>
      <c r="AM11"/>
      <c r="AN11"/>
      <c r="AO11"/>
      <c r="AP11"/>
      <c r="AQ11"/>
      <c r="AR11"/>
      <c r="AS11"/>
      <c r="AT11"/>
      <c r="AU11"/>
      <c r="AV11"/>
      <c r="AW11"/>
      <c r="AX11" t="inlineStr">
        <is>
          <t>Accumulation</t>
        </is>
      </c>
      <c r="AY11" t="inlineStr">
        <is>
          <t>Residue</t>
        </is>
      </c>
      <c r="AZ11" t="inlineStr">
        <is>
          <t>BCF</t>
        </is>
      </c>
      <c r="BA11" t="inlineStr">
        <is>
          <t>Whole organism</t>
        </is>
      </c>
      <c r="BB11"/>
      <c r="BC11" t="n">
        <v>10.0</v>
      </c>
      <c r="BD11"/>
      <c r="BE11"/>
      <c r="BF11"/>
      <c r="BG11"/>
      <c r="BH11" t="inlineStr">
        <is>
          <t>Day(s)</t>
        </is>
      </c>
      <c r="BI11"/>
      <c r="BJ11"/>
      <c r="BK11" t="inlineStr">
        <is>
          <t>&gt;</t>
        </is>
      </c>
      <c r="BL11" t="n">
        <v>0.1</v>
      </c>
      <c r="BM11" t="inlineStr">
        <is>
          <t>&lt;</t>
        </is>
      </c>
      <c r="BN11" t="n">
        <v>1.0</v>
      </c>
      <c r="BO11" t="inlineStr">
        <is>
          <t>RA</t>
        </is>
      </c>
      <c r="BP11"/>
      <c r="BQ11"/>
      <c r="BR11"/>
      <c r="BS11"/>
      <c r="BT11"/>
      <c r="BU11"/>
      <c r="BV11"/>
      <c r="BW11"/>
      <c r="BX11"/>
      <c r="BY11"/>
      <c r="BZ11"/>
      <c r="CA11"/>
      <c r="CB11"/>
      <c r="CC11"/>
      <c r="CD11" t="inlineStr">
        <is>
          <t>Hoover,G.M., M.F. Chislock, B.J. Tornabene, S.C. Guffey, Y.J. Choi, C. De Perre, J.T. Hoverman, L.S. Lee, and M.S. Sepu</t>
        </is>
      </c>
      <c r="CE11" t="n">
        <v>176982.0</v>
      </c>
      <c r="CF11" t="inlineStr">
        <is>
          <t>Uptake and Depuration of Four Per/Polyfluoroalkyl Substances (PFASs) in Northern Leopard Frog Rana pipiens Tadpoles</t>
        </is>
      </c>
      <c r="CG11" t="inlineStr">
        <is>
          <t>Environ. Sci. Technol. Lett.4(10): 399-403</t>
        </is>
      </c>
      <c r="CH11" t="n">
        <v>2017.0</v>
      </c>
      <c r="CI11"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2">
      <c r="A12" t="n">
        <v>355464.0</v>
      </c>
      <c r="B12" t="inlineStr">
        <is>
          <t>1,1,2,2,3,3,4,4,5,5,6,6,6-Tridecafluoro-1-hexanesulfonic acid</t>
        </is>
      </c>
      <c r="C12"/>
      <c r="D12" t="inlineStr">
        <is>
          <t>Chemical analysis reported</t>
        </is>
      </c>
      <c r="E12" t="inlineStr">
        <is>
          <t>&gt;=</t>
        </is>
      </c>
      <c r="F12" t="n">
        <v>98.0</v>
      </c>
      <c r="G12"/>
      <c r="H12"/>
      <c r="I12"/>
      <c r="J12"/>
      <c r="K12" t="inlineStr">
        <is>
          <t>Lithobates pipiens</t>
        </is>
      </c>
      <c r="L12" t="inlineStr">
        <is>
          <t>Leopard Frog</t>
        </is>
      </c>
      <c r="M12" t="inlineStr">
        <is>
          <t>Amphibians; Standard Test Species</t>
        </is>
      </c>
      <c r="N12" t="inlineStr">
        <is>
          <t>Tadpole</t>
        </is>
      </c>
      <c r="O12"/>
      <c r="P12" t="n">
        <v>26.0</v>
      </c>
      <c r="Q12"/>
      <c r="R12"/>
      <c r="S12"/>
      <c r="T12"/>
      <c r="U12" t="inlineStr">
        <is>
          <t>Gosner stage</t>
        </is>
      </c>
      <c r="V12" t="inlineStr">
        <is>
          <t>Renewal</t>
        </is>
      </c>
      <c r="W12" t="inlineStr">
        <is>
          <t>Fresh water</t>
        </is>
      </c>
      <c r="X12" t="inlineStr">
        <is>
          <t>Lab</t>
        </is>
      </c>
      <c r="Y12" t="n">
        <v>4.0</v>
      </c>
      <c r="Z12" t="inlineStr">
        <is>
          <t>Active ingredient</t>
        </is>
      </c>
      <c r="AA12"/>
      <c r="AB12" t="n">
        <v>0.01</v>
      </c>
      <c r="AC12"/>
      <c r="AD12"/>
      <c r="AE12"/>
      <c r="AF12"/>
      <c r="AG12" t="inlineStr">
        <is>
          <t>AI mg/L</t>
        </is>
      </c>
      <c r="AH12"/>
      <c r="AI12"/>
      <c r="AJ12"/>
      <c r="AK12"/>
      <c r="AL12"/>
      <c r="AM12"/>
      <c r="AN12"/>
      <c r="AO12"/>
      <c r="AP12"/>
      <c r="AQ12"/>
      <c r="AR12"/>
      <c r="AS12"/>
      <c r="AT12"/>
      <c r="AU12"/>
      <c r="AV12"/>
      <c r="AW12"/>
      <c r="AX12" t="inlineStr">
        <is>
          <t>Accumulation</t>
        </is>
      </c>
      <c r="AY12" t="inlineStr">
        <is>
          <t>Residue</t>
        </is>
      </c>
      <c r="AZ12" t="inlineStr">
        <is>
          <t>BCF</t>
        </is>
      </c>
      <c r="BA12" t="inlineStr">
        <is>
          <t>Whole organism</t>
        </is>
      </c>
      <c r="BB12"/>
      <c r="BC12" t="n">
        <v>20.0</v>
      </c>
      <c r="BD12"/>
      <c r="BE12"/>
      <c r="BF12"/>
      <c r="BG12"/>
      <c r="BH12" t="inlineStr">
        <is>
          <t>Day(s)</t>
        </is>
      </c>
      <c r="BI12"/>
      <c r="BJ12"/>
      <c r="BK12" t="inlineStr">
        <is>
          <t>&gt;</t>
        </is>
      </c>
      <c r="BL12" t="n">
        <v>1.0</v>
      </c>
      <c r="BM12" t="inlineStr">
        <is>
          <t>&lt;</t>
        </is>
      </c>
      <c r="BN12" t="n">
        <v>10.0</v>
      </c>
      <c r="BO12" t="inlineStr">
        <is>
          <t>RA</t>
        </is>
      </c>
      <c r="BP12"/>
      <c r="BQ12"/>
      <c r="BR12"/>
      <c r="BS12"/>
      <c r="BT12"/>
      <c r="BU12"/>
      <c r="BV12"/>
      <c r="BW12"/>
      <c r="BX12"/>
      <c r="BY12"/>
      <c r="BZ12"/>
      <c r="CA12"/>
      <c r="CB12"/>
      <c r="CC12"/>
      <c r="CD12" t="inlineStr">
        <is>
          <t>Hoover,G.M., M.F. Chislock, B.J. Tornabene, S.C. Guffey, Y.J. Choi, C. De Perre, J.T. Hoverman, L.S. Lee, and M.S. Sepu</t>
        </is>
      </c>
      <c r="CE12" t="n">
        <v>176982.0</v>
      </c>
      <c r="CF12" t="inlineStr">
        <is>
          <t>Uptake and Depuration of Four Per/Polyfluoroalkyl Substances (PFASs) in Northern Leopard Frog Rana pipiens Tadpoles</t>
        </is>
      </c>
      <c r="CG12" t="inlineStr">
        <is>
          <t>Environ. Sci. Technol. Lett.4(10): 399-403</t>
        </is>
      </c>
      <c r="CH12" t="n">
        <v>2017.0</v>
      </c>
      <c r="CI12"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3">
      <c r="A13" t="n">
        <v>355464.0</v>
      </c>
      <c r="B13" t="inlineStr">
        <is>
          <t>1,1,2,2,3,3,4,4,5,5,6,6,6-Tridecafluoro-1-hexanesulfonic acid</t>
        </is>
      </c>
      <c r="C13"/>
      <c r="D13" t="inlineStr">
        <is>
          <t>Chemical analysis reported</t>
        </is>
      </c>
      <c r="E13" t="inlineStr">
        <is>
          <t>&gt;=</t>
        </is>
      </c>
      <c r="F13" t="n">
        <v>98.0</v>
      </c>
      <c r="G13"/>
      <c r="H13"/>
      <c r="I13"/>
      <c r="J13"/>
      <c r="K13" t="inlineStr">
        <is>
          <t>Lithobates pipiens</t>
        </is>
      </c>
      <c r="L13" t="inlineStr">
        <is>
          <t>Leopard Frog</t>
        </is>
      </c>
      <c r="M13" t="inlineStr">
        <is>
          <t>Amphibians; Standard Test Species</t>
        </is>
      </c>
      <c r="N13" t="inlineStr">
        <is>
          <t>Tadpole</t>
        </is>
      </c>
      <c r="O13"/>
      <c r="P13" t="n">
        <v>26.0</v>
      </c>
      <c r="Q13"/>
      <c r="R13"/>
      <c r="S13"/>
      <c r="T13"/>
      <c r="U13" t="inlineStr">
        <is>
          <t>Gosner stage</t>
        </is>
      </c>
      <c r="V13" t="inlineStr">
        <is>
          <t>Renewal</t>
        </is>
      </c>
      <c r="W13" t="inlineStr">
        <is>
          <t>Fresh water</t>
        </is>
      </c>
      <c r="X13" t="inlineStr">
        <is>
          <t>Lab</t>
        </is>
      </c>
      <c r="Y13" t="n">
        <v>4.0</v>
      </c>
      <c r="Z13" t="inlineStr">
        <is>
          <t>Active ingredient</t>
        </is>
      </c>
      <c r="AA13"/>
      <c r="AB13" t="n">
        <v>0.1</v>
      </c>
      <c r="AC13"/>
      <c r="AD13"/>
      <c r="AE13"/>
      <c r="AF13"/>
      <c r="AG13" t="inlineStr">
        <is>
          <t>AI mg/L</t>
        </is>
      </c>
      <c r="AH13"/>
      <c r="AI13"/>
      <c r="AJ13"/>
      <c r="AK13"/>
      <c r="AL13"/>
      <c r="AM13"/>
      <c r="AN13"/>
      <c r="AO13"/>
      <c r="AP13"/>
      <c r="AQ13"/>
      <c r="AR13"/>
      <c r="AS13"/>
      <c r="AT13"/>
      <c r="AU13"/>
      <c r="AV13"/>
      <c r="AW13"/>
      <c r="AX13" t="inlineStr">
        <is>
          <t>Accumulation</t>
        </is>
      </c>
      <c r="AY13" t="inlineStr">
        <is>
          <t>Residue</t>
        </is>
      </c>
      <c r="AZ13" t="inlineStr">
        <is>
          <t>BCF</t>
        </is>
      </c>
      <c r="BA13" t="inlineStr">
        <is>
          <t>Whole organism</t>
        </is>
      </c>
      <c r="BB13"/>
      <c r="BC13" t="n">
        <v>10.0</v>
      </c>
      <c r="BD13"/>
      <c r="BE13"/>
      <c r="BF13"/>
      <c r="BG13"/>
      <c r="BH13" t="inlineStr">
        <is>
          <t>Day(s)</t>
        </is>
      </c>
      <c r="BI13"/>
      <c r="BJ13"/>
      <c r="BK13" t="inlineStr">
        <is>
          <t>&gt;</t>
        </is>
      </c>
      <c r="BL13" t="n">
        <v>1.0</v>
      </c>
      <c r="BM13" t="inlineStr">
        <is>
          <t>&lt;</t>
        </is>
      </c>
      <c r="BN13" t="n">
        <v>10.0</v>
      </c>
      <c r="BO13" t="inlineStr">
        <is>
          <t>RA</t>
        </is>
      </c>
      <c r="BP13"/>
      <c r="BQ13"/>
      <c r="BR13"/>
      <c r="BS13"/>
      <c r="BT13"/>
      <c r="BU13"/>
      <c r="BV13"/>
      <c r="BW13"/>
      <c r="BX13"/>
      <c r="BY13"/>
      <c r="BZ13"/>
      <c r="CA13"/>
      <c r="CB13"/>
      <c r="CC13"/>
      <c r="CD13" t="inlineStr">
        <is>
          <t>Hoover,G.M., M.F. Chislock, B.J. Tornabene, S.C. Guffey, Y.J. Choi, C. De Perre, J.T. Hoverman, L.S. Lee, and M.S. Sepu</t>
        </is>
      </c>
      <c r="CE13" t="n">
        <v>176982.0</v>
      </c>
      <c r="CF13" t="inlineStr">
        <is>
          <t>Uptake and Depuration of Four Per/Polyfluoroalkyl Substances (PFASs) in Northern Leopard Frog Rana pipiens Tadpoles</t>
        </is>
      </c>
      <c r="CG13" t="inlineStr">
        <is>
          <t>Environ. Sci. Technol. Lett.4(10): 399-403</t>
        </is>
      </c>
      <c r="CH13" t="n">
        <v>2017.0</v>
      </c>
      <c r="CI13"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4">
      <c r="A14" t="n">
        <v>355464.0</v>
      </c>
      <c r="B14" t="inlineStr">
        <is>
          <t>1,1,2,2,3,3,4,4,5,5,6,6,6-Tridecafluoro-1-hexanesulfonic acid</t>
        </is>
      </c>
      <c r="C14"/>
      <c r="D14" t="inlineStr">
        <is>
          <t>Chemical analysis reported</t>
        </is>
      </c>
      <c r="E14" t="inlineStr">
        <is>
          <t>&gt;=</t>
        </is>
      </c>
      <c r="F14" t="n">
        <v>98.0</v>
      </c>
      <c r="G14"/>
      <c r="H14"/>
      <c r="I14"/>
      <c r="J14"/>
      <c r="K14" t="inlineStr">
        <is>
          <t>Lithobates pipiens</t>
        </is>
      </c>
      <c r="L14" t="inlineStr">
        <is>
          <t>Leopard Frog</t>
        </is>
      </c>
      <c r="M14" t="inlineStr">
        <is>
          <t>Amphibians; Standard Test Species</t>
        </is>
      </c>
      <c r="N14" t="inlineStr">
        <is>
          <t>Tadpole</t>
        </is>
      </c>
      <c r="O14"/>
      <c r="P14" t="n">
        <v>26.0</v>
      </c>
      <c r="Q14"/>
      <c r="R14"/>
      <c r="S14"/>
      <c r="T14"/>
      <c r="U14" t="inlineStr">
        <is>
          <t>Gosner stage</t>
        </is>
      </c>
      <c r="V14" t="inlineStr">
        <is>
          <t>Renewal</t>
        </is>
      </c>
      <c r="W14" t="inlineStr">
        <is>
          <t>Fresh water</t>
        </is>
      </c>
      <c r="X14" t="inlineStr">
        <is>
          <t>Lab</t>
        </is>
      </c>
      <c r="Y14" t="n">
        <v>4.0</v>
      </c>
      <c r="Z14" t="inlineStr">
        <is>
          <t>Active ingredient</t>
        </is>
      </c>
      <c r="AA14"/>
      <c r="AB14" t="n">
        <v>0.1</v>
      </c>
      <c r="AC14"/>
      <c r="AD14"/>
      <c r="AE14"/>
      <c r="AF14"/>
      <c r="AG14" t="inlineStr">
        <is>
          <t>AI mg/L</t>
        </is>
      </c>
      <c r="AH14"/>
      <c r="AI14"/>
      <c r="AJ14"/>
      <c r="AK14"/>
      <c r="AL14"/>
      <c r="AM14"/>
      <c r="AN14"/>
      <c r="AO14"/>
      <c r="AP14"/>
      <c r="AQ14"/>
      <c r="AR14"/>
      <c r="AS14"/>
      <c r="AT14"/>
      <c r="AU14"/>
      <c r="AV14"/>
      <c r="AW14"/>
      <c r="AX14" t="inlineStr">
        <is>
          <t>Accumulation</t>
        </is>
      </c>
      <c r="AY14" t="inlineStr">
        <is>
          <t>Residue</t>
        </is>
      </c>
      <c r="AZ14" t="inlineStr">
        <is>
          <t>BCF</t>
        </is>
      </c>
      <c r="BA14" t="inlineStr">
        <is>
          <t>Whole organism</t>
        </is>
      </c>
      <c r="BB14"/>
      <c r="BC14" t="n">
        <v>20.0</v>
      </c>
      <c r="BD14"/>
      <c r="BE14"/>
      <c r="BF14"/>
      <c r="BG14"/>
      <c r="BH14" t="inlineStr">
        <is>
          <t>Day(s)</t>
        </is>
      </c>
      <c r="BI14"/>
      <c r="BJ14"/>
      <c r="BK14" t="inlineStr">
        <is>
          <t>&gt;</t>
        </is>
      </c>
      <c r="BL14" t="n">
        <v>1.0</v>
      </c>
      <c r="BM14" t="inlineStr">
        <is>
          <t>&lt;</t>
        </is>
      </c>
      <c r="BN14" t="n">
        <v>10.0</v>
      </c>
      <c r="BO14" t="inlineStr">
        <is>
          <t>RA</t>
        </is>
      </c>
      <c r="BP14"/>
      <c r="BQ14"/>
      <c r="BR14"/>
      <c r="BS14"/>
      <c r="BT14"/>
      <c r="BU14"/>
      <c r="BV14"/>
      <c r="BW14"/>
      <c r="BX14"/>
      <c r="BY14"/>
      <c r="BZ14"/>
      <c r="CA14"/>
      <c r="CB14"/>
      <c r="CC14"/>
      <c r="CD14" t="inlineStr">
        <is>
          <t>Hoover,G.M., M.F. Chislock, B.J. Tornabene, S.C. Guffey, Y.J. Choi, C. De Perre, J.T. Hoverman, L.S. Lee, and M.S. Sepu</t>
        </is>
      </c>
      <c r="CE14" t="n">
        <v>176982.0</v>
      </c>
      <c r="CF14" t="inlineStr">
        <is>
          <t>Uptake and Depuration of Four Per/Polyfluoroalkyl Substances (PFASs) in Northern Leopard Frog Rana pipiens Tadpoles</t>
        </is>
      </c>
      <c r="CG14" t="inlineStr">
        <is>
          <t>Environ. Sci. Technol. Lett.4(10): 399-403</t>
        </is>
      </c>
      <c r="CH14" t="n">
        <v>2017.0</v>
      </c>
      <c r="CI14"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5">
      <c r="A15" t="n">
        <v>355464.0</v>
      </c>
      <c r="B15" t="inlineStr">
        <is>
          <t>1,1,2,2,3,3,4,4,5,5,6,6,6-Tridecafluoro-1-hexanesulfonic acid</t>
        </is>
      </c>
      <c r="C15"/>
      <c r="D15" t="inlineStr">
        <is>
          <t>Chemical analysis reported</t>
        </is>
      </c>
      <c r="E15" t="inlineStr">
        <is>
          <t>&gt;=</t>
        </is>
      </c>
      <c r="F15" t="n">
        <v>98.0</v>
      </c>
      <c r="G15"/>
      <c r="H15"/>
      <c r="I15"/>
      <c r="J15"/>
      <c r="K15" t="inlineStr">
        <is>
          <t>Lithobates pipiens</t>
        </is>
      </c>
      <c r="L15" t="inlineStr">
        <is>
          <t>Leopard Frog</t>
        </is>
      </c>
      <c r="M15" t="inlineStr">
        <is>
          <t>Amphibians; Standard Test Species</t>
        </is>
      </c>
      <c r="N15" t="inlineStr">
        <is>
          <t>Tadpole</t>
        </is>
      </c>
      <c r="O15"/>
      <c r="P15" t="n">
        <v>26.0</v>
      </c>
      <c r="Q15"/>
      <c r="R15"/>
      <c r="S15"/>
      <c r="T15"/>
      <c r="U15" t="inlineStr">
        <is>
          <t>Gosner stage</t>
        </is>
      </c>
      <c r="V15" t="inlineStr">
        <is>
          <t>Renewal</t>
        </is>
      </c>
      <c r="W15" t="inlineStr">
        <is>
          <t>Fresh water</t>
        </is>
      </c>
      <c r="X15" t="inlineStr">
        <is>
          <t>Lab</t>
        </is>
      </c>
      <c r="Y15" t="n">
        <v>4.0</v>
      </c>
      <c r="Z15" t="inlineStr">
        <is>
          <t>Active ingredient</t>
        </is>
      </c>
      <c r="AA15"/>
      <c r="AB15" t="n">
        <v>0.01</v>
      </c>
      <c r="AC15"/>
      <c r="AD15"/>
      <c r="AE15"/>
      <c r="AF15"/>
      <c r="AG15" t="inlineStr">
        <is>
          <t>AI mg/L</t>
        </is>
      </c>
      <c r="AH15"/>
      <c r="AI15"/>
      <c r="AJ15"/>
      <c r="AK15"/>
      <c r="AL15"/>
      <c r="AM15"/>
      <c r="AN15"/>
      <c r="AO15"/>
      <c r="AP15"/>
      <c r="AQ15"/>
      <c r="AR15"/>
      <c r="AS15"/>
      <c r="AT15"/>
      <c r="AU15"/>
      <c r="AV15"/>
      <c r="AW15"/>
      <c r="AX15" t="inlineStr">
        <is>
          <t>Accumulation</t>
        </is>
      </c>
      <c r="AY15" t="inlineStr">
        <is>
          <t>Residue</t>
        </is>
      </c>
      <c r="AZ15" t="inlineStr">
        <is>
          <t>BCF</t>
        </is>
      </c>
      <c r="BA15" t="inlineStr">
        <is>
          <t>Whole organism</t>
        </is>
      </c>
      <c r="BB15"/>
      <c r="BC15" t="n">
        <v>10.0</v>
      </c>
      <c r="BD15"/>
      <c r="BE15"/>
      <c r="BF15"/>
      <c r="BG15"/>
      <c r="BH15" t="inlineStr">
        <is>
          <t>Day(s)</t>
        </is>
      </c>
      <c r="BI15"/>
      <c r="BJ15"/>
      <c r="BK15" t="inlineStr">
        <is>
          <t>&gt;</t>
        </is>
      </c>
      <c r="BL15" t="n">
        <v>1.0</v>
      </c>
      <c r="BM15" t="inlineStr">
        <is>
          <t>&lt;</t>
        </is>
      </c>
      <c r="BN15" t="n">
        <v>10.0</v>
      </c>
      <c r="BO15" t="inlineStr">
        <is>
          <t>RA</t>
        </is>
      </c>
      <c r="BP15"/>
      <c r="BQ15"/>
      <c r="BR15"/>
      <c r="BS15"/>
      <c r="BT15"/>
      <c r="BU15"/>
      <c r="BV15"/>
      <c r="BW15"/>
      <c r="BX15"/>
      <c r="BY15"/>
      <c r="BZ15"/>
      <c r="CA15"/>
      <c r="CB15"/>
      <c r="CC15"/>
      <c r="CD15" t="inlineStr">
        <is>
          <t>Hoover,G.M., M.F. Chislock, B.J. Tornabene, S.C. Guffey, Y.J. Choi, C. De Perre, J.T. Hoverman, L.S. Lee, and M.S. Sepu</t>
        </is>
      </c>
      <c r="CE15" t="n">
        <v>176982.0</v>
      </c>
      <c r="CF15" t="inlineStr">
        <is>
          <t>Uptake and Depuration of Four Per/Polyfluoroalkyl Substances (PFASs) in Northern Leopard Frog Rana pipiens Tadpoles</t>
        </is>
      </c>
      <c r="CG15" t="inlineStr">
        <is>
          <t>Environ. Sci. Technol. Lett.4(10): 399-403</t>
        </is>
      </c>
      <c r="CH15" t="n">
        <v>2017.0</v>
      </c>
      <c r="CI15"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row>
    <row r="16">
      <c r="A16" t="n">
        <v>355464.0</v>
      </c>
      <c r="B16" t="inlineStr">
        <is>
          <t>1,1,2,2,3,3,4,4,5,5,6,6,6-Tridecafluoro-1-hexanesulfonic acid</t>
        </is>
      </c>
      <c r="C16" t="inlineStr">
        <is>
          <t>Technical grade, technical product, technical formulation</t>
        </is>
      </c>
      <c r="D16" t="inlineStr">
        <is>
          <t>Measured</t>
        </is>
      </c>
      <c r="E16" t="inlineStr">
        <is>
          <t>&gt;=</t>
        </is>
      </c>
      <c r="F16" t="n">
        <v>98.0</v>
      </c>
      <c r="G16"/>
      <c r="H16"/>
      <c r="I16"/>
      <c r="J16"/>
      <c r="K16" t="inlineStr">
        <is>
          <t>Lithobates pipiens</t>
        </is>
      </c>
      <c r="L16" t="inlineStr">
        <is>
          <t>Leopard Frog</t>
        </is>
      </c>
      <c r="M16" t="inlineStr">
        <is>
          <t>Amphibians; Standard Test Species</t>
        </is>
      </c>
      <c r="N16" t="inlineStr">
        <is>
          <t>Tadpole</t>
        </is>
      </c>
      <c r="O16"/>
      <c r="P16" t="n">
        <v>25.0</v>
      </c>
      <c r="Q16"/>
      <c r="R16"/>
      <c r="S16"/>
      <c r="T16"/>
      <c r="U16" t="inlineStr">
        <is>
          <t>Gosner stage</t>
        </is>
      </c>
      <c r="V16" t="inlineStr">
        <is>
          <t>Renewal</t>
        </is>
      </c>
      <c r="W16" t="inlineStr">
        <is>
          <t>Fresh water</t>
        </is>
      </c>
      <c r="X16" t="inlineStr">
        <is>
          <t>Lab</t>
        </is>
      </c>
      <c r="Y16" t="n">
        <v>3.0</v>
      </c>
      <c r="Z16" t="inlineStr">
        <is>
          <t>Active ingredient</t>
        </is>
      </c>
      <c r="AA16"/>
      <c r="AB16" t="n">
        <v>4.45E-4</v>
      </c>
      <c r="AC16"/>
      <c r="AD16" t="n">
        <v>4.07E-4</v>
      </c>
      <c r="AE16"/>
      <c r="AF16" t="n">
        <v>5.04E-4</v>
      </c>
      <c r="AG16" t="inlineStr">
        <is>
          <t>AI mg/L</t>
        </is>
      </c>
      <c r="AH16"/>
      <c r="AI16"/>
      <c r="AJ16"/>
      <c r="AK16"/>
      <c r="AL16"/>
      <c r="AM16"/>
      <c r="AN16"/>
      <c r="AO16"/>
      <c r="AP16"/>
      <c r="AQ16"/>
      <c r="AR16"/>
      <c r="AS16"/>
      <c r="AT16"/>
      <c r="AU16"/>
      <c r="AV16"/>
      <c r="AW16"/>
      <c r="AX16" t="inlineStr">
        <is>
          <t>Accumulation</t>
        </is>
      </c>
      <c r="AY16" t="inlineStr">
        <is>
          <t>Residue</t>
        </is>
      </c>
      <c r="AZ16" t="inlineStr">
        <is>
          <t>BCF</t>
        </is>
      </c>
      <c r="BA16" t="inlineStr">
        <is>
          <t>Whole organism</t>
        </is>
      </c>
      <c r="BB16"/>
      <c r="BC16" t="n">
        <v>46.0</v>
      </c>
      <c r="BD16"/>
      <c r="BE16"/>
      <c r="BF16"/>
      <c r="BG16"/>
      <c r="BH16" t="inlineStr">
        <is>
          <t>Gosner stage</t>
        </is>
      </c>
      <c r="BI16"/>
      <c r="BJ16" t="n">
        <v>1.07</v>
      </c>
      <c r="BK16"/>
      <c r="BL16"/>
      <c r="BM16"/>
      <c r="BN16"/>
      <c r="BO16" t="inlineStr">
        <is>
          <t>RA</t>
        </is>
      </c>
      <c r="BP16"/>
      <c r="BQ16"/>
      <c r="BR16"/>
      <c r="BS16"/>
      <c r="BT16"/>
      <c r="BU16"/>
      <c r="BV16"/>
      <c r="BW16"/>
      <c r="BX16"/>
      <c r="BY16"/>
      <c r="BZ16"/>
      <c r="CA16"/>
      <c r="CB16"/>
      <c r="CC16"/>
      <c r="CD16" t="inlineStr">
        <is>
          <t>Hoskins,T.D., E.B. Allmon, R.W. Flynn, L.S. Lee, Y. Choi, J.T. Hoverman, and M.S. Sepulveda</t>
        </is>
      </c>
      <c r="CE16" t="n">
        <v>189935.0</v>
      </c>
      <c r="CF16" t="inlineStr">
        <is>
          <t>An Environmentally Relevant Mixture of Perfluorooctanesulfonic Acid and Perfluorohexanesulfonic Acid Does Not Conform to Additivity in Northern Leopard Frogs Exposed Through Metamorphosis</t>
        </is>
      </c>
      <c r="CG16" t="inlineStr">
        <is>
          <t>Environ. Toxicol. Chem.41(12): 3007-3016</t>
        </is>
      </c>
      <c r="CH16" t="n">
        <v>2022.0</v>
      </c>
      <c r="CI16"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17">
      <c r="A17" t="n">
        <v>355464.0</v>
      </c>
      <c r="B17" t="inlineStr">
        <is>
          <t>1,1,2,2,3,3,4,4,5,5,6,6,6-Tridecafluoro-1-hexanesulfonic acid</t>
        </is>
      </c>
      <c r="C17" t="inlineStr">
        <is>
          <t>Technical grade, technical product, technical formulation</t>
        </is>
      </c>
      <c r="D17" t="inlineStr">
        <is>
          <t>Measured</t>
        </is>
      </c>
      <c r="E17" t="inlineStr">
        <is>
          <t>&gt;=</t>
        </is>
      </c>
      <c r="F17" t="n">
        <v>98.0</v>
      </c>
      <c r="G17"/>
      <c r="H17"/>
      <c r="I17"/>
      <c r="J17"/>
      <c r="K17" t="inlineStr">
        <is>
          <t>Lithobates pipiens</t>
        </is>
      </c>
      <c r="L17" t="inlineStr">
        <is>
          <t>Leopard Frog</t>
        </is>
      </c>
      <c r="M17" t="inlineStr">
        <is>
          <t>Amphibians; Standard Test Species</t>
        </is>
      </c>
      <c r="N17" t="inlineStr">
        <is>
          <t>Tadpole</t>
        </is>
      </c>
      <c r="O17"/>
      <c r="P17" t="n">
        <v>25.0</v>
      </c>
      <c r="Q17"/>
      <c r="R17"/>
      <c r="S17"/>
      <c r="T17"/>
      <c r="U17" t="inlineStr">
        <is>
          <t>Gosner stage</t>
        </is>
      </c>
      <c r="V17" t="inlineStr">
        <is>
          <t>Renewal</t>
        </is>
      </c>
      <c r="W17" t="inlineStr">
        <is>
          <t>Fresh water</t>
        </is>
      </c>
      <c r="X17" t="inlineStr">
        <is>
          <t>Lab</t>
        </is>
      </c>
      <c r="Y17" t="n">
        <v>3.0</v>
      </c>
      <c r="Z17" t="inlineStr">
        <is>
          <t>Active ingredient</t>
        </is>
      </c>
      <c r="AA17"/>
      <c r="AB17" t="n">
        <v>0.001183</v>
      </c>
      <c r="AC17"/>
      <c r="AD17" t="n">
        <v>0.001166</v>
      </c>
      <c r="AE17"/>
      <c r="AF17" t="n">
        <v>0.001207</v>
      </c>
      <c r="AG17" t="inlineStr">
        <is>
          <t>AI mg/L</t>
        </is>
      </c>
      <c r="AH17"/>
      <c r="AI17"/>
      <c r="AJ17"/>
      <c r="AK17"/>
      <c r="AL17"/>
      <c r="AM17"/>
      <c r="AN17"/>
      <c r="AO17"/>
      <c r="AP17"/>
      <c r="AQ17"/>
      <c r="AR17"/>
      <c r="AS17"/>
      <c r="AT17"/>
      <c r="AU17"/>
      <c r="AV17"/>
      <c r="AW17"/>
      <c r="AX17" t="inlineStr">
        <is>
          <t>Accumulation</t>
        </is>
      </c>
      <c r="AY17" t="inlineStr">
        <is>
          <t>Residue</t>
        </is>
      </c>
      <c r="AZ17" t="inlineStr">
        <is>
          <t>BCF</t>
        </is>
      </c>
      <c r="BA17" t="inlineStr">
        <is>
          <t>Whole organism</t>
        </is>
      </c>
      <c r="BB17"/>
      <c r="BC17" t="n">
        <v>46.0</v>
      </c>
      <c r="BD17"/>
      <c r="BE17"/>
      <c r="BF17"/>
      <c r="BG17"/>
      <c r="BH17" t="inlineStr">
        <is>
          <t>Gosner stage</t>
        </is>
      </c>
      <c r="BI17"/>
      <c r="BJ17" t="n">
        <v>1.3</v>
      </c>
      <c r="BK17"/>
      <c r="BL17"/>
      <c r="BM17"/>
      <c r="BN17"/>
      <c r="BO17" t="inlineStr">
        <is>
          <t>RA</t>
        </is>
      </c>
      <c r="BP17"/>
      <c r="BQ17"/>
      <c r="BR17"/>
      <c r="BS17"/>
      <c r="BT17"/>
      <c r="BU17"/>
      <c r="BV17"/>
      <c r="BW17"/>
      <c r="BX17"/>
      <c r="BY17"/>
      <c r="BZ17"/>
      <c r="CA17"/>
      <c r="CB17"/>
      <c r="CC17"/>
      <c r="CD17" t="inlineStr">
        <is>
          <t>Hoskins,T.D., E.B. Allmon, R.W. Flynn, L.S. Lee, Y. Choi, J.T. Hoverman, and M.S. Sepulveda</t>
        </is>
      </c>
      <c r="CE17" t="n">
        <v>189935.0</v>
      </c>
      <c r="CF17" t="inlineStr">
        <is>
          <t>An Environmentally Relevant Mixture of Perfluorooctanesulfonic Acid and Perfluorohexanesulfonic Acid Does Not Conform to Additivity in Northern Leopard Frogs Exposed Through Metamorphosis</t>
        </is>
      </c>
      <c r="CG17" t="inlineStr">
        <is>
          <t>Environ. Toxicol. Chem.41(12): 3007-3016</t>
        </is>
      </c>
      <c r="CH17" t="n">
        <v>2022.0</v>
      </c>
      <c r="CI17"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18">
      <c r="A18" t="n">
        <v>355464.0</v>
      </c>
      <c r="B18" t="inlineStr">
        <is>
          <t>1,1,2,2,3,3,4,4,5,5,6,6,6-Tridecafluoro-1-hexanesulfonic acid</t>
        </is>
      </c>
      <c r="C18" t="inlineStr">
        <is>
          <t>Technical grade, technical product, technical formulation</t>
        </is>
      </c>
      <c r="D18" t="inlineStr">
        <is>
          <t>Measured</t>
        </is>
      </c>
      <c r="E18" t="inlineStr">
        <is>
          <t>&gt;=</t>
        </is>
      </c>
      <c r="F18" t="n">
        <v>98.0</v>
      </c>
      <c r="G18"/>
      <c r="H18"/>
      <c r="I18"/>
      <c r="J18"/>
      <c r="K18" t="inlineStr">
        <is>
          <t>Lithobates pipiens</t>
        </is>
      </c>
      <c r="L18" t="inlineStr">
        <is>
          <t>Leopard Frog</t>
        </is>
      </c>
      <c r="M18" t="inlineStr">
        <is>
          <t>Amphibians; Standard Test Species</t>
        </is>
      </c>
      <c r="N18" t="inlineStr">
        <is>
          <t>Tadpole</t>
        </is>
      </c>
      <c r="O18"/>
      <c r="P18" t="n">
        <v>25.0</v>
      </c>
      <c r="Q18"/>
      <c r="R18"/>
      <c r="S18"/>
      <c r="T18"/>
      <c r="U18" t="inlineStr">
        <is>
          <t>Gosner stage</t>
        </is>
      </c>
      <c r="V18" t="inlineStr">
        <is>
          <t>Renewal</t>
        </is>
      </c>
      <c r="W18" t="inlineStr">
        <is>
          <t>Fresh water</t>
        </is>
      </c>
      <c r="X18" t="inlineStr">
        <is>
          <t>Lab</t>
        </is>
      </c>
      <c r="Y18" t="n">
        <v>3.0</v>
      </c>
      <c r="Z18" t="inlineStr">
        <is>
          <t>Active ingredient</t>
        </is>
      </c>
      <c r="AA18"/>
      <c r="AB18" t="n">
        <v>4.45E-4</v>
      </c>
      <c r="AC18"/>
      <c r="AD18" t="n">
        <v>4.07E-4</v>
      </c>
      <c r="AE18"/>
      <c r="AF18" t="n">
        <v>5.04E-4</v>
      </c>
      <c r="AG18" t="inlineStr">
        <is>
          <t>AI mg/L</t>
        </is>
      </c>
      <c r="AH18"/>
      <c r="AI18"/>
      <c r="AJ18"/>
      <c r="AK18"/>
      <c r="AL18"/>
      <c r="AM18"/>
      <c r="AN18"/>
      <c r="AO18"/>
      <c r="AP18"/>
      <c r="AQ18"/>
      <c r="AR18"/>
      <c r="AS18"/>
      <c r="AT18"/>
      <c r="AU18"/>
      <c r="AV18"/>
      <c r="AW18"/>
      <c r="AX18" t="inlineStr">
        <is>
          <t>Accumulation</t>
        </is>
      </c>
      <c r="AY18" t="inlineStr">
        <is>
          <t>Residue</t>
        </is>
      </c>
      <c r="AZ18" t="inlineStr">
        <is>
          <t>LOEC</t>
        </is>
      </c>
      <c r="BA18" t="inlineStr">
        <is>
          <t>Whole organism</t>
        </is>
      </c>
      <c r="BB18"/>
      <c r="BC18" t="n">
        <v>31.0</v>
      </c>
      <c r="BD18"/>
      <c r="BE18"/>
      <c r="BF18"/>
      <c r="BG18"/>
      <c r="BH18" t="inlineStr">
        <is>
          <t>Day(s)</t>
        </is>
      </c>
      <c r="BI18"/>
      <c r="BJ18"/>
      <c r="BK18"/>
      <c r="BL18"/>
      <c r="BM18"/>
      <c r="BN18"/>
      <c r="BO18" t="inlineStr">
        <is>
          <t>--</t>
        </is>
      </c>
      <c r="BP18"/>
      <c r="BQ18"/>
      <c r="BR18"/>
      <c r="BS18"/>
      <c r="BT18"/>
      <c r="BU18"/>
      <c r="BV18"/>
      <c r="BW18"/>
      <c r="BX18"/>
      <c r="BY18"/>
      <c r="BZ18"/>
      <c r="CA18"/>
      <c r="CB18"/>
      <c r="CC18"/>
      <c r="CD18" t="inlineStr">
        <is>
          <t>Hoskins,T.D., E.B. Allmon, R.W. Flynn, L.S. Lee, Y. Choi, J.T. Hoverman, and M.S. Sepulveda</t>
        </is>
      </c>
      <c r="CE18" t="n">
        <v>189935.0</v>
      </c>
      <c r="CF18" t="inlineStr">
        <is>
          <t>An Environmentally Relevant Mixture of Perfluorooctanesulfonic Acid and Perfluorohexanesulfonic Acid Does Not Conform to Additivity in Northern Leopard Frogs Exposed Through Metamorphosis</t>
        </is>
      </c>
      <c r="CG18" t="inlineStr">
        <is>
          <t>Environ. Toxicol. Chem.41(12): 3007-3016</t>
        </is>
      </c>
      <c r="CH18" t="n">
        <v>2022.0</v>
      </c>
      <c r="CI18"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19">
      <c r="A19" t="n">
        <v>355464.0</v>
      </c>
      <c r="B19" t="inlineStr">
        <is>
          <t>1,1,2,2,3,3,4,4,5,5,6,6,6-Tridecafluoro-1-hexanesulfonic acid</t>
        </is>
      </c>
      <c r="C19" t="inlineStr">
        <is>
          <t>Technical grade, technical product, technical formulation</t>
        </is>
      </c>
      <c r="D19" t="inlineStr">
        <is>
          <t>Measured</t>
        </is>
      </c>
      <c r="E19" t="inlineStr">
        <is>
          <t>&gt;=</t>
        </is>
      </c>
      <c r="F19" t="n">
        <v>98.0</v>
      </c>
      <c r="G19"/>
      <c r="H19"/>
      <c r="I19"/>
      <c r="J19"/>
      <c r="K19" t="inlineStr">
        <is>
          <t>Lithobates pipiens</t>
        </is>
      </c>
      <c r="L19" t="inlineStr">
        <is>
          <t>Leopard Frog</t>
        </is>
      </c>
      <c r="M19" t="inlineStr">
        <is>
          <t>Amphibians; Standard Test Species</t>
        </is>
      </c>
      <c r="N19" t="inlineStr">
        <is>
          <t>Tadpole</t>
        </is>
      </c>
      <c r="O19"/>
      <c r="P19" t="n">
        <v>25.0</v>
      </c>
      <c r="Q19"/>
      <c r="R19"/>
      <c r="S19"/>
      <c r="T19"/>
      <c r="U19" t="inlineStr">
        <is>
          <t>Gosner stage</t>
        </is>
      </c>
      <c r="V19" t="inlineStr">
        <is>
          <t>Renewal</t>
        </is>
      </c>
      <c r="W19" t="inlineStr">
        <is>
          <t>Fresh water</t>
        </is>
      </c>
      <c r="X19" t="inlineStr">
        <is>
          <t>Lab</t>
        </is>
      </c>
      <c r="Y19" t="n">
        <v>3.0</v>
      </c>
      <c r="Z19" t="inlineStr">
        <is>
          <t>Active ingredient</t>
        </is>
      </c>
      <c r="AA19"/>
      <c r="AB19" t="n">
        <v>0.001183</v>
      </c>
      <c r="AC19"/>
      <c r="AD19" t="n">
        <v>0.001166</v>
      </c>
      <c r="AE19"/>
      <c r="AF19" t="n">
        <v>0.001207</v>
      </c>
      <c r="AG19" t="inlineStr">
        <is>
          <t>AI mg/L</t>
        </is>
      </c>
      <c r="AH19"/>
      <c r="AI19"/>
      <c r="AJ19"/>
      <c r="AK19"/>
      <c r="AL19"/>
      <c r="AM19"/>
      <c r="AN19"/>
      <c r="AO19"/>
      <c r="AP19"/>
      <c r="AQ19"/>
      <c r="AR19"/>
      <c r="AS19"/>
      <c r="AT19"/>
      <c r="AU19"/>
      <c r="AV19"/>
      <c r="AW19"/>
      <c r="AX19" t="inlineStr">
        <is>
          <t>Accumulation</t>
        </is>
      </c>
      <c r="AY19" t="inlineStr">
        <is>
          <t>Residue</t>
        </is>
      </c>
      <c r="AZ19" t="inlineStr">
        <is>
          <t>LOEC</t>
        </is>
      </c>
      <c r="BA19" t="inlineStr">
        <is>
          <t>Whole organism</t>
        </is>
      </c>
      <c r="BB19"/>
      <c r="BC19"/>
      <c r="BD19"/>
      <c r="BE19" t="n">
        <v>42.0</v>
      </c>
      <c r="BF19"/>
      <c r="BG19" t="n">
        <v>46.0</v>
      </c>
      <c r="BH19" t="inlineStr">
        <is>
          <t>Gosner stage</t>
        </is>
      </c>
      <c r="BI19"/>
      <c r="BJ19"/>
      <c r="BK19"/>
      <c r="BL19"/>
      <c r="BM19"/>
      <c r="BN19"/>
      <c r="BO19" t="inlineStr">
        <is>
          <t>--</t>
        </is>
      </c>
      <c r="BP19"/>
      <c r="BQ19"/>
      <c r="BR19"/>
      <c r="BS19"/>
      <c r="BT19"/>
      <c r="BU19"/>
      <c r="BV19"/>
      <c r="BW19"/>
      <c r="BX19"/>
      <c r="BY19"/>
      <c r="BZ19"/>
      <c r="CA19"/>
      <c r="CB19"/>
      <c r="CC19"/>
      <c r="CD19" t="inlineStr">
        <is>
          <t>Hoskins,T.D., E.B. Allmon, R.W. Flynn, L.S. Lee, Y. Choi, J.T. Hoverman, and M.S. Sepulveda</t>
        </is>
      </c>
      <c r="CE19" t="n">
        <v>189935.0</v>
      </c>
      <c r="CF19" t="inlineStr">
        <is>
          <t>An Environmentally Relevant Mixture of Perfluorooctanesulfonic Acid and Perfluorohexanesulfonic Acid Does Not Conform to Additivity in Northern Leopard Frogs Exposed Through Metamorphosis</t>
        </is>
      </c>
      <c r="CG19" t="inlineStr">
        <is>
          <t>Environ. Toxicol. Chem.41(12): 3007-3016</t>
        </is>
      </c>
      <c r="CH19" t="n">
        <v>2022.0</v>
      </c>
      <c r="CI19"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20">
      <c r="A20" t="n">
        <v>355464.0</v>
      </c>
      <c r="B20" t="inlineStr">
        <is>
          <t>1,1,2,2,3,3,4,4,5,5,6,6,6-Tridecafluoro-1-hexanesulfonic acid</t>
        </is>
      </c>
      <c r="C20" t="inlineStr">
        <is>
          <t>Technical grade, technical product, technical formulation</t>
        </is>
      </c>
      <c r="D20" t="inlineStr">
        <is>
          <t>Measured</t>
        </is>
      </c>
      <c r="E20" t="inlineStr">
        <is>
          <t>&gt;=</t>
        </is>
      </c>
      <c r="F20" t="n">
        <v>98.0</v>
      </c>
      <c r="G20"/>
      <c r="H20"/>
      <c r="I20"/>
      <c r="J20"/>
      <c r="K20" t="inlineStr">
        <is>
          <t>Lithobates pipiens</t>
        </is>
      </c>
      <c r="L20" t="inlineStr">
        <is>
          <t>Leopard Frog</t>
        </is>
      </c>
      <c r="M20" t="inlineStr">
        <is>
          <t>Amphibians; Standard Test Species</t>
        </is>
      </c>
      <c r="N20" t="inlineStr">
        <is>
          <t>Tadpole</t>
        </is>
      </c>
      <c r="O20"/>
      <c r="P20" t="n">
        <v>25.0</v>
      </c>
      <c r="Q20"/>
      <c r="R20"/>
      <c r="S20"/>
      <c r="T20"/>
      <c r="U20" t="inlineStr">
        <is>
          <t>Gosner stage</t>
        </is>
      </c>
      <c r="V20" t="inlineStr">
        <is>
          <t>Renewal</t>
        </is>
      </c>
      <c r="W20" t="inlineStr">
        <is>
          <t>Fresh water</t>
        </is>
      </c>
      <c r="X20" t="inlineStr">
        <is>
          <t>Lab</t>
        </is>
      </c>
      <c r="Y20" t="n">
        <v>3.0</v>
      </c>
      <c r="Z20" t="inlineStr">
        <is>
          <t>Active ingredient</t>
        </is>
      </c>
      <c r="AA20"/>
      <c r="AB20" t="n">
        <v>4.45E-4</v>
      </c>
      <c r="AC20"/>
      <c r="AD20" t="n">
        <v>4.07E-4</v>
      </c>
      <c r="AE20"/>
      <c r="AF20" t="n">
        <v>5.04E-4</v>
      </c>
      <c r="AG20" t="inlineStr">
        <is>
          <t>AI mg/L</t>
        </is>
      </c>
      <c r="AH20"/>
      <c r="AI20"/>
      <c r="AJ20"/>
      <c r="AK20"/>
      <c r="AL20"/>
      <c r="AM20"/>
      <c r="AN20"/>
      <c r="AO20"/>
      <c r="AP20"/>
      <c r="AQ20"/>
      <c r="AR20"/>
      <c r="AS20"/>
      <c r="AT20"/>
      <c r="AU20"/>
      <c r="AV20"/>
      <c r="AW20"/>
      <c r="AX20" t="inlineStr">
        <is>
          <t>Accumulation</t>
        </is>
      </c>
      <c r="AY20" t="inlineStr">
        <is>
          <t>Residue</t>
        </is>
      </c>
      <c r="AZ20" t="inlineStr">
        <is>
          <t>NOEC</t>
        </is>
      </c>
      <c r="BA20" t="inlineStr">
        <is>
          <t>Whole organism</t>
        </is>
      </c>
      <c r="BB20"/>
      <c r="BC20"/>
      <c r="BD20"/>
      <c r="BE20" t="n">
        <v>42.0</v>
      </c>
      <c r="BF20"/>
      <c r="BG20" t="n">
        <v>46.0</v>
      </c>
      <c r="BH20" t="inlineStr">
        <is>
          <t>Gosner stage</t>
        </is>
      </c>
      <c r="BI20"/>
      <c r="BJ20"/>
      <c r="BK20"/>
      <c r="BL20"/>
      <c r="BM20"/>
      <c r="BN20"/>
      <c r="BO20" t="inlineStr">
        <is>
          <t>--</t>
        </is>
      </c>
      <c r="BP20"/>
      <c r="BQ20"/>
      <c r="BR20"/>
      <c r="BS20"/>
      <c r="BT20"/>
      <c r="BU20"/>
      <c r="BV20"/>
      <c r="BW20"/>
      <c r="BX20"/>
      <c r="BY20"/>
      <c r="BZ20"/>
      <c r="CA20"/>
      <c r="CB20"/>
      <c r="CC20"/>
      <c r="CD20" t="inlineStr">
        <is>
          <t>Hoskins,T.D., E.B. Allmon, R.W. Flynn, L.S. Lee, Y. Choi, J.T. Hoverman, and M.S. Sepulveda</t>
        </is>
      </c>
      <c r="CE20" t="n">
        <v>189935.0</v>
      </c>
      <c r="CF20" t="inlineStr">
        <is>
          <t>An Environmentally Relevant Mixture of Perfluorooctanesulfonic Acid and Perfluorohexanesulfonic Acid Does Not Conform to Additivity in Northern Leopard Frogs Exposed Through Metamorphosis</t>
        </is>
      </c>
      <c r="CG20" t="inlineStr">
        <is>
          <t>Environ. Toxicol. Chem.41(12): 3007-3016</t>
        </is>
      </c>
      <c r="CH20" t="n">
        <v>2022.0</v>
      </c>
      <c r="CI20"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row>
    <row r="21">
      <c r="A21" t="n">
        <v>355464.0</v>
      </c>
      <c r="B21" t="inlineStr">
        <is>
          <t>1,1,2,2,3,3,4,4,5,5,6,6,6-Tridecafluoro-1-hexanesulfonic acid</t>
        </is>
      </c>
      <c r="C21" t="inlineStr">
        <is>
          <t>Analytical grade</t>
        </is>
      </c>
      <c r="D21" t="inlineStr">
        <is>
          <t>Measured</t>
        </is>
      </c>
      <c r="E21"/>
      <c r="F21"/>
      <c r="G21"/>
      <c r="H21"/>
      <c r="I21"/>
      <c r="J21"/>
      <c r="K21" t="inlineStr">
        <is>
          <t>Afrochiltonia subtenuis</t>
        </is>
      </c>
      <c r="L21" t="inlineStr">
        <is>
          <t>Scud</t>
        </is>
      </c>
      <c r="M21" t="inlineStr">
        <is>
          <t>Crustaceans</t>
        </is>
      </c>
      <c r="N21" t="inlineStr">
        <is>
          <t>Juvenile</t>
        </is>
      </c>
      <c r="O21"/>
      <c r="P21" t="n">
        <v>14.0</v>
      </c>
      <c r="Q21"/>
      <c r="R21"/>
      <c r="S21"/>
      <c r="T21"/>
      <c r="U21" t="inlineStr">
        <is>
          <t>Day(s)</t>
        </is>
      </c>
      <c r="V21" t="inlineStr">
        <is>
          <t>Static</t>
        </is>
      </c>
      <c r="W21" t="inlineStr">
        <is>
          <t>Fresh water</t>
        </is>
      </c>
      <c r="X21" t="inlineStr">
        <is>
          <t>Lab</t>
        </is>
      </c>
      <c r="Y21" t="n">
        <v>2.0</v>
      </c>
      <c r="Z21" t="inlineStr">
        <is>
          <t>Active ingredient</t>
        </is>
      </c>
      <c r="AA21"/>
      <c r="AB21" t="n">
        <v>0.0123</v>
      </c>
      <c r="AC21"/>
      <c r="AD21"/>
      <c r="AE21"/>
      <c r="AF21"/>
      <c r="AG21" t="inlineStr">
        <is>
          <t>AI mg/L</t>
        </is>
      </c>
      <c r="AH21"/>
      <c r="AI21"/>
      <c r="AJ21"/>
      <c r="AK21"/>
      <c r="AL21"/>
      <c r="AM21"/>
      <c r="AN21"/>
      <c r="AO21"/>
      <c r="AP21"/>
      <c r="AQ21"/>
      <c r="AR21"/>
      <c r="AS21"/>
      <c r="AT21"/>
      <c r="AU21"/>
      <c r="AV21"/>
      <c r="AW21"/>
      <c r="AX21" t="inlineStr">
        <is>
          <t>Accumulation</t>
        </is>
      </c>
      <c r="AY21" t="inlineStr">
        <is>
          <t>Residue</t>
        </is>
      </c>
      <c r="AZ21" t="inlineStr">
        <is>
          <t>BCF</t>
        </is>
      </c>
      <c r="BA21" t="inlineStr">
        <is>
          <t>Tissue</t>
        </is>
      </c>
      <c r="BB21"/>
      <c r="BC21" t="n">
        <v>7.0</v>
      </c>
      <c r="BD21"/>
      <c r="BE21"/>
      <c r="BF21"/>
      <c r="BG21"/>
      <c r="BH21" t="inlineStr">
        <is>
          <t>Day(s)</t>
        </is>
      </c>
      <c r="BI21"/>
      <c r="BJ21" t="n">
        <v>0.03</v>
      </c>
      <c r="BK21"/>
      <c r="BL21"/>
      <c r="BM21"/>
      <c r="BN21"/>
      <c r="BO21" t="inlineStr">
        <is>
          <t>L/g</t>
        </is>
      </c>
      <c r="BP21"/>
      <c r="BQ21"/>
      <c r="BR21"/>
      <c r="BS21"/>
      <c r="BT21"/>
      <c r="BU21"/>
      <c r="BV21"/>
      <c r="BW21"/>
      <c r="BX21"/>
      <c r="BY21"/>
      <c r="BZ21"/>
      <c r="CA21"/>
      <c r="CB21"/>
      <c r="CC21"/>
      <c r="CD21" t="inlineStr">
        <is>
          <t>Sinclair,G.M., S.M. Long, N. Singh, T.L. Coggan, M.P.J. Askeland, and O.A.H. Jones</t>
        </is>
      </c>
      <c r="CE21" t="n">
        <v>191156.0</v>
      </c>
      <c r="CF21" t="inlineStr">
        <is>
          <t>Exposure to Environmentally Relevant Levels of PFAS Causes Metabolic Changes in the Freshwater Amphipod Austrochiltonia subtenuis</t>
        </is>
      </c>
      <c r="CG21" t="inlineStr">
        <is>
          <t>Metabolites12(11): 19 p.</t>
        </is>
      </c>
      <c r="CH21" t="n">
        <v>2022.0</v>
      </c>
      <c r="CI21"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22">
      <c r="A22" t="n">
        <v>355464.0</v>
      </c>
      <c r="B22" t="inlineStr">
        <is>
          <t>1,1,2,2,3,3,4,4,5,5,6,6,6-Tridecafluoro-1-hexanesulfonic acid</t>
        </is>
      </c>
      <c r="C22" t="inlineStr">
        <is>
          <t>Analytical grade</t>
        </is>
      </c>
      <c r="D22" t="inlineStr">
        <is>
          <t>Measured</t>
        </is>
      </c>
      <c r="E22"/>
      <c r="F22"/>
      <c r="G22"/>
      <c r="H22"/>
      <c r="I22"/>
      <c r="J22"/>
      <c r="K22" t="inlineStr">
        <is>
          <t>Afrochiltonia subtenuis</t>
        </is>
      </c>
      <c r="L22" t="inlineStr">
        <is>
          <t>Scud</t>
        </is>
      </c>
      <c r="M22" t="inlineStr">
        <is>
          <t>Crustaceans</t>
        </is>
      </c>
      <c r="N22" t="inlineStr">
        <is>
          <t>Juvenile</t>
        </is>
      </c>
      <c r="O22"/>
      <c r="P22" t="n">
        <v>14.0</v>
      </c>
      <c r="Q22"/>
      <c r="R22"/>
      <c r="S22"/>
      <c r="T22"/>
      <c r="U22" t="inlineStr">
        <is>
          <t>Day(s)</t>
        </is>
      </c>
      <c r="V22" t="inlineStr">
        <is>
          <t>Static</t>
        </is>
      </c>
      <c r="W22" t="inlineStr">
        <is>
          <t>Fresh water</t>
        </is>
      </c>
      <c r="X22" t="inlineStr">
        <is>
          <t>Lab</t>
        </is>
      </c>
      <c r="Y22" t="n">
        <v>2.0</v>
      </c>
      <c r="Z22" t="inlineStr">
        <is>
          <t>Active ingredient</t>
        </is>
      </c>
      <c r="AA22"/>
      <c r="AB22" t="n">
        <v>0.0123</v>
      </c>
      <c r="AC22"/>
      <c r="AD22"/>
      <c r="AE22"/>
      <c r="AF22"/>
      <c r="AG22" t="inlineStr">
        <is>
          <t>AI mg/L</t>
        </is>
      </c>
      <c r="AH22"/>
      <c r="AI22"/>
      <c r="AJ22"/>
      <c r="AK22"/>
      <c r="AL22"/>
      <c r="AM22"/>
      <c r="AN22"/>
      <c r="AO22"/>
      <c r="AP22"/>
      <c r="AQ22"/>
      <c r="AR22"/>
      <c r="AS22"/>
      <c r="AT22"/>
      <c r="AU22"/>
      <c r="AV22"/>
      <c r="AW22"/>
      <c r="AX22" t="inlineStr">
        <is>
          <t>Accumulation</t>
        </is>
      </c>
      <c r="AY22" t="inlineStr">
        <is>
          <t>Residue</t>
        </is>
      </c>
      <c r="AZ22" t="inlineStr">
        <is>
          <t>BCF</t>
        </is>
      </c>
      <c r="BA22" t="inlineStr">
        <is>
          <t>Tissue</t>
        </is>
      </c>
      <c r="BB22"/>
      <c r="BC22" t="n">
        <v>7.0</v>
      </c>
      <c r="BD22"/>
      <c r="BE22"/>
      <c r="BF22"/>
      <c r="BG22"/>
      <c r="BH22" t="inlineStr">
        <is>
          <t>Day(s)</t>
        </is>
      </c>
      <c r="BI22"/>
      <c r="BJ22" t="n">
        <v>0.04</v>
      </c>
      <c r="BK22"/>
      <c r="BL22"/>
      <c r="BM22"/>
      <c r="BN22"/>
      <c r="BO22" t="inlineStr">
        <is>
          <t>L/g</t>
        </is>
      </c>
      <c r="BP22"/>
      <c r="BQ22"/>
      <c r="BR22"/>
      <c r="BS22"/>
      <c r="BT22"/>
      <c r="BU22"/>
      <c r="BV22"/>
      <c r="BW22"/>
      <c r="BX22"/>
      <c r="BY22"/>
      <c r="BZ22"/>
      <c r="CA22"/>
      <c r="CB22"/>
      <c r="CC22"/>
      <c r="CD22" t="inlineStr">
        <is>
          <t>Sinclair,G.M., S.M. Long, N. Singh, T.L. Coggan, M.P.J. Askeland, and O.A.H. Jones</t>
        </is>
      </c>
      <c r="CE22" t="n">
        <v>191156.0</v>
      </c>
      <c r="CF22" t="inlineStr">
        <is>
          <t>Exposure to Environmentally Relevant Levels of PFAS Causes Metabolic Changes in the Freshwater Amphipod Austrochiltonia subtenuis</t>
        </is>
      </c>
      <c r="CG22" t="inlineStr">
        <is>
          <t>Metabolites12(11): 19 p.</t>
        </is>
      </c>
      <c r="CH22" t="n">
        <v>2022.0</v>
      </c>
      <c r="CI22"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23">
      <c r="A23" t="n">
        <v>355464.0</v>
      </c>
      <c r="B23" t="inlineStr">
        <is>
          <t>1,1,2,2,3,3,4,4,5,5,6,6,6-Tridecafluoro-1-hexanesulfonic acid</t>
        </is>
      </c>
      <c r="C23" t="inlineStr">
        <is>
          <t>Analytical grade</t>
        </is>
      </c>
      <c r="D23" t="inlineStr">
        <is>
          <t>Measured</t>
        </is>
      </c>
      <c r="E23"/>
      <c r="F23"/>
      <c r="G23"/>
      <c r="H23"/>
      <c r="I23"/>
      <c r="J23"/>
      <c r="K23" t="inlineStr">
        <is>
          <t>Afrochiltonia subtenuis</t>
        </is>
      </c>
      <c r="L23" t="inlineStr">
        <is>
          <t>Scud</t>
        </is>
      </c>
      <c r="M23" t="inlineStr">
        <is>
          <t>Crustaceans</t>
        </is>
      </c>
      <c r="N23" t="inlineStr">
        <is>
          <t>Juvenile</t>
        </is>
      </c>
      <c r="O23"/>
      <c r="P23" t="n">
        <v>14.0</v>
      </c>
      <c r="Q23"/>
      <c r="R23"/>
      <c r="S23"/>
      <c r="T23"/>
      <c r="U23" t="inlineStr">
        <is>
          <t>Day(s)</t>
        </is>
      </c>
      <c r="V23" t="inlineStr">
        <is>
          <t>Static</t>
        </is>
      </c>
      <c r="W23" t="inlineStr">
        <is>
          <t>Fresh water</t>
        </is>
      </c>
      <c r="X23" t="inlineStr">
        <is>
          <t>Lab</t>
        </is>
      </c>
      <c r="Y23" t="n">
        <v>2.0</v>
      </c>
      <c r="Z23" t="inlineStr">
        <is>
          <t>Active ingredient</t>
        </is>
      </c>
      <c r="AA23"/>
      <c r="AB23" t="n">
        <v>0.0123</v>
      </c>
      <c r="AC23"/>
      <c r="AD23"/>
      <c r="AE23"/>
      <c r="AF23"/>
      <c r="AG23" t="inlineStr">
        <is>
          <t>AI mg/L</t>
        </is>
      </c>
      <c r="AH23"/>
      <c r="AI23"/>
      <c r="AJ23"/>
      <c r="AK23"/>
      <c r="AL23"/>
      <c r="AM23"/>
      <c r="AN23"/>
      <c r="AO23"/>
      <c r="AP23"/>
      <c r="AQ23"/>
      <c r="AR23"/>
      <c r="AS23"/>
      <c r="AT23"/>
      <c r="AU23"/>
      <c r="AV23"/>
      <c r="AW23"/>
      <c r="AX23" t="inlineStr">
        <is>
          <t>Accumulation</t>
        </is>
      </c>
      <c r="AY23" t="inlineStr">
        <is>
          <t>Residue</t>
        </is>
      </c>
      <c r="AZ23" t="inlineStr">
        <is>
          <t>BCF</t>
        </is>
      </c>
      <c r="BA23" t="inlineStr">
        <is>
          <t>Tissue</t>
        </is>
      </c>
      <c r="BB23"/>
      <c r="BC23" t="n">
        <v>7.0</v>
      </c>
      <c r="BD23"/>
      <c r="BE23"/>
      <c r="BF23"/>
      <c r="BG23"/>
      <c r="BH23" t="inlineStr">
        <is>
          <t>Day(s)</t>
        </is>
      </c>
      <c r="BI23"/>
      <c r="BJ23" t="n">
        <v>0.05</v>
      </c>
      <c r="BK23"/>
      <c r="BL23"/>
      <c r="BM23"/>
      <c r="BN23"/>
      <c r="BO23" t="inlineStr">
        <is>
          <t>L/g</t>
        </is>
      </c>
      <c r="BP23"/>
      <c r="BQ23"/>
      <c r="BR23"/>
      <c r="BS23"/>
      <c r="BT23"/>
      <c r="BU23"/>
      <c r="BV23"/>
      <c r="BW23"/>
      <c r="BX23"/>
      <c r="BY23"/>
      <c r="BZ23"/>
      <c r="CA23"/>
      <c r="CB23"/>
      <c r="CC23"/>
      <c r="CD23" t="inlineStr">
        <is>
          <t>Sinclair,G.M., S.M. Long, N. Singh, T.L. Coggan, M.P.J. Askeland, and O.A.H. Jones</t>
        </is>
      </c>
      <c r="CE23" t="n">
        <v>191156.0</v>
      </c>
      <c r="CF23" t="inlineStr">
        <is>
          <t>Exposure to Environmentally Relevant Levels of PFAS Causes Metabolic Changes in the Freshwater Amphipod Austrochiltonia subtenuis</t>
        </is>
      </c>
      <c r="CG23" t="inlineStr">
        <is>
          <t>Metabolites12(11): 19 p.</t>
        </is>
      </c>
      <c r="CH23" t="n">
        <v>2022.0</v>
      </c>
      <c r="CI23"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24">
      <c r="A24" t="n">
        <v>355464.0</v>
      </c>
      <c r="B24" t="inlineStr">
        <is>
          <t>1,1,2,2,3,3,4,4,5,5,6,6,6-Tridecafluoro-1-hexanesulfonic acid</t>
        </is>
      </c>
      <c r="C24" t="inlineStr">
        <is>
          <t>Analytical grade</t>
        </is>
      </c>
      <c r="D24" t="inlineStr">
        <is>
          <t>Measured</t>
        </is>
      </c>
      <c r="E24"/>
      <c r="F24"/>
      <c r="G24"/>
      <c r="H24"/>
      <c r="I24"/>
      <c r="J24"/>
      <c r="K24" t="inlineStr">
        <is>
          <t>Afrochiltonia subtenuis</t>
        </is>
      </c>
      <c r="L24" t="inlineStr">
        <is>
          <t>Scud</t>
        </is>
      </c>
      <c r="M24" t="inlineStr">
        <is>
          <t>Crustaceans</t>
        </is>
      </c>
      <c r="N24" t="inlineStr">
        <is>
          <t>Juvenile</t>
        </is>
      </c>
      <c r="O24"/>
      <c r="P24" t="n">
        <v>14.0</v>
      </c>
      <c r="Q24"/>
      <c r="R24"/>
      <c r="S24"/>
      <c r="T24"/>
      <c r="U24" t="inlineStr">
        <is>
          <t>Day(s)</t>
        </is>
      </c>
      <c r="V24" t="inlineStr">
        <is>
          <t>Static</t>
        </is>
      </c>
      <c r="W24" t="inlineStr">
        <is>
          <t>Fresh water</t>
        </is>
      </c>
      <c r="X24" t="inlineStr">
        <is>
          <t>Lab</t>
        </is>
      </c>
      <c r="Y24" t="n">
        <v>2.0</v>
      </c>
      <c r="Z24" t="inlineStr">
        <is>
          <t>Active ingredient</t>
        </is>
      </c>
      <c r="AA24"/>
      <c r="AB24" t="n">
        <v>0.0123</v>
      </c>
      <c r="AC24"/>
      <c r="AD24"/>
      <c r="AE24"/>
      <c r="AF24"/>
      <c r="AG24" t="inlineStr">
        <is>
          <t>AI mg/L</t>
        </is>
      </c>
      <c r="AH24"/>
      <c r="AI24"/>
      <c r="AJ24"/>
      <c r="AK24"/>
      <c r="AL24"/>
      <c r="AM24"/>
      <c r="AN24"/>
      <c r="AO24"/>
      <c r="AP24"/>
      <c r="AQ24"/>
      <c r="AR24"/>
      <c r="AS24"/>
      <c r="AT24"/>
      <c r="AU24"/>
      <c r="AV24"/>
      <c r="AW24"/>
      <c r="AX24" t="inlineStr">
        <is>
          <t>Accumulation</t>
        </is>
      </c>
      <c r="AY24" t="inlineStr">
        <is>
          <t>Residue</t>
        </is>
      </c>
      <c r="AZ24" t="inlineStr">
        <is>
          <t>BCF</t>
        </is>
      </c>
      <c r="BA24" t="inlineStr">
        <is>
          <t>Tissue</t>
        </is>
      </c>
      <c r="BB24"/>
      <c r="BC24" t="n">
        <v>7.0</v>
      </c>
      <c r="BD24"/>
      <c r="BE24"/>
      <c r="BF24"/>
      <c r="BG24"/>
      <c r="BH24" t="inlineStr">
        <is>
          <t>Day(s)</t>
        </is>
      </c>
      <c r="BI24"/>
      <c r="BJ24" t="n">
        <v>0.07</v>
      </c>
      <c r="BK24"/>
      <c r="BL24"/>
      <c r="BM24"/>
      <c r="BN24"/>
      <c r="BO24" t="inlineStr">
        <is>
          <t>L/g</t>
        </is>
      </c>
      <c r="BP24"/>
      <c r="BQ24"/>
      <c r="BR24"/>
      <c r="BS24"/>
      <c r="BT24"/>
      <c r="BU24"/>
      <c r="BV24"/>
      <c r="BW24"/>
      <c r="BX24"/>
      <c r="BY24"/>
      <c r="BZ24"/>
      <c r="CA24"/>
      <c r="CB24"/>
      <c r="CC24"/>
      <c r="CD24" t="inlineStr">
        <is>
          <t>Sinclair,G.M., S.M. Long, N. Singh, T.L. Coggan, M.P.J. Askeland, and O.A.H. Jones</t>
        </is>
      </c>
      <c r="CE24" t="n">
        <v>191156.0</v>
      </c>
      <c r="CF24" t="inlineStr">
        <is>
          <t>Exposure to Environmentally Relevant Levels of PFAS Causes Metabolic Changes in the Freshwater Amphipod Austrochiltonia subtenuis</t>
        </is>
      </c>
      <c r="CG24" t="inlineStr">
        <is>
          <t>Metabolites12(11): 19 p.</t>
        </is>
      </c>
      <c r="CH24" t="n">
        <v>2022.0</v>
      </c>
      <c r="CI24"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25">
      <c r="A25" t="n">
        <v>355464.0</v>
      </c>
      <c r="B25" t="inlineStr">
        <is>
          <t>1,1,2,2,3,3,4,4,5,5,6,6,6-Tridecafluoro-1-hexanesulfonic acid</t>
        </is>
      </c>
      <c r="C25" t="inlineStr">
        <is>
          <t>Analytical grade</t>
        </is>
      </c>
      <c r="D25" t="inlineStr">
        <is>
          <t>Measured</t>
        </is>
      </c>
      <c r="E25"/>
      <c r="F25"/>
      <c r="G25"/>
      <c r="H25"/>
      <c r="I25"/>
      <c r="J25"/>
      <c r="K25" t="inlineStr">
        <is>
          <t>Afrochiltonia subtenuis</t>
        </is>
      </c>
      <c r="L25" t="inlineStr">
        <is>
          <t>Scud</t>
        </is>
      </c>
      <c r="M25" t="inlineStr">
        <is>
          <t>Crustaceans</t>
        </is>
      </c>
      <c r="N25" t="inlineStr">
        <is>
          <t>Juvenile</t>
        </is>
      </c>
      <c r="O25"/>
      <c r="P25" t="n">
        <v>14.0</v>
      </c>
      <c r="Q25"/>
      <c r="R25"/>
      <c r="S25"/>
      <c r="T25"/>
      <c r="U25" t="inlineStr">
        <is>
          <t>Day(s)</t>
        </is>
      </c>
      <c r="V25" t="inlineStr">
        <is>
          <t>Static</t>
        </is>
      </c>
      <c r="W25" t="inlineStr">
        <is>
          <t>Fresh water</t>
        </is>
      </c>
      <c r="X25" t="inlineStr">
        <is>
          <t>Lab</t>
        </is>
      </c>
      <c r="Y25" t="n">
        <v>2.0</v>
      </c>
      <c r="Z25" t="inlineStr">
        <is>
          <t>Active ingredient</t>
        </is>
      </c>
      <c r="AA25"/>
      <c r="AB25" t="n">
        <v>0.0123</v>
      </c>
      <c r="AC25"/>
      <c r="AD25"/>
      <c r="AE25"/>
      <c r="AF25"/>
      <c r="AG25" t="inlineStr">
        <is>
          <t>AI mg/L</t>
        </is>
      </c>
      <c r="AH25"/>
      <c r="AI25"/>
      <c r="AJ25"/>
      <c r="AK25"/>
      <c r="AL25"/>
      <c r="AM25"/>
      <c r="AN25"/>
      <c r="AO25"/>
      <c r="AP25"/>
      <c r="AQ25"/>
      <c r="AR25"/>
      <c r="AS25"/>
      <c r="AT25"/>
      <c r="AU25"/>
      <c r="AV25"/>
      <c r="AW25"/>
      <c r="AX25" t="inlineStr">
        <is>
          <t>Accumulation</t>
        </is>
      </c>
      <c r="AY25" t="inlineStr">
        <is>
          <t>Residue</t>
        </is>
      </c>
      <c r="AZ25" t="inlineStr">
        <is>
          <t>BCF</t>
        </is>
      </c>
      <c r="BA25" t="inlineStr">
        <is>
          <t>Tissue</t>
        </is>
      </c>
      <c r="BB25"/>
      <c r="BC25" t="n">
        <v>7.0</v>
      </c>
      <c r="BD25"/>
      <c r="BE25"/>
      <c r="BF25"/>
      <c r="BG25"/>
      <c r="BH25" t="inlineStr">
        <is>
          <t>Day(s)</t>
        </is>
      </c>
      <c r="BI25"/>
      <c r="BJ25" t="n">
        <v>0.08</v>
      </c>
      <c r="BK25"/>
      <c r="BL25"/>
      <c r="BM25"/>
      <c r="BN25"/>
      <c r="BO25" t="inlineStr">
        <is>
          <t>L/g</t>
        </is>
      </c>
      <c r="BP25"/>
      <c r="BQ25"/>
      <c r="BR25"/>
      <c r="BS25"/>
      <c r="BT25"/>
      <c r="BU25"/>
      <c r="BV25"/>
      <c r="BW25"/>
      <c r="BX25"/>
      <c r="BY25"/>
      <c r="BZ25"/>
      <c r="CA25"/>
      <c r="CB25"/>
      <c r="CC25"/>
      <c r="CD25" t="inlineStr">
        <is>
          <t>Sinclair,G.M., S.M. Long, N. Singh, T.L. Coggan, M.P.J. Askeland, and O.A.H. Jones</t>
        </is>
      </c>
      <c r="CE25" t="n">
        <v>191156.0</v>
      </c>
      <c r="CF25" t="inlineStr">
        <is>
          <t>Exposure to Environmentally Relevant Levels of PFAS Causes Metabolic Changes in the Freshwater Amphipod Austrochiltonia subtenuis</t>
        </is>
      </c>
      <c r="CG25" t="inlineStr">
        <is>
          <t>Metabolites12(11): 19 p.</t>
        </is>
      </c>
      <c r="CH25" t="n">
        <v>2022.0</v>
      </c>
      <c r="CI25"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row>
    <row r="26">
      <c r="A26" t="n">
        <v>355464.0</v>
      </c>
      <c r="B26" t="inlineStr">
        <is>
          <t>1,1,2,2,3,3,4,4,5,5,6,6,6-Tridecafluoro-1-hexanesulfonic acid</t>
        </is>
      </c>
      <c r="C26"/>
      <c r="D26" t="inlineStr">
        <is>
          <t>Measured</t>
        </is>
      </c>
      <c r="E26" t="inlineStr">
        <is>
          <t>&gt;</t>
        </is>
      </c>
      <c r="F26" t="n">
        <v>98.0</v>
      </c>
      <c r="G26"/>
      <c r="H26"/>
      <c r="I26"/>
      <c r="J26"/>
      <c r="K26" t="inlineStr">
        <is>
          <t>Danio rerio</t>
        </is>
      </c>
      <c r="L26" t="inlineStr">
        <is>
          <t>Zebra Danio</t>
        </is>
      </c>
      <c r="M26" t="inlineStr">
        <is>
          <t>Fish; Standard Test Species</t>
        </is>
      </c>
      <c r="N26" t="inlineStr">
        <is>
          <t>Embryo</t>
        </is>
      </c>
      <c r="O26" t="inlineStr">
        <is>
          <t>&lt;=</t>
        </is>
      </c>
      <c r="P26" t="n">
        <v>4.0</v>
      </c>
      <c r="Q26"/>
      <c r="R26"/>
      <c r="S26"/>
      <c r="T26"/>
      <c r="U26" t="inlineStr">
        <is>
          <t>Hours post fertilization</t>
        </is>
      </c>
      <c r="V26" t="inlineStr">
        <is>
          <t>Renewal</t>
        </is>
      </c>
      <c r="W26" t="inlineStr">
        <is>
          <t>Fresh water</t>
        </is>
      </c>
      <c r="X26" t="inlineStr">
        <is>
          <t>Lab</t>
        </is>
      </c>
      <c r="Y26" t="n">
        <v>5.0</v>
      </c>
      <c r="Z26" t="inlineStr">
        <is>
          <t>Active ingredient</t>
        </is>
      </c>
      <c r="AA26" t="inlineStr">
        <is>
          <t>~</t>
        </is>
      </c>
      <c r="AB26" t="n">
        <v>0.4001114</v>
      </c>
      <c r="AC26"/>
      <c r="AD26"/>
      <c r="AE26"/>
      <c r="AF26"/>
      <c r="AG26" t="inlineStr">
        <is>
          <t>AI mg/L</t>
        </is>
      </c>
      <c r="AH26"/>
      <c r="AI26"/>
      <c r="AJ26"/>
      <c r="AK26"/>
      <c r="AL26"/>
      <c r="AM26"/>
      <c r="AN26"/>
      <c r="AO26"/>
      <c r="AP26"/>
      <c r="AQ26"/>
      <c r="AR26"/>
      <c r="AS26"/>
      <c r="AT26"/>
      <c r="AU26"/>
      <c r="AV26"/>
      <c r="AW26"/>
      <c r="AX26" t="inlineStr">
        <is>
          <t>Accumulation</t>
        </is>
      </c>
      <c r="AY26" t="inlineStr">
        <is>
          <t>Residue</t>
        </is>
      </c>
      <c r="AZ26" t="inlineStr">
        <is>
          <t>BCF</t>
        </is>
      </c>
      <c r="BA26" t="inlineStr">
        <is>
          <t>Whole organism</t>
        </is>
      </c>
      <c r="BB26"/>
      <c r="BC26" t="n">
        <v>4.8333</v>
      </c>
      <c r="BD26"/>
      <c r="BE26"/>
      <c r="BF26"/>
      <c r="BG26"/>
      <c r="BH26" t="inlineStr">
        <is>
          <t>Day(s)</t>
        </is>
      </c>
      <c r="BI26"/>
      <c r="BJ26" t="n">
        <v>19.4</v>
      </c>
      <c r="BK26"/>
      <c r="BL26"/>
      <c r="BM26"/>
      <c r="BN26"/>
      <c r="BO26" t="inlineStr">
        <is>
          <t>RA</t>
        </is>
      </c>
      <c r="BP26"/>
      <c r="BQ26"/>
      <c r="BR26"/>
      <c r="BS26"/>
      <c r="BT26"/>
      <c r="BU26"/>
      <c r="BV26"/>
      <c r="BW26"/>
      <c r="BX26"/>
      <c r="BY26"/>
      <c r="BZ26"/>
      <c r="CA26"/>
      <c r="CB26"/>
      <c r="CC26"/>
      <c r="CD26" t="inlineStr">
        <is>
          <t>Xu,M., J. Legradi, and P. Leonards</t>
        </is>
      </c>
      <c r="CE26" t="n">
        <v>191132.0</v>
      </c>
      <c r="CF26" t="inlineStr">
        <is>
          <t>A Comprehensive Untargeted Metabolomics Study in Zebrafish Embryos Exposed to Perfluorohexane Sulfonate (PFHxS)</t>
        </is>
      </c>
      <c r="CG26" t="inlineStr">
        <is>
          <t>Sci. Total Environ.887:11 p.</t>
        </is>
      </c>
      <c r="CH26" t="n">
        <v>2023.0</v>
      </c>
      <c r="CI26" t="inlineStr">
        <is>
          <t>Xu,M., J. Legradi, and P. Leonards (2023). A Comprehensive Untargeted Metabolomics Study in Zebrafish Embryos Exposed to Perfluorohexane Sulfonate (PFHxS). Sci. Total Environ., 887, 11 p. doi:10.1016/j.scitotenv.2023.163770. ECOREF#:191132</t>
        </is>
      </c>
    </row>
    <row r="27">
      <c r="A27" t="n">
        <v>355464.0</v>
      </c>
      <c r="B27" t="inlineStr">
        <is>
          <t>1,1,2,2,3,3,4,4,5,5,6,6,6-Tridecafluoro-1-hexanesulfonic acid</t>
        </is>
      </c>
      <c r="C27"/>
      <c r="D27" t="inlineStr">
        <is>
          <t>Measured</t>
        </is>
      </c>
      <c r="E27" t="inlineStr">
        <is>
          <t>&gt;</t>
        </is>
      </c>
      <c r="F27" t="n">
        <v>98.0</v>
      </c>
      <c r="G27"/>
      <c r="H27"/>
      <c r="I27"/>
      <c r="J27"/>
      <c r="K27" t="inlineStr">
        <is>
          <t>Danio rerio</t>
        </is>
      </c>
      <c r="L27" t="inlineStr">
        <is>
          <t>Zebra Danio</t>
        </is>
      </c>
      <c r="M27" t="inlineStr">
        <is>
          <t>Fish; Standard Test Species</t>
        </is>
      </c>
      <c r="N27" t="inlineStr">
        <is>
          <t>Embryo</t>
        </is>
      </c>
      <c r="O27" t="inlineStr">
        <is>
          <t>&lt;=</t>
        </is>
      </c>
      <c r="P27" t="n">
        <v>4.0</v>
      </c>
      <c r="Q27"/>
      <c r="R27"/>
      <c r="S27"/>
      <c r="T27"/>
      <c r="U27" t="inlineStr">
        <is>
          <t>Hours post fertilization</t>
        </is>
      </c>
      <c r="V27" t="inlineStr">
        <is>
          <t>Renewal</t>
        </is>
      </c>
      <c r="W27" t="inlineStr">
        <is>
          <t>Fresh water</t>
        </is>
      </c>
      <c r="X27" t="inlineStr">
        <is>
          <t>Lab</t>
        </is>
      </c>
      <c r="Y27" t="n">
        <v>5.0</v>
      </c>
      <c r="Z27" t="inlineStr">
        <is>
          <t>Active ingredient</t>
        </is>
      </c>
      <c r="AA27"/>
      <c r="AB27"/>
      <c r="AC27" t="inlineStr">
        <is>
          <t>&gt;</t>
        </is>
      </c>
      <c r="AD27" t="n">
        <v>0.8002228</v>
      </c>
      <c r="AE27" t="inlineStr">
        <is>
          <t>&lt;</t>
        </is>
      </c>
      <c r="AF27" t="n">
        <v>1.2003342</v>
      </c>
      <c r="AG27" t="inlineStr">
        <is>
          <t>AI mg/L</t>
        </is>
      </c>
      <c r="AH27"/>
      <c r="AI27"/>
      <c r="AJ27"/>
      <c r="AK27"/>
      <c r="AL27"/>
      <c r="AM27"/>
      <c r="AN27"/>
      <c r="AO27"/>
      <c r="AP27"/>
      <c r="AQ27"/>
      <c r="AR27"/>
      <c r="AS27"/>
      <c r="AT27"/>
      <c r="AU27"/>
      <c r="AV27"/>
      <c r="AW27"/>
      <c r="AX27" t="inlineStr">
        <is>
          <t>Accumulation</t>
        </is>
      </c>
      <c r="AY27" t="inlineStr">
        <is>
          <t>Residue</t>
        </is>
      </c>
      <c r="AZ27" t="inlineStr">
        <is>
          <t>BCF</t>
        </is>
      </c>
      <c r="BA27" t="inlineStr">
        <is>
          <t>Whole organism</t>
        </is>
      </c>
      <c r="BB27"/>
      <c r="BC27" t="n">
        <v>4.8333</v>
      </c>
      <c r="BD27"/>
      <c r="BE27"/>
      <c r="BF27"/>
      <c r="BG27"/>
      <c r="BH27" t="inlineStr">
        <is>
          <t>Day(s)</t>
        </is>
      </c>
      <c r="BI27"/>
      <c r="BJ27" t="n">
        <v>22.2</v>
      </c>
      <c r="BK27"/>
      <c r="BL27"/>
      <c r="BM27"/>
      <c r="BN27"/>
      <c r="BO27" t="inlineStr">
        <is>
          <t>RA</t>
        </is>
      </c>
      <c r="BP27"/>
      <c r="BQ27"/>
      <c r="BR27"/>
      <c r="BS27"/>
      <c r="BT27"/>
      <c r="BU27"/>
      <c r="BV27"/>
      <c r="BW27"/>
      <c r="BX27"/>
      <c r="BY27"/>
      <c r="BZ27"/>
      <c r="CA27"/>
      <c r="CB27"/>
      <c r="CC27"/>
      <c r="CD27" t="inlineStr">
        <is>
          <t>Xu,M., J. Legradi, and P. Leonards</t>
        </is>
      </c>
      <c r="CE27" t="n">
        <v>191132.0</v>
      </c>
      <c r="CF27" t="inlineStr">
        <is>
          <t>A Comprehensive Untargeted Metabolomics Study in Zebrafish Embryos Exposed to Perfluorohexane Sulfonate (PFHxS)</t>
        </is>
      </c>
      <c r="CG27" t="inlineStr">
        <is>
          <t>Sci. Total Environ.887:11 p.</t>
        </is>
      </c>
      <c r="CH27" t="n">
        <v>2023.0</v>
      </c>
      <c r="CI27" t="inlineStr">
        <is>
          <t>Xu,M., J. Legradi, and P. Leonards (2023). A Comprehensive Untargeted Metabolomics Study in Zebrafish Embryos Exposed to Perfluorohexane Sulfonate (PFHxS). Sci. Total Environ., 887, 11 p. doi:10.1016/j.scitotenv.2023.163770. ECOREF#:191132</t>
        </is>
      </c>
    </row>
    <row r="28">
      <c r="A28" t="n">
        <v>355464.0</v>
      </c>
      <c r="B28" t="inlineStr">
        <is>
          <t>1,1,2,2,3,3,4,4,5,5,6,6,6-Tridecafluoro-1-hexanesulfonic acid</t>
        </is>
      </c>
      <c r="C28"/>
      <c r="D28" t="inlineStr">
        <is>
          <t>Measured</t>
        </is>
      </c>
      <c r="E28" t="inlineStr">
        <is>
          <t>&gt;</t>
        </is>
      </c>
      <c r="F28" t="n">
        <v>98.0</v>
      </c>
      <c r="G28"/>
      <c r="H28"/>
      <c r="I28"/>
      <c r="J28"/>
      <c r="K28" t="inlineStr">
        <is>
          <t>Danio rerio</t>
        </is>
      </c>
      <c r="L28" t="inlineStr">
        <is>
          <t>Zebra Danio</t>
        </is>
      </c>
      <c r="M28" t="inlineStr">
        <is>
          <t>Fish; Standard Test Species</t>
        </is>
      </c>
      <c r="N28" t="inlineStr">
        <is>
          <t>Embryo</t>
        </is>
      </c>
      <c r="O28" t="inlineStr">
        <is>
          <t>&lt;=</t>
        </is>
      </c>
      <c r="P28" t="n">
        <v>4.0</v>
      </c>
      <c r="Q28"/>
      <c r="R28"/>
      <c r="S28"/>
      <c r="T28"/>
      <c r="U28" t="inlineStr">
        <is>
          <t>Hours post fertilization</t>
        </is>
      </c>
      <c r="V28" t="inlineStr">
        <is>
          <t>Renewal</t>
        </is>
      </c>
      <c r="W28" t="inlineStr">
        <is>
          <t>Fresh water</t>
        </is>
      </c>
      <c r="X28" t="inlineStr">
        <is>
          <t>Lab</t>
        </is>
      </c>
      <c r="Y28" t="n">
        <v>5.0</v>
      </c>
      <c r="Z28" t="inlineStr">
        <is>
          <t>Active ingredient</t>
        </is>
      </c>
      <c r="AA28"/>
      <c r="AB28"/>
      <c r="AC28" t="inlineStr">
        <is>
          <t>&gt;</t>
        </is>
      </c>
      <c r="AD28" t="n">
        <v>0.0</v>
      </c>
      <c r="AE28" t="inlineStr">
        <is>
          <t>&lt;</t>
        </is>
      </c>
      <c r="AF28" t="n">
        <v>0.4001114</v>
      </c>
      <c r="AG28" t="inlineStr">
        <is>
          <t>AI mg/L</t>
        </is>
      </c>
      <c r="AH28"/>
      <c r="AI28"/>
      <c r="AJ28"/>
      <c r="AK28"/>
      <c r="AL28"/>
      <c r="AM28"/>
      <c r="AN28"/>
      <c r="AO28"/>
      <c r="AP28"/>
      <c r="AQ28"/>
      <c r="AR28"/>
      <c r="AS28"/>
      <c r="AT28"/>
      <c r="AU28"/>
      <c r="AV28"/>
      <c r="AW28"/>
      <c r="AX28" t="inlineStr">
        <is>
          <t>Accumulation</t>
        </is>
      </c>
      <c r="AY28" t="inlineStr">
        <is>
          <t>Residue</t>
        </is>
      </c>
      <c r="AZ28" t="inlineStr">
        <is>
          <t>BCF</t>
        </is>
      </c>
      <c r="BA28" t="inlineStr">
        <is>
          <t>Whole organism</t>
        </is>
      </c>
      <c r="BB28"/>
      <c r="BC28" t="n">
        <v>4.8333</v>
      </c>
      <c r="BD28"/>
      <c r="BE28"/>
      <c r="BF28"/>
      <c r="BG28"/>
      <c r="BH28" t="inlineStr">
        <is>
          <t>Day(s)</t>
        </is>
      </c>
      <c r="BI28"/>
      <c r="BJ28" t="n">
        <v>23.7</v>
      </c>
      <c r="BK28"/>
      <c r="BL28"/>
      <c r="BM28"/>
      <c r="BN28"/>
      <c r="BO28" t="inlineStr">
        <is>
          <t>RA</t>
        </is>
      </c>
      <c r="BP28"/>
      <c r="BQ28"/>
      <c r="BR28"/>
      <c r="BS28"/>
      <c r="BT28"/>
      <c r="BU28"/>
      <c r="BV28"/>
      <c r="BW28"/>
      <c r="BX28"/>
      <c r="BY28"/>
      <c r="BZ28"/>
      <c r="CA28"/>
      <c r="CB28"/>
      <c r="CC28"/>
      <c r="CD28" t="inlineStr">
        <is>
          <t>Xu,M., J. Legradi, and P. Leonards</t>
        </is>
      </c>
      <c r="CE28" t="n">
        <v>191132.0</v>
      </c>
      <c r="CF28" t="inlineStr">
        <is>
          <t>A Comprehensive Untargeted Metabolomics Study in Zebrafish Embryos Exposed to Perfluorohexane Sulfonate (PFHxS)</t>
        </is>
      </c>
      <c r="CG28" t="inlineStr">
        <is>
          <t>Sci. Total Environ.887:11 p.</t>
        </is>
      </c>
      <c r="CH28" t="n">
        <v>2023.0</v>
      </c>
      <c r="CI28" t="inlineStr">
        <is>
          <t>Xu,M., J. Legradi, and P. Leonards (2023). A Comprehensive Untargeted Metabolomics Study in Zebrafish Embryos Exposed to Perfluorohexane Sulfonate (PFHxS). Sci. Total Environ., 887, 11 p. doi:10.1016/j.scitotenv.2023.163770. ECOREF#:191132</t>
        </is>
      </c>
    </row>
    <row r="29">
      <c r="A29" t="n">
        <v>355464.0</v>
      </c>
      <c r="B29" t="inlineStr">
        <is>
          <t>1,1,2,2,3,3,4,4,5,5,6,6,6-Tridecafluoro-1-hexanesulfonic acid</t>
        </is>
      </c>
      <c r="C29"/>
      <c r="D29" t="inlineStr">
        <is>
          <t>Measured</t>
        </is>
      </c>
      <c r="E29" t="inlineStr">
        <is>
          <t>&gt;</t>
        </is>
      </c>
      <c r="F29" t="n">
        <v>98.0</v>
      </c>
      <c r="G29"/>
      <c r="H29"/>
      <c r="I29"/>
      <c r="J29"/>
      <c r="K29" t="inlineStr">
        <is>
          <t>Danio rerio</t>
        </is>
      </c>
      <c r="L29" t="inlineStr">
        <is>
          <t>Zebra Danio</t>
        </is>
      </c>
      <c r="M29" t="inlineStr">
        <is>
          <t>Fish; Standard Test Species</t>
        </is>
      </c>
      <c r="N29" t="inlineStr">
        <is>
          <t>Embryo</t>
        </is>
      </c>
      <c r="O29" t="inlineStr">
        <is>
          <t>&lt;=</t>
        </is>
      </c>
      <c r="P29" t="n">
        <v>4.0</v>
      </c>
      <c r="Q29"/>
      <c r="R29"/>
      <c r="S29"/>
      <c r="T29"/>
      <c r="U29" t="inlineStr">
        <is>
          <t>Hours post fertilization</t>
        </is>
      </c>
      <c r="V29" t="inlineStr">
        <is>
          <t>Renewal</t>
        </is>
      </c>
      <c r="W29" t="inlineStr">
        <is>
          <t>Fresh water</t>
        </is>
      </c>
      <c r="X29" t="inlineStr">
        <is>
          <t>Lab</t>
        </is>
      </c>
      <c r="Y29" t="n">
        <v>5.0</v>
      </c>
      <c r="Z29" t="inlineStr">
        <is>
          <t>Active ingredient</t>
        </is>
      </c>
      <c r="AA29"/>
      <c r="AB29"/>
      <c r="AC29" t="inlineStr">
        <is>
          <t>&gt;</t>
        </is>
      </c>
      <c r="AD29" t="n">
        <v>3.2008912</v>
      </c>
      <c r="AE29" t="inlineStr">
        <is>
          <t>&lt;</t>
        </is>
      </c>
      <c r="AF29" t="n">
        <v>3.6010026</v>
      </c>
      <c r="AG29" t="inlineStr">
        <is>
          <t>AI mg/L</t>
        </is>
      </c>
      <c r="AH29"/>
      <c r="AI29"/>
      <c r="AJ29"/>
      <c r="AK29"/>
      <c r="AL29"/>
      <c r="AM29"/>
      <c r="AN29"/>
      <c r="AO29"/>
      <c r="AP29"/>
      <c r="AQ29"/>
      <c r="AR29"/>
      <c r="AS29"/>
      <c r="AT29"/>
      <c r="AU29"/>
      <c r="AV29"/>
      <c r="AW29"/>
      <c r="AX29" t="inlineStr">
        <is>
          <t>Accumulation</t>
        </is>
      </c>
      <c r="AY29" t="inlineStr">
        <is>
          <t>Residue</t>
        </is>
      </c>
      <c r="AZ29" t="inlineStr">
        <is>
          <t>BCF</t>
        </is>
      </c>
      <c r="BA29" t="inlineStr">
        <is>
          <t>Whole organism</t>
        </is>
      </c>
      <c r="BB29"/>
      <c r="BC29" t="n">
        <v>4.8333</v>
      </c>
      <c r="BD29"/>
      <c r="BE29"/>
      <c r="BF29"/>
      <c r="BG29"/>
      <c r="BH29" t="inlineStr">
        <is>
          <t>Day(s)</t>
        </is>
      </c>
      <c r="BI29"/>
      <c r="BJ29" t="n">
        <v>52.9</v>
      </c>
      <c r="BK29"/>
      <c r="BL29"/>
      <c r="BM29"/>
      <c r="BN29"/>
      <c r="BO29" t="inlineStr">
        <is>
          <t>RA</t>
        </is>
      </c>
      <c r="BP29"/>
      <c r="BQ29"/>
      <c r="BR29"/>
      <c r="BS29"/>
      <c r="BT29"/>
      <c r="BU29"/>
      <c r="BV29"/>
      <c r="BW29"/>
      <c r="BX29"/>
      <c r="BY29"/>
      <c r="BZ29"/>
      <c r="CA29"/>
      <c r="CB29"/>
      <c r="CC29"/>
      <c r="CD29" t="inlineStr">
        <is>
          <t>Xu,M., J. Legradi, and P. Leonards</t>
        </is>
      </c>
      <c r="CE29" t="n">
        <v>191132.0</v>
      </c>
      <c r="CF29" t="inlineStr">
        <is>
          <t>A Comprehensive Untargeted Metabolomics Study in Zebrafish Embryos Exposed to Perfluorohexane Sulfonate (PFHxS)</t>
        </is>
      </c>
      <c r="CG29" t="inlineStr">
        <is>
          <t>Sci. Total Environ.887:11 p.</t>
        </is>
      </c>
      <c r="CH29" t="n">
        <v>2023.0</v>
      </c>
      <c r="CI29" t="inlineStr">
        <is>
          <t>Xu,M., J. Legradi, and P. Leonards (2023). A Comprehensive Untargeted Metabolomics Study in Zebrafish Embryos Exposed to Perfluorohexane Sulfonate (PFHxS). Sci. Total Environ., 887, 11 p. doi:10.1016/j.scitotenv.2023.163770. ECOREF#:191132</t>
        </is>
      </c>
    </row>
    <row r="30">
      <c r="A30" t="n">
        <v>355464.0</v>
      </c>
      <c r="B30" t="inlineStr">
        <is>
          <t>1,1,2,2,3,3,4,4,5,5,6,6,6-Tridecafluoro-1-hexanesulfonic acid</t>
        </is>
      </c>
      <c r="C30"/>
      <c r="D30" t="inlineStr">
        <is>
          <t>Measured</t>
        </is>
      </c>
      <c r="E30"/>
      <c r="F30" t="n">
        <v>95.0</v>
      </c>
      <c r="G30"/>
      <c r="H30"/>
      <c r="I30"/>
      <c r="J30"/>
      <c r="K30" t="inlineStr">
        <is>
          <t>Danio rerio</t>
        </is>
      </c>
      <c r="L30" t="inlineStr">
        <is>
          <t>Zebra Danio</t>
        </is>
      </c>
      <c r="M30" t="inlineStr">
        <is>
          <t>Fish; Standard Test Species</t>
        </is>
      </c>
      <c r="N30" t="inlineStr">
        <is>
          <t>Embryo</t>
        </is>
      </c>
      <c r="O30"/>
      <c r="P30" t="n">
        <v>1.0</v>
      </c>
      <c r="Q30"/>
      <c r="R30"/>
      <c r="S30"/>
      <c r="T30"/>
      <c r="U30" t="inlineStr">
        <is>
          <t>Hours post fertilization</t>
        </is>
      </c>
      <c r="V30" t="inlineStr">
        <is>
          <t>Renewal</t>
        </is>
      </c>
      <c r="W30" t="inlineStr">
        <is>
          <t>Culture</t>
        </is>
      </c>
      <c r="X30" t="inlineStr">
        <is>
          <t>Lab</t>
        </is>
      </c>
      <c r="Y30" t="n">
        <v>5.0</v>
      </c>
      <c r="Z30" t="inlineStr">
        <is>
          <t>Active ingredient</t>
        </is>
      </c>
      <c r="AA30"/>
      <c r="AB30"/>
      <c r="AC30"/>
      <c r="AD30" t="n">
        <v>0.001108</v>
      </c>
      <c r="AE30"/>
      <c r="AF30" t="n">
        <v>0.01005</v>
      </c>
      <c r="AG30" t="inlineStr">
        <is>
          <t>AI mg/L</t>
        </is>
      </c>
      <c r="AH30"/>
      <c r="AI30"/>
      <c r="AJ30"/>
      <c r="AK30"/>
      <c r="AL30"/>
      <c r="AM30"/>
      <c r="AN30"/>
      <c r="AO30"/>
      <c r="AP30"/>
      <c r="AQ30"/>
      <c r="AR30"/>
      <c r="AS30"/>
      <c r="AT30"/>
      <c r="AU30"/>
      <c r="AV30"/>
      <c r="AW30"/>
      <c r="AX30" t="inlineStr">
        <is>
          <t>Accumulation</t>
        </is>
      </c>
      <c r="AY30" t="inlineStr">
        <is>
          <t>Residue</t>
        </is>
      </c>
      <c r="AZ30"/>
      <c r="BA30" t="inlineStr">
        <is>
          <t>Whole organism</t>
        </is>
      </c>
      <c r="BB30"/>
      <c r="BC30" t="n">
        <v>4.9583</v>
      </c>
      <c r="BD30"/>
      <c r="BE30"/>
      <c r="BF30"/>
      <c r="BG30"/>
      <c r="BH30" t="inlineStr">
        <is>
          <t>Day(s)</t>
        </is>
      </c>
      <c r="BI30"/>
      <c r="BJ30"/>
      <c r="BK30"/>
      <c r="BL30"/>
      <c r="BM30"/>
      <c r="BN30"/>
      <c r="BO30" t="inlineStr">
        <is>
          <t>--</t>
        </is>
      </c>
      <c r="BP30"/>
      <c r="BQ30"/>
      <c r="BR30"/>
      <c r="BS30"/>
      <c r="BT30"/>
      <c r="BU30"/>
      <c r="BV30"/>
      <c r="BW30"/>
      <c r="BX30"/>
      <c r="BY30"/>
      <c r="BZ30"/>
      <c r="CA30"/>
      <c r="CB30"/>
      <c r="CC30"/>
      <c r="CD30" t="inlineStr">
        <is>
          <t>Liao,H., Y.J. He, S. Zhang, X. Kang, X. Yang, B. Xu, J.T. Magnuson, S. Wang, C. Zheng, and W. Qiu</t>
        </is>
      </c>
      <c r="CE30" t="n">
        <v>194972.0</v>
      </c>
      <c r="CF30" t="inlineStr">
        <is>
          <t>Perfluorohexanesulfonic Acid (PFHXS) Induces Hepatotoxicity Through the PPAR Signaling Pathway in Larval Zebrafish (Danio rerio)</t>
        </is>
      </c>
      <c r="CG30" t="inlineStr">
        <is>
          <t>Environ. Sci. Technol.58(52): 22894-22906</t>
        </is>
      </c>
      <c r="CH30" t="n">
        <v>2024.0</v>
      </c>
      <c r="CI30" t="inlineStr">
        <is>
          <t>Liao,H., Y.J. He, S. Zhang, X. Kang, X. Yang, B. Xu, J.T. Magnuson, S. Wang, C. Zheng, and W. Qiu (2024). Perfluorohexanesulfonic Acid (PFHXS) Induces Hepatotoxicity Through the PPAR Signaling Pathway in Larval Zebrafish (Danio rerio). Environ. Sci. Technol., 58, (52), 22894-22906. doi:10.1021/acs.est.4c07056. ECOREF#:194972</t>
        </is>
      </c>
    </row>
    <row r="31">
      <c r="A31" t="n">
        <v>355464.0</v>
      </c>
      <c r="B31" t="inlineStr">
        <is>
          <t>1,1,2,2,3,3,4,4,5,5,6,6,6-Tridecafluoro-1-hexanesulfonic acid</t>
        </is>
      </c>
      <c r="C31"/>
      <c r="D31" t="inlineStr">
        <is>
          <t>Measured</t>
        </is>
      </c>
      <c r="E31" t="inlineStr">
        <is>
          <t>&gt;</t>
        </is>
      </c>
      <c r="F31" t="n">
        <v>99.9</v>
      </c>
      <c r="G31"/>
      <c r="H31"/>
      <c r="I31"/>
      <c r="J31"/>
      <c r="K31" t="inlineStr">
        <is>
          <t>Danio rerio</t>
        </is>
      </c>
      <c r="L31" t="inlineStr">
        <is>
          <t>Zebra Danio</t>
        </is>
      </c>
      <c r="M31" t="inlineStr">
        <is>
          <t>Fish; Standard Test Species</t>
        </is>
      </c>
      <c r="N31" t="inlineStr">
        <is>
          <t>Embryo</t>
        </is>
      </c>
      <c r="O31"/>
      <c r="P31" t="n">
        <v>2.0</v>
      </c>
      <c r="Q31"/>
      <c r="R31"/>
      <c r="S31"/>
      <c r="T31"/>
      <c r="U31" t="inlineStr">
        <is>
          <t>Hours post fertilization</t>
        </is>
      </c>
      <c r="V31" t="inlineStr">
        <is>
          <t>Renewal</t>
        </is>
      </c>
      <c r="W31" t="inlineStr">
        <is>
          <t>Culture</t>
        </is>
      </c>
      <c r="X31" t="inlineStr">
        <is>
          <t>Lab</t>
        </is>
      </c>
      <c r="Y31" t="n">
        <v>5.0</v>
      </c>
      <c r="Z31" t="inlineStr">
        <is>
          <t>Active ingredient</t>
        </is>
      </c>
      <c r="AA31"/>
      <c r="AB31"/>
      <c r="AC31" t="inlineStr">
        <is>
          <t>&gt;</t>
        </is>
      </c>
      <c r="AD31" t="n">
        <v>1.0E-5</v>
      </c>
      <c r="AE31" t="inlineStr">
        <is>
          <t>~</t>
        </is>
      </c>
      <c r="AF31" t="n">
        <v>0.01</v>
      </c>
      <c r="AG31" t="inlineStr">
        <is>
          <t>AI mg/L</t>
        </is>
      </c>
      <c r="AH31"/>
      <c r="AI31"/>
      <c r="AJ31"/>
      <c r="AK31"/>
      <c r="AL31"/>
      <c r="AM31"/>
      <c r="AN31"/>
      <c r="AO31"/>
      <c r="AP31"/>
      <c r="AQ31"/>
      <c r="AR31"/>
      <c r="AS31"/>
      <c r="AT31"/>
      <c r="AU31"/>
      <c r="AV31"/>
      <c r="AW31"/>
      <c r="AX31" t="inlineStr">
        <is>
          <t>Accumulation</t>
        </is>
      </c>
      <c r="AY31" t="inlineStr">
        <is>
          <t>Residue</t>
        </is>
      </c>
      <c r="AZ31"/>
      <c r="BA31" t="inlineStr">
        <is>
          <t>Whole organism</t>
        </is>
      </c>
      <c r="BB31"/>
      <c r="BC31" t="n">
        <v>4.9167</v>
      </c>
      <c r="BD31"/>
      <c r="BE31"/>
      <c r="BF31"/>
      <c r="BG31"/>
      <c r="BH31" t="inlineStr">
        <is>
          <t>Day(s)</t>
        </is>
      </c>
      <c r="BI31"/>
      <c r="BJ31"/>
      <c r="BK31"/>
      <c r="BL31"/>
      <c r="BM31"/>
      <c r="BN31"/>
      <c r="BO31" t="inlineStr">
        <is>
          <t>--</t>
        </is>
      </c>
      <c r="BP31"/>
      <c r="BQ31"/>
      <c r="BR31"/>
      <c r="BS31"/>
      <c r="BT31"/>
      <c r="BU31"/>
      <c r="BV31"/>
      <c r="BW31"/>
      <c r="BX31"/>
      <c r="BY31"/>
      <c r="BZ31"/>
      <c r="CA31"/>
      <c r="CB31"/>
      <c r="CC31"/>
      <c r="CD31" t="inlineStr">
        <is>
          <t>He,Y.J., H. Liao, G. Yang, W. Qiu, R. Xuan, G. Zheng, B. Xu, X. Yang, J.T. Magnuson, D. Schlenk, and C. Zheng</t>
        </is>
      </c>
      <c r="CE31" t="n">
        <v>193687.0</v>
      </c>
      <c r="CF31" t="inlineStr">
        <is>
          <t>Perfluorohexanesulfonic Acid (PFHxS) Impairs Lipid Homeostasis in Zebrafish Larvae Through Activation of PPARa</t>
        </is>
      </c>
      <c r="CG31" t="inlineStr">
        <is>
          <t>Environ. Sci. Technol.58(37): 16258-16268</t>
        </is>
      </c>
      <c r="CH31" t="n">
        <v>2024.0</v>
      </c>
      <c r="CI31" t="inlineStr">
        <is>
          <t>He,Y.J., H. Liao, G. Yang, W. Qiu, R. Xuan, G. Zheng, B. Xu, X. Yang, J.T. Magnuson, D. Schlenk, and C. Zheng (2024). Perfluorohexanesulfonic Acid (PFHxS) Impairs Lipid Homeostasis in Zebrafish Larvae Through Activation of PPARa. Environ. Sci. Technol., 58, (37), 16258-16268. doi:10.1021/acs.est.4c03053. ECOREF#:193687</t>
        </is>
      </c>
    </row>
    <row r="32">
      <c r="A32" t="n">
        <v>3871996.0</v>
      </c>
      <c r="B32" t="inlineStr">
        <is>
          <t>1,1,2,2,3,3,4,4,5,5,6,6,6-Tridecafluoro-1-hexanesulfonic acid potassium salt</t>
        </is>
      </c>
      <c r="C32"/>
      <c r="D32" t="inlineStr">
        <is>
          <t>Measured</t>
        </is>
      </c>
      <c r="E32"/>
      <c r="F32" t="n">
        <v>95.0</v>
      </c>
      <c r="G32"/>
      <c r="H32"/>
      <c r="I32"/>
      <c r="J32"/>
      <c r="K32" t="inlineStr">
        <is>
          <t>Lithobates pipiens</t>
        </is>
      </c>
      <c r="L32" t="inlineStr">
        <is>
          <t>Leopard Frog</t>
        </is>
      </c>
      <c r="M32" t="inlineStr">
        <is>
          <t>Amphibians; Standard Test Species</t>
        </is>
      </c>
      <c r="N32" t="inlineStr">
        <is>
          <t>Tadpole</t>
        </is>
      </c>
      <c r="O32"/>
      <c r="P32" t="n">
        <v>25.0</v>
      </c>
      <c r="Q32"/>
      <c r="R32"/>
      <c r="S32"/>
      <c r="T32"/>
      <c r="U32" t="inlineStr">
        <is>
          <t>Growing season</t>
        </is>
      </c>
      <c r="V32" t="inlineStr">
        <is>
          <t>Renewal</t>
        </is>
      </c>
      <c r="W32" t="inlineStr">
        <is>
          <t>Fresh water</t>
        </is>
      </c>
      <c r="X32" t="inlineStr">
        <is>
          <t>Lab</t>
        </is>
      </c>
      <c r="Y32" t="n">
        <v>3.0</v>
      </c>
      <c r="Z32" t="inlineStr">
        <is>
          <t>Active ingredient</t>
        </is>
      </c>
      <c r="AA32"/>
      <c r="AB32"/>
      <c r="AC32"/>
      <c r="AD32" t="n">
        <v>0.801</v>
      </c>
      <c r="AE32"/>
      <c r="AF32" t="n">
        <v>1.034</v>
      </c>
      <c r="AG32" t="inlineStr">
        <is>
          <t>AI mg/L</t>
        </is>
      </c>
      <c r="AH32"/>
      <c r="AI32"/>
      <c r="AJ32"/>
      <c r="AK32"/>
      <c r="AL32"/>
      <c r="AM32"/>
      <c r="AN32"/>
      <c r="AO32"/>
      <c r="AP32"/>
      <c r="AQ32"/>
      <c r="AR32"/>
      <c r="AS32"/>
      <c r="AT32"/>
      <c r="AU32"/>
      <c r="AV32"/>
      <c r="AW32"/>
      <c r="AX32" t="inlineStr">
        <is>
          <t>Accumulation</t>
        </is>
      </c>
      <c r="AY32" t="inlineStr">
        <is>
          <t>Residue</t>
        </is>
      </c>
      <c r="AZ32" t="inlineStr">
        <is>
          <t>BCF</t>
        </is>
      </c>
      <c r="BA32" t="inlineStr">
        <is>
          <t>Liver</t>
        </is>
      </c>
      <c r="BB32"/>
      <c r="BC32" t="n">
        <v>60.0</v>
      </c>
      <c r="BD32"/>
      <c r="BE32"/>
      <c r="BF32"/>
      <c r="BG32"/>
      <c r="BH32" t="inlineStr">
        <is>
          <t>Day(s)</t>
        </is>
      </c>
      <c r="BI32"/>
      <c r="BJ32" t="n">
        <v>0.82</v>
      </c>
      <c r="BK32"/>
      <c r="BL32"/>
      <c r="BM32"/>
      <c r="BN32"/>
      <c r="BO32" t="inlineStr">
        <is>
          <t>L/kg</t>
        </is>
      </c>
      <c r="BP32"/>
      <c r="BQ32"/>
      <c r="BR32"/>
      <c r="BS32"/>
      <c r="BT32"/>
      <c r="BU32"/>
      <c r="BV32"/>
      <c r="BW32"/>
      <c r="BX32"/>
      <c r="BY32"/>
      <c r="BZ32"/>
      <c r="CA32"/>
      <c r="CB32"/>
      <c r="CC32"/>
      <c r="CD32" t="inlineStr">
        <is>
          <t>Rohonczy,J., M.R. Forbes, A.M. Gilroy E, D.J. Carpenter, S.D. Young, A. Morrill, C. Brinovcar, A.O. De Silva, A.J. Bart</t>
        </is>
      </c>
      <c r="CE32" t="n">
        <v>194034.0</v>
      </c>
      <c r="CF32" t="inlineStr">
        <is>
          <t>Effects of Perfluoroalkyl Sulfonic Acids on Developmental, Physiological, and Immunological Measures in Northern Leopard Frog Tadpoles</t>
        </is>
      </c>
      <c r="CG32" t="inlineStr">
        <is>
          <t>Chemosphere365:15 p.</t>
        </is>
      </c>
      <c r="CH32" t="n">
        <v>2024.0</v>
      </c>
      <c r="CI32" t="inlineStr">
        <is>
          <t>Rohonczy,J., M.R. Forbes, A.M. Gilroy E, D.J. Carpenter, S.D. Young, A. Morrill, C. Brinovcar, A.O. De Silva, A.J. Bart (2024). Effects of Perfluoroalkyl Sulfonic Acids on Developmental, Physiological, and Immunological Measures in Northern Leopard Frog Tadpoles. Chemosphere, 365, 15 p. doi:10.1016/j.chemosphere.2024.143333. ECOREF#:194034</t>
        </is>
      </c>
    </row>
    <row r="33">
      <c r="A33" t="n">
        <v>3871996.0</v>
      </c>
      <c r="B33" t="inlineStr">
        <is>
          <t>1,1,2,2,3,3,4,4,5,5,6,6,6-Tridecafluoro-1-hexanesulfonic acid potassium salt</t>
        </is>
      </c>
      <c r="C33"/>
      <c r="D33" t="inlineStr">
        <is>
          <t>Measured</t>
        </is>
      </c>
      <c r="E33"/>
      <c r="F33" t="n">
        <v>95.0</v>
      </c>
      <c r="G33"/>
      <c r="H33"/>
      <c r="I33"/>
      <c r="J33"/>
      <c r="K33" t="inlineStr">
        <is>
          <t>Lithobates pipiens</t>
        </is>
      </c>
      <c r="L33" t="inlineStr">
        <is>
          <t>Leopard Frog</t>
        </is>
      </c>
      <c r="M33" t="inlineStr">
        <is>
          <t>Amphibians; Standard Test Species</t>
        </is>
      </c>
      <c r="N33" t="inlineStr">
        <is>
          <t>Tadpole</t>
        </is>
      </c>
      <c r="O33"/>
      <c r="P33" t="n">
        <v>25.0</v>
      </c>
      <c r="Q33"/>
      <c r="R33"/>
      <c r="S33"/>
      <c r="T33"/>
      <c r="U33" t="inlineStr">
        <is>
          <t>Growing season</t>
        </is>
      </c>
      <c r="V33" t="inlineStr">
        <is>
          <t>Renewal</t>
        </is>
      </c>
      <c r="W33" t="inlineStr">
        <is>
          <t>Fresh water</t>
        </is>
      </c>
      <c r="X33" t="inlineStr">
        <is>
          <t>Lab</t>
        </is>
      </c>
      <c r="Y33" t="n">
        <v>3.0</v>
      </c>
      <c r="Z33" t="inlineStr">
        <is>
          <t>Active ingredient</t>
        </is>
      </c>
      <c r="AA33"/>
      <c r="AB33"/>
      <c r="AC33"/>
      <c r="AD33" t="n">
        <v>0.0053</v>
      </c>
      <c r="AE33"/>
      <c r="AF33" t="n">
        <v>0.0061</v>
      </c>
      <c r="AG33" t="inlineStr">
        <is>
          <t>AI mg/L</t>
        </is>
      </c>
      <c r="AH33"/>
      <c r="AI33"/>
      <c r="AJ33"/>
      <c r="AK33"/>
      <c r="AL33"/>
      <c r="AM33"/>
      <c r="AN33"/>
      <c r="AO33"/>
      <c r="AP33"/>
      <c r="AQ33"/>
      <c r="AR33"/>
      <c r="AS33"/>
      <c r="AT33"/>
      <c r="AU33"/>
      <c r="AV33"/>
      <c r="AW33"/>
      <c r="AX33" t="inlineStr">
        <is>
          <t>Accumulation</t>
        </is>
      </c>
      <c r="AY33" t="inlineStr">
        <is>
          <t>Residue</t>
        </is>
      </c>
      <c r="AZ33" t="inlineStr">
        <is>
          <t>BCF</t>
        </is>
      </c>
      <c r="BA33" t="inlineStr">
        <is>
          <t>Liver</t>
        </is>
      </c>
      <c r="BB33"/>
      <c r="BC33" t="n">
        <v>60.0</v>
      </c>
      <c r="BD33"/>
      <c r="BE33"/>
      <c r="BF33"/>
      <c r="BG33"/>
      <c r="BH33" t="inlineStr">
        <is>
          <t>Day(s)</t>
        </is>
      </c>
      <c r="BI33"/>
      <c r="BJ33" t="n">
        <v>4.3</v>
      </c>
      <c r="BK33"/>
      <c r="BL33"/>
      <c r="BM33"/>
      <c r="BN33"/>
      <c r="BO33" t="inlineStr">
        <is>
          <t>L/kg</t>
        </is>
      </c>
      <c r="BP33"/>
      <c r="BQ33"/>
      <c r="BR33"/>
      <c r="BS33"/>
      <c r="BT33"/>
      <c r="BU33"/>
      <c r="BV33"/>
      <c r="BW33"/>
      <c r="BX33"/>
      <c r="BY33"/>
      <c r="BZ33"/>
      <c r="CA33"/>
      <c r="CB33"/>
      <c r="CC33"/>
      <c r="CD33" t="inlineStr">
        <is>
          <t>Rohonczy,J., M.R. Forbes, A.M. Gilroy E, D.J. Carpenter, S.D. Young, A. Morrill, C. Brinovcar, A.O. De Silva, A.J. Bart</t>
        </is>
      </c>
      <c r="CE33" t="n">
        <v>194034.0</v>
      </c>
      <c r="CF33" t="inlineStr">
        <is>
          <t>Effects of Perfluoroalkyl Sulfonic Acids on Developmental, Physiological, and Immunological Measures in Northern Leopard Frog Tadpoles</t>
        </is>
      </c>
      <c r="CG33" t="inlineStr">
        <is>
          <t>Chemosphere365:15 p.</t>
        </is>
      </c>
      <c r="CH33" t="n">
        <v>2024.0</v>
      </c>
      <c r="CI33" t="inlineStr">
        <is>
          <t>Rohonczy,J., M.R. Forbes, A.M. Gilroy E, D.J. Carpenter, S.D. Young, A. Morrill, C. Brinovcar, A.O. De Silva, A.J. Bart (2024). Effects of Perfluoroalkyl Sulfonic Acids on Developmental, Physiological, and Immunological Measures in Northern Leopard Frog Tadpoles. Chemosphere, 365, 15 p. doi:10.1016/j.chemosphere.2024.143333. ECOREF#:194034</t>
        </is>
      </c>
    </row>
    <row r="34">
      <c r="A34" t="n">
        <v>3871996.0</v>
      </c>
      <c r="B34" t="inlineStr">
        <is>
          <t>1,1,2,2,3,3,4,4,5,5,6,6,6-Tridecafluoro-1-hexanesulfonic acid potassium salt</t>
        </is>
      </c>
      <c r="C34"/>
      <c r="D34" t="inlineStr">
        <is>
          <t>Measured</t>
        </is>
      </c>
      <c r="E34" t="inlineStr">
        <is>
          <t>&gt;=</t>
        </is>
      </c>
      <c r="F34" t="n">
        <v>98.0</v>
      </c>
      <c r="G34"/>
      <c r="H34"/>
      <c r="I34"/>
      <c r="J34"/>
      <c r="K34" t="inlineStr">
        <is>
          <t>Danio rerio</t>
        </is>
      </c>
      <c r="L34" t="inlineStr">
        <is>
          <t>Zebra Danio</t>
        </is>
      </c>
      <c r="M34" t="inlineStr">
        <is>
          <t>Fish; Standard Test Species</t>
        </is>
      </c>
      <c r="N34" t="inlineStr">
        <is>
          <t>Embryo</t>
        </is>
      </c>
      <c r="O34"/>
      <c r="P34" t="n">
        <v>2.0</v>
      </c>
      <c r="Q34"/>
      <c r="R34"/>
      <c r="S34"/>
      <c r="T34"/>
      <c r="U34" t="inlineStr">
        <is>
          <t>Hours post fertilization</t>
        </is>
      </c>
      <c r="V34" t="inlineStr">
        <is>
          <t>Renewal</t>
        </is>
      </c>
      <c r="W34" t="inlineStr">
        <is>
          <t>Fresh water</t>
        </is>
      </c>
      <c r="X34" t="inlineStr">
        <is>
          <t>Lab</t>
        </is>
      </c>
      <c r="Y34" t="n">
        <v>4.0</v>
      </c>
      <c r="Z34" t="inlineStr">
        <is>
          <t>Active ingredient</t>
        </is>
      </c>
      <c r="AA34"/>
      <c r="AB34" t="n">
        <v>3.42583566</v>
      </c>
      <c r="AC34"/>
      <c r="AD34"/>
      <c r="AE34"/>
      <c r="AF34"/>
      <c r="AG34" t="inlineStr">
        <is>
          <t>AI mg/L</t>
        </is>
      </c>
      <c r="AH34"/>
      <c r="AI34"/>
      <c r="AJ34"/>
      <c r="AK34"/>
      <c r="AL34"/>
      <c r="AM34"/>
      <c r="AN34"/>
      <c r="AO34"/>
      <c r="AP34"/>
      <c r="AQ34"/>
      <c r="AR34"/>
      <c r="AS34"/>
      <c r="AT34"/>
      <c r="AU34"/>
      <c r="AV34"/>
      <c r="AW34"/>
      <c r="AX34" t="inlineStr">
        <is>
          <t>Accumulation</t>
        </is>
      </c>
      <c r="AY34" t="inlineStr">
        <is>
          <t>Residue</t>
        </is>
      </c>
      <c r="AZ34" t="inlineStr">
        <is>
          <t>BCF</t>
        </is>
      </c>
      <c r="BA34" t="inlineStr">
        <is>
          <t>Whole organism</t>
        </is>
      </c>
      <c r="BB34"/>
      <c r="BC34" t="n">
        <v>4.9167</v>
      </c>
      <c r="BD34"/>
      <c r="BE34"/>
      <c r="BF34"/>
      <c r="BG34"/>
      <c r="BH34" t="inlineStr">
        <is>
          <t>Day(s)</t>
        </is>
      </c>
      <c r="BI34"/>
      <c r="BJ34" t="n">
        <v>15.0</v>
      </c>
      <c r="BK34"/>
      <c r="BL34"/>
      <c r="BM34"/>
      <c r="BN34"/>
      <c r="BO34" t="inlineStr">
        <is>
          <t>RA</t>
        </is>
      </c>
      <c r="BP34"/>
      <c r="BQ34"/>
      <c r="BR34"/>
      <c r="BS34"/>
      <c r="BT34"/>
      <c r="BU34"/>
      <c r="BV34"/>
      <c r="BW34"/>
      <c r="BX34"/>
      <c r="BY34"/>
      <c r="BZ34"/>
      <c r="CA34"/>
      <c r="CB34"/>
      <c r="CC34"/>
      <c r="CD34" t="inlineStr">
        <is>
          <t>Vogs,C., G. Johanson, M. Naslund, S. Wulff, M. Sjodin, M. Hellstrandh, J. Lindberg, and E. Wincent</t>
        </is>
      </c>
      <c r="CE34" t="n">
        <v>181482.0</v>
      </c>
      <c r="CF34" t="inlineStr">
        <is>
          <t>Toxicokinetics of Perfluorinated Alkyl Acids Influences Their Toxic Potency in the Zebrafish Embryo (Danio rerio)</t>
        </is>
      </c>
      <c r="CG34" t="inlineStr">
        <is>
          <t>Environ. Sci. Technol.53(7): 3898-3907</t>
        </is>
      </c>
      <c r="CH34" t="n">
        <v>2019.0</v>
      </c>
      <c r="CI34"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35">
      <c r="A35" t="n">
        <v>3871996.0</v>
      </c>
      <c r="B35" t="inlineStr">
        <is>
          <t>1,1,2,2,3,3,4,4,5,5,6,6,6-Tridecafluoro-1-hexanesulfonic acid potassium salt</t>
        </is>
      </c>
      <c r="C35"/>
      <c r="D35" t="inlineStr">
        <is>
          <t>Measured</t>
        </is>
      </c>
      <c r="E35" t="inlineStr">
        <is>
          <t>&gt;=</t>
        </is>
      </c>
      <c r="F35" t="n">
        <v>98.0</v>
      </c>
      <c r="G35"/>
      <c r="H35"/>
      <c r="I35"/>
      <c r="J35"/>
      <c r="K35" t="inlineStr">
        <is>
          <t>Danio rerio</t>
        </is>
      </c>
      <c r="L35" t="inlineStr">
        <is>
          <t>Zebra Danio</t>
        </is>
      </c>
      <c r="M35" t="inlineStr">
        <is>
          <t>Fish; Standard Test Species</t>
        </is>
      </c>
      <c r="N35" t="inlineStr">
        <is>
          <t>Embryo</t>
        </is>
      </c>
      <c r="O35"/>
      <c r="P35" t="n">
        <v>2.0</v>
      </c>
      <c r="Q35"/>
      <c r="R35"/>
      <c r="S35"/>
      <c r="T35"/>
      <c r="U35" t="inlineStr">
        <is>
          <t>Hours post fertilization</t>
        </is>
      </c>
      <c r="V35" t="inlineStr">
        <is>
          <t>Renewal</t>
        </is>
      </c>
      <c r="W35" t="inlineStr">
        <is>
          <t>Fresh water</t>
        </is>
      </c>
      <c r="X35" t="inlineStr">
        <is>
          <t>Lab</t>
        </is>
      </c>
      <c r="Y35" t="n">
        <v>4.0</v>
      </c>
      <c r="Z35" t="inlineStr">
        <is>
          <t>Active ingredient</t>
        </is>
      </c>
      <c r="AA35"/>
      <c r="AB35" t="n">
        <v>0.26352582</v>
      </c>
      <c r="AC35"/>
      <c r="AD35"/>
      <c r="AE35"/>
      <c r="AF35"/>
      <c r="AG35" t="inlineStr">
        <is>
          <t>AI mg/L</t>
        </is>
      </c>
      <c r="AH35"/>
      <c r="AI35"/>
      <c r="AJ35"/>
      <c r="AK35"/>
      <c r="AL35"/>
      <c r="AM35"/>
      <c r="AN35"/>
      <c r="AO35"/>
      <c r="AP35"/>
      <c r="AQ35"/>
      <c r="AR35"/>
      <c r="AS35"/>
      <c r="AT35"/>
      <c r="AU35"/>
      <c r="AV35"/>
      <c r="AW35"/>
      <c r="AX35" t="inlineStr">
        <is>
          <t>Accumulation</t>
        </is>
      </c>
      <c r="AY35" t="inlineStr">
        <is>
          <t>Residue</t>
        </is>
      </c>
      <c r="AZ35" t="inlineStr">
        <is>
          <t>BCF</t>
        </is>
      </c>
      <c r="BA35" t="inlineStr">
        <is>
          <t>Whole organism</t>
        </is>
      </c>
      <c r="BB35"/>
      <c r="BC35" t="n">
        <v>4.9167</v>
      </c>
      <c r="BD35"/>
      <c r="BE35"/>
      <c r="BF35"/>
      <c r="BG35"/>
      <c r="BH35" t="inlineStr">
        <is>
          <t>Day(s)</t>
        </is>
      </c>
      <c r="BI35"/>
      <c r="BJ35" t="n">
        <v>21.0</v>
      </c>
      <c r="BK35"/>
      <c r="BL35"/>
      <c r="BM35"/>
      <c r="BN35"/>
      <c r="BO35" t="inlineStr">
        <is>
          <t>RA</t>
        </is>
      </c>
      <c r="BP35"/>
      <c r="BQ35"/>
      <c r="BR35"/>
      <c r="BS35"/>
      <c r="BT35"/>
      <c r="BU35"/>
      <c r="BV35"/>
      <c r="BW35"/>
      <c r="BX35"/>
      <c r="BY35"/>
      <c r="BZ35"/>
      <c r="CA35"/>
      <c r="CB35"/>
      <c r="CC35"/>
      <c r="CD35" t="inlineStr">
        <is>
          <t>Vogs,C., G. Johanson, M. Naslund, S. Wulff, M. Sjodin, M. Hellstrandh, J. Lindberg, and E. Wincent</t>
        </is>
      </c>
      <c r="CE35" t="n">
        <v>181482.0</v>
      </c>
      <c r="CF35" t="inlineStr">
        <is>
          <t>Toxicokinetics of Perfluorinated Alkyl Acids Influences Their Toxic Potency in the Zebrafish Embryo (Danio rerio)</t>
        </is>
      </c>
      <c r="CG35" t="inlineStr">
        <is>
          <t>Environ. Sci. Technol.53(7): 3898-3907</t>
        </is>
      </c>
      <c r="CH35" t="n">
        <v>2019.0</v>
      </c>
      <c r="CI35"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36">
      <c r="A36" t="n">
        <v>3871996.0</v>
      </c>
      <c r="B36" t="inlineStr">
        <is>
          <t>1,1,2,2,3,3,4,4,5,5,6,6,6-Tridecafluoro-1-hexanesulfonic acid potassium salt</t>
        </is>
      </c>
      <c r="C36"/>
      <c r="D36" t="inlineStr">
        <is>
          <t>Measured</t>
        </is>
      </c>
      <c r="E36" t="inlineStr">
        <is>
          <t>&gt;=</t>
        </is>
      </c>
      <c r="F36" t="n">
        <v>98.0</v>
      </c>
      <c r="G36"/>
      <c r="H36"/>
      <c r="I36"/>
      <c r="J36"/>
      <c r="K36" t="inlineStr">
        <is>
          <t>Danio rerio</t>
        </is>
      </c>
      <c r="L36" t="inlineStr">
        <is>
          <t>Zebra Danio</t>
        </is>
      </c>
      <c r="M36" t="inlineStr">
        <is>
          <t>Fish; Standard Test Species</t>
        </is>
      </c>
      <c r="N36" t="inlineStr">
        <is>
          <t>Embryo</t>
        </is>
      </c>
      <c r="O36"/>
      <c r="P36" t="n">
        <v>2.0</v>
      </c>
      <c r="Q36"/>
      <c r="R36"/>
      <c r="S36"/>
      <c r="T36"/>
      <c r="U36" t="inlineStr">
        <is>
          <t>Hours post fertilization</t>
        </is>
      </c>
      <c r="V36" t="inlineStr">
        <is>
          <t>Renewal</t>
        </is>
      </c>
      <c r="W36" t="inlineStr">
        <is>
          <t>Fresh water</t>
        </is>
      </c>
      <c r="X36" t="inlineStr">
        <is>
          <t>Lab</t>
        </is>
      </c>
      <c r="Y36" t="n">
        <v>4.0</v>
      </c>
      <c r="Z36" t="inlineStr">
        <is>
          <t>Active ingredient</t>
        </is>
      </c>
      <c r="AA36"/>
      <c r="AB36" t="n">
        <v>0.35136776</v>
      </c>
      <c r="AC36"/>
      <c r="AD36"/>
      <c r="AE36"/>
      <c r="AF36"/>
      <c r="AG36" t="inlineStr">
        <is>
          <t>AI mg/L</t>
        </is>
      </c>
      <c r="AH36"/>
      <c r="AI36"/>
      <c r="AJ36"/>
      <c r="AK36"/>
      <c r="AL36"/>
      <c r="AM36"/>
      <c r="AN36"/>
      <c r="AO36"/>
      <c r="AP36"/>
      <c r="AQ36"/>
      <c r="AR36"/>
      <c r="AS36"/>
      <c r="AT36"/>
      <c r="AU36"/>
      <c r="AV36"/>
      <c r="AW36"/>
      <c r="AX36" t="inlineStr">
        <is>
          <t>Accumulation</t>
        </is>
      </c>
      <c r="AY36" t="inlineStr">
        <is>
          <t>Residue</t>
        </is>
      </c>
      <c r="AZ36" t="inlineStr">
        <is>
          <t>BCF</t>
        </is>
      </c>
      <c r="BA36" t="inlineStr">
        <is>
          <t>Whole organism</t>
        </is>
      </c>
      <c r="BB36"/>
      <c r="BC36" t="n">
        <v>4.9167</v>
      </c>
      <c r="BD36"/>
      <c r="BE36"/>
      <c r="BF36"/>
      <c r="BG36"/>
      <c r="BH36" t="inlineStr">
        <is>
          <t>Day(s)</t>
        </is>
      </c>
      <c r="BI36"/>
      <c r="BJ36" t="n">
        <v>22.0</v>
      </c>
      <c r="BK36"/>
      <c r="BL36"/>
      <c r="BM36"/>
      <c r="BN36"/>
      <c r="BO36" t="inlineStr">
        <is>
          <t>RA</t>
        </is>
      </c>
      <c r="BP36"/>
      <c r="BQ36"/>
      <c r="BR36"/>
      <c r="BS36"/>
      <c r="BT36"/>
      <c r="BU36"/>
      <c r="BV36"/>
      <c r="BW36"/>
      <c r="BX36"/>
      <c r="BY36"/>
      <c r="BZ36"/>
      <c r="CA36"/>
      <c r="CB36"/>
      <c r="CC36"/>
      <c r="CD36" t="inlineStr">
        <is>
          <t>Vogs,C., G. Johanson, M. Naslund, S. Wulff, M. Sjodin, M. Hellstrandh, J. Lindberg, and E. Wincent</t>
        </is>
      </c>
      <c r="CE36" t="n">
        <v>181482.0</v>
      </c>
      <c r="CF36" t="inlineStr">
        <is>
          <t>Toxicokinetics of Perfluorinated Alkyl Acids Influences Their Toxic Potency in the Zebrafish Embryo (Danio rerio)</t>
        </is>
      </c>
      <c r="CG36" t="inlineStr">
        <is>
          <t>Environ. Sci. Technol.53(7): 3898-3907</t>
        </is>
      </c>
      <c r="CH36" t="n">
        <v>2019.0</v>
      </c>
      <c r="CI36"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37">
      <c r="A37" t="n">
        <v>3871996.0</v>
      </c>
      <c r="B37" t="inlineStr">
        <is>
          <t>1,1,2,2,3,3,4,4,5,5,6,6,6-Tridecafluoro-1-hexanesulfonic acid potassium salt</t>
        </is>
      </c>
      <c r="C37"/>
      <c r="D37" t="inlineStr">
        <is>
          <t>Measured</t>
        </is>
      </c>
      <c r="E37" t="inlineStr">
        <is>
          <t>&gt;</t>
        </is>
      </c>
      <c r="F37" t="n">
        <v>95.0</v>
      </c>
      <c r="G37"/>
      <c r="H37"/>
      <c r="I37"/>
      <c r="J37"/>
      <c r="K37" t="inlineStr">
        <is>
          <t>Danio rerio</t>
        </is>
      </c>
      <c r="L37" t="inlineStr">
        <is>
          <t>Zebra Danio</t>
        </is>
      </c>
      <c r="M37" t="inlineStr">
        <is>
          <t>Fish; Standard Test Species</t>
        </is>
      </c>
      <c r="N37" t="inlineStr">
        <is>
          <t>Embryo</t>
        </is>
      </c>
      <c r="O37"/>
      <c r="P37" t="n">
        <v>64.0</v>
      </c>
      <c r="Q37"/>
      <c r="R37"/>
      <c r="S37"/>
      <c r="T37"/>
      <c r="U37" t="inlineStr">
        <is>
          <t>Cell stage</t>
        </is>
      </c>
      <c r="V37" t="inlineStr">
        <is>
          <t>Renewal</t>
        </is>
      </c>
      <c r="W37" t="inlineStr">
        <is>
          <t>Culture</t>
        </is>
      </c>
      <c r="X37" t="inlineStr">
        <is>
          <t>Lab</t>
        </is>
      </c>
      <c r="Y37" t="n">
        <v>3.0</v>
      </c>
      <c r="Z37" t="inlineStr">
        <is>
          <t>Active ingredient</t>
        </is>
      </c>
      <c r="AA37"/>
      <c r="AB37" t="n">
        <v>1.919346389</v>
      </c>
      <c r="AC37"/>
      <c r="AD37"/>
      <c r="AE37"/>
      <c r="AF37"/>
      <c r="AG37" t="inlineStr">
        <is>
          <t>AI mg/L</t>
        </is>
      </c>
      <c r="AH37"/>
      <c r="AI37"/>
      <c r="AJ37"/>
      <c r="AK37"/>
      <c r="AL37"/>
      <c r="AM37"/>
      <c r="AN37"/>
      <c r="AO37"/>
      <c r="AP37"/>
      <c r="AQ37"/>
      <c r="AR37"/>
      <c r="AS37"/>
      <c r="AT37"/>
      <c r="AU37"/>
      <c r="AV37"/>
      <c r="AW37"/>
      <c r="AX37" t="inlineStr">
        <is>
          <t>Accumulation</t>
        </is>
      </c>
      <c r="AY37" t="inlineStr">
        <is>
          <t>Residue</t>
        </is>
      </c>
      <c r="AZ37" t="inlineStr">
        <is>
          <t>BCF</t>
        </is>
      </c>
      <c r="BA37" t="inlineStr">
        <is>
          <t>Whole organism</t>
        </is>
      </c>
      <c r="BB37"/>
      <c r="BC37" t="n">
        <v>5.0</v>
      </c>
      <c r="BD37"/>
      <c r="BE37"/>
      <c r="BF37"/>
      <c r="BG37"/>
      <c r="BH37" t="inlineStr">
        <is>
          <t>Day(s) post-fertilization</t>
        </is>
      </c>
      <c r="BI37"/>
      <c r="BJ37" t="n">
        <v>30.0</v>
      </c>
      <c r="BK37"/>
      <c r="BL37"/>
      <c r="BM37"/>
      <c r="BN37"/>
      <c r="BO37" t="inlineStr">
        <is>
          <t>L/kg</t>
        </is>
      </c>
      <c r="BP37"/>
      <c r="BQ37"/>
      <c r="BR37"/>
      <c r="BS37"/>
      <c r="BT37"/>
      <c r="BU37"/>
      <c r="BV37"/>
      <c r="BW37"/>
      <c r="BX37"/>
      <c r="BY37"/>
      <c r="BZ37"/>
      <c r="CA37"/>
      <c r="CB37"/>
      <c r="CC37"/>
      <c r="CD37" t="inlineStr">
        <is>
          <t>Han,J., W. Gu, H. Barrett, D. Yang, S. Tang, J. Sun, J. Liu, H.M. Krause, K.A. Houck, and H. Peng</t>
        </is>
      </c>
      <c r="CE37" t="n">
        <v>190831.0</v>
      </c>
      <c r="CF37" t="inlineStr">
        <is>
          <t>A Roadmap to the Structure-Related Metabolism Pathways of Per- and Polyfluoroalkyl Substances in the Early Life Stages of Zebrafish (Danio rerio)</t>
        </is>
      </c>
      <c r="CG37" t="inlineStr">
        <is>
          <t>Environ. Health Perspect.129(7): 15 p.</t>
        </is>
      </c>
      <c r="CH37" t="n">
        <v>2021.0</v>
      </c>
      <c r="CI37"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38">
      <c r="A38" t="n">
        <v>3871996.0</v>
      </c>
      <c r="B38" t="inlineStr">
        <is>
          <t>1,1,2,2,3,3,4,4,5,5,6,6,6-Tridecafluoro-1-hexanesulfonic acid potassium salt</t>
        </is>
      </c>
      <c r="C38"/>
      <c r="D38" t="inlineStr">
        <is>
          <t>Measured</t>
        </is>
      </c>
      <c r="E38" t="inlineStr">
        <is>
          <t>&gt;</t>
        </is>
      </c>
      <c r="F38" t="n">
        <v>95.0</v>
      </c>
      <c r="G38"/>
      <c r="H38"/>
      <c r="I38"/>
      <c r="J38"/>
      <c r="K38" t="inlineStr">
        <is>
          <t>Danio rerio</t>
        </is>
      </c>
      <c r="L38" t="inlineStr">
        <is>
          <t>Zebra Danio</t>
        </is>
      </c>
      <c r="M38" t="inlineStr">
        <is>
          <t>Fish; Standard Test Species</t>
        </is>
      </c>
      <c r="N38" t="inlineStr">
        <is>
          <t>Embryo</t>
        </is>
      </c>
      <c r="O38"/>
      <c r="P38" t="n">
        <v>64.0</v>
      </c>
      <c r="Q38"/>
      <c r="R38"/>
      <c r="S38"/>
      <c r="T38"/>
      <c r="U38" t="inlineStr">
        <is>
          <t>Cell stage</t>
        </is>
      </c>
      <c r="V38" t="inlineStr">
        <is>
          <t>Renewal</t>
        </is>
      </c>
      <c r="W38" t="inlineStr">
        <is>
          <t>Culture</t>
        </is>
      </c>
      <c r="X38" t="inlineStr">
        <is>
          <t>Lab</t>
        </is>
      </c>
      <c r="Y38" t="n">
        <v>3.0</v>
      </c>
      <c r="Z38" t="inlineStr">
        <is>
          <t>Active ingredient</t>
        </is>
      </c>
      <c r="AA38"/>
      <c r="AB38" t="n">
        <v>0.144939201</v>
      </c>
      <c r="AC38"/>
      <c r="AD38"/>
      <c r="AE38"/>
      <c r="AF38"/>
      <c r="AG38" t="inlineStr">
        <is>
          <t>AI mg/L</t>
        </is>
      </c>
      <c r="AH38"/>
      <c r="AI38"/>
      <c r="AJ38"/>
      <c r="AK38"/>
      <c r="AL38"/>
      <c r="AM38"/>
      <c r="AN38"/>
      <c r="AO38"/>
      <c r="AP38"/>
      <c r="AQ38"/>
      <c r="AR38"/>
      <c r="AS38"/>
      <c r="AT38"/>
      <c r="AU38"/>
      <c r="AV38"/>
      <c r="AW38"/>
      <c r="AX38" t="inlineStr">
        <is>
          <t>Accumulation</t>
        </is>
      </c>
      <c r="AY38" t="inlineStr">
        <is>
          <t>Residue</t>
        </is>
      </c>
      <c r="AZ38" t="inlineStr">
        <is>
          <t>BCF</t>
        </is>
      </c>
      <c r="BA38" t="inlineStr">
        <is>
          <t>Whole organism</t>
        </is>
      </c>
      <c r="BB38"/>
      <c r="BC38" t="n">
        <v>5.0</v>
      </c>
      <c r="BD38"/>
      <c r="BE38"/>
      <c r="BF38"/>
      <c r="BG38"/>
      <c r="BH38" t="inlineStr">
        <is>
          <t>Day(s) post-fertilization</t>
        </is>
      </c>
      <c r="BI38"/>
      <c r="BJ38" t="n">
        <v>55.0</v>
      </c>
      <c r="BK38"/>
      <c r="BL38"/>
      <c r="BM38"/>
      <c r="BN38"/>
      <c r="BO38" t="inlineStr">
        <is>
          <t>L/kg</t>
        </is>
      </c>
      <c r="BP38"/>
      <c r="BQ38"/>
      <c r="BR38"/>
      <c r="BS38"/>
      <c r="BT38"/>
      <c r="BU38"/>
      <c r="BV38"/>
      <c r="BW38"/>
      <c r="BX38"/>
      <c r="BY38"/>
      <c r="BZ38"/>
      <c r="CA38"/>
      <c r="CB38"/>
      <c r="CC38"/>
      <c r="CD38" t="inlineStr">
        <is>
          <t>Han,J., W. Gu, H. Barrett, D. Yang, S. Tang, J. Sun, J. Liu, H.M. Krause, K.A. Houck, and H. Peng</t>
        </is>
      </c>
      <c r="CE38" t="n">
        <v>190831.0</v>
      </c>
      <c r="CF38" t="inlineStr">
        <is>
          <t>A Roadmap to the Structure-Related Metabolism Pathways of Per- and Polyfluoroalkyl Substances in the Early Life Stages of Zebrafish (Danio rerio)</t>
        </is>
      </c>
      <c r="CG38" t="inlineStr">
        <is>
          <t>Environ. Health Perspect.129(7): 15 p.</t>
        </is>
      </c>
      <c r="CH38" t="n">
        <v>2021.0</v>
      </c>
      <c r="CI38"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39">
      <c r="A39" t="n">
        <v>3871996.0</v>
      </c>
      <c r="B39" t="inlineStr">
        <is>
          <t>1,1,2,2,3,3,4,4,5,5,6,6,6-Tridecafluoro-1-hexanesulfonic acid potassium salt</t>
        </is>
      </c>
      <c r="C39"/>
      <c r="D39" t="inlineStr">
        <is>
          <t>Measured</t>
        </is>
      </c>
      <c r="E39"/>
      <c r="F39"/>
      <c r="G39"/>
      <c r="H39"/>
      <c r="I39"/>
      <c r="J39"/>
      <c r="K39" t="inlineStr">
        <is>
          <t>Danio rerio</t>
        </is>
      </c>
      <c r="L39" t="inlineStr">
        <is>
          <t>Zebra Danio</t>
        </is>
      </c>
      <c r="M39" t="inlineStr">
        <is>
          <t>Fish; Standard Test Species</t>
        </is>
      </c>
      <c r="N39" t="inlineStr">
        <is>
          <t>Embryo</t>
        </is>
      </c>
      <c r="O39"/>
      <c r="P39" t="n">
        <v>0.0</v>
      </c>
      <c r="Q39"/>
      <c r="R39"/>
      <c r="S39"/>
      <c r="T39"/>
      <c r="U39" t="inlineStr">
        <is>
          <t>Days post fertilization</t>
        </is>
      </c>
      <c r="V39" t="inlineStr">
        <is>
          <t>Renewal</t>
        </is>
      </c>
      <c r="W39" t="inlineStr">
        <is>
          <t>Fresh water</t>
        </is>
      </c>
      <c r="X39" t="inlineStr">
        <is>
          <t>Lab</t>
        </is>
      </c>
      <c r="Y39" t="n">
        <v>4.0</v>
      </c>
      <c r="Z39" t="inlineStr">
        <is>
          <t>Active ingredient</t>
        </is>
      </c>
      <c r="AA39"/>
      <c r="AB39" t="n">
        <v>16.06</v>
      </c>
      <c r="AC39"/>
      <c r="AD39"/>
      <c r="AE39"/>
      <c r="AF39"/>
      <c r="AG39" t="inlineStr">
        <is>
          <t>AI mg/L</t>
        </is>
      </c>
      <c r="AH39"/>
      <c r="AI39"/>
      <c r="AJ39"/>
      <c r="AK39"/>
      <c r="AL39"/>
      <c r="AM39"/>
      <c r="AN39"/>
      <c r="AO39"/>
      <c r="AP39"/>
      <c r="AQ39"/>
      <c r="AR39"/>
      <c r="AS39"/>
      <c r="AT39"/>
      <c r="AU39"/>
      <c r="AV39"/>
      <c r="AW39"/>
      <c r="AX39" t="inlineStr">
        <is>
          <t>Accumulation</t>
        </is>
      </c>
      <c r="AY39" t="inlineStr">
        <is>
          <t>Residue</t>
        </is>
      </c>
      <c r="AZ39" t="inlineStr">
        <is>
          <t>BCFD</t>
        </is>
      </c>
      <c r="BA39" t="inlineStr">
        <is>
          <t>Whole organism</t>
        </is>
      </c>
      <c r="BB39"/>
      <c r="BC39" t="n">
        <v>6.0</v>
      </c>
      <c r="BD39"/>
      <c r="BE39"/>
      <c r="BF39"/>
      <c r="BG39"/>
      <c r="BH39" t="inlineStr">
        <is>
          <t>Day(s)</t>
        </is>
      </c>
      <c r="BI39"/>
      <c r="BJ39" t="n">
        <v>8.01</v>
      </c>
      <c r="BK39"/>
      <c r="BL39"/>
      <c r="BM39"/>
      <c r="BN39"/>
      <c r="BO39" t="inlineStr">
        <is>
          <t>L/kg</t>
        </is>
      </c>
      <c r="BP39"/>
      <c r="BQ39"/>
      <c r="BR39"/>
      <c r="BS39"/>
      <c r="BT39"/>
      <c r="BU39"/>
      <c r="BV39"/>
      <c r="BW39"/>
      <c r="BX39"/>
      <c r="BY39"/>
      <c r="BZ39"/>
      <c r="CA39"/>
      <c r="CB39"/>
      <c r="CC39"/>
      <c r="CD39" t="inlineStr">
        <is>
          <t>Gaballah,S., A. Swank, J.R. Sobus, X.M. Howey, J. Schmid, T. Catron, J. Mccord, E. Hines, M. Strynar, and T. Tal</t>
        </is>
      </c>
      <c r="CE39" t="n">
        <v>182530.0</v>
      </c>
      <c r="CF39" t="inlineStr">
        <is>
          <t>Evaluation of Developmental Toxicity, Developmental Neurotoxicity, and Tissue Dose in Zebrafish Exposed to GenX and Other PFAS</t>
        </is>
      </c>
      <c r="CG39" t="inlineStr">
        <is>
          <t>Environ. Health Perspect.128(4): 047005-01 - 047005-22</t>
        </is>
      </c>
      <c r="CH39" t="n">
        <v>2020.0</v>
      </c>
      <c r="CI39"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40">
      <c r="A40" t="n">
        <v>3871996.0</v>
      </c>
      <c r="B40" t="inlineStr">
        <is>
          <t>1,1,2,2,3,3,4,4,5,5,6,6,6-Tridecafluoro-1-hexanesulfonic acid potassium salt</t>
        </is>
      </c>
      <c r="C40"/>
      <c r="D40" t="inlineStr">
        <is>
          <t>Measured</t>
        </is>
      </c>
      <c r="E40"/>
      <c r="F40"/>
      <c r="G40"/>
      <c r="H40"/>
      <c r="I40"/>
      <c r="J40"/>
      <c r="K40" t="inlineStr">
        <is>
          <t>Danio rerio</t>
        </is>
      </c>
      <c r="L40" t="inlineStr">
        <is>
          <t>Zebra Danio</t>
        </is>
      </c>
      <c r="M40" t="inlineStr">
        <is>
          <t>Fish; Standard Test Species</t>
        </is>
      </c>
      <c r="N40" t="inlineStr">
        <is>
          <t>Embryo</t>
        </is>
      </c>
      <c r="O40"/>
      <c r="P40" t="n">
        <v>0.0</v>
      </c>
      <c r="Q40"/>
      <c r="R40"/>
      <c r="S40"/>
      <c r="T40"/>
      <c r="U40" t="inlineStr">
        <is>
          <t>Days post fertilization</t>
        </is>
      </c>
      <c r="V40" t="inlineStr">
        <is>
          <t>Renewal</t>
        </is>
      </c>
      <c r="W40" t="inlineStr">
        <is>
          <t>Fresh water</t>
        </is>
      </c>
      <c r="X40" t="inlineStr">
        <is>
          <t>Lab</t>
        </is>
      </c>
      <c r="Y40" t="n">
        <v>4.0</v>
      </c>
      <c r="Z40" t="inlineStr">
        <is>
          <t>Active ingredient</t>
        </is>
      </c>
      <c r="AA40"/>
      <c r="AB40" t="n">
        <v>28.04</v>
      </c>
      <c r="AC40"/>
      <c r="AD40"/>
      <c r="AE40"/>
      <c r="AF40"/>
      <c r="AG40" t="inlineStr">
        <is>
          <t>AI mg/L</t>
        </is>
      </c>
      <c r="AH40"/>
      <c r="AI40"/>
      <c r="AJ40"/>
      <c r="AK40"/>
      <c r="AL40"/>
      <c r="AM40"/>
      <c r="AN40"/>
      <c r="AO40"/>
      <c r="AP40"/>
      <c r="AQ40"/>
      <c r="AR40"/>
      <c r="AS40"/>
      <c r="AT40"/>
      <c r="AU40"/>
      <c r="AV40"/>
      <c r="AW40"/>
      <c r="AX40" t="inlineStr">
        <is>
          <t>Accumulation</t>
        </is>
      </c>
      <c r="AY40" t="inlineStr">
        <is>
          <t>Residue</t>
        </is>
      </c>
      <c r="AZ40" t="inlineStr">
        <is>
          <t>BCFD</t>
        </is>
      </c>
      <c r="BA40" t="inlineStr">
        <is>
          <t>Whole organism</t>
        </is>
      </c>
      <c r="BB40"/>
      <c r="BC40" t="n">
        <v>6.0</v>
      </c>
      <c r="BD40"/>
      <c r="BE40"/>
      <c r="BF40"/>
      <c r="BG40"/>
      <c r="BH40" t="inlineStr">
        <is>
          <t>Day(s)</t>
        </is>
      </c>
      <c r="BI40"/>
      <c r="BJ40" t="n">
        <v>9.3</v>
      </c>
      <c r="BK40"/>
      <c r="BL40"/>
      <c r="BM40"/>
      <c r="BN40"/>
      <c r="BO40" t="inlineStr">
        <is>
          <t>L/kg</t>
        </is>
      </c>
      <c r="BP40"/>
      <c r="BQ40"/>
      <c r="BR40"/>
      <c r="BS40"/>
      <c r="BT40"/>
      <c r="BU40"/>
      <c r="BV40"/>
      <c r="BW40"/>
      <c r="BX40"/>
      <c r="BY40"/>
      <c r="BZ40"/>
      <c r="CA40"/>
      <c r="CB40"/>
      <c r="CC40"/>
      <c r="CD40" t="inlineStr">
        <is>
          <t>Gaballah,S., A. Swank, J.R. Sobus, X.M. Howey, J. Schmid, T. Catron, J. Mccord, E. Hines, M. Strynar, and T. Tal</t>
        </is>
      </c>
      <c r="CE40" t="n">
        <v>182530.0</v>
      </c>
      <c r="CF40" t="inlineStr">
        <is>
          <t>Evaluation of Developmental Toxicity, Developmental Neurotoxicity, and Tissue Dose in Zebrafish Exposed to GenX and Other PFAS</t>
        </is>
      </c>
      <c r="CG40" t="inlineStr">
        <is>
          <t>Environ. Health Perspect.128(4): 047005-01 - 047005-22</t>
        </is>
      </c>
      <c r="CH40" t="n">
        <v>2020.0</v>
      </c>
      <c r="CI40"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41">
      <c r="A41" t="n">
        <v>3871996.0</v>
      </c>
      <c r="B41" t="inlineStr">
        <is>
          <t>1,1,2,2,3,3,4,4,5,5,6,6,6-Tridecafluoro-1-hexanesulfonic acid potassium salt</t>
        </is>
      </c>
      <c r="C41"/>
      <c r="D41" t="inlineStr">
        <is>
          <t>Measured</t>
        </is>
      </c>
      <c r="E41"/>
      <c r="F41"/>
      <c r="G41"/>
      <c r="H41"/>
      <c r="I41"/>
      <c r="J41"/>
      <c r="K41" t="inlineStr">
        <is>
          <t>Danio rerio</t>
        </is>
      </c>
      <c r="L41" t="inlineStr">
        <is>
          <t>Zebra Danio</t>
        </is>
      </c>
      <c r="M41" t="inlineStr">
        <is>
          <t>Fish; Standard Test Species</t>
        </is>
      </c>
      <c r="N41" t="inlineStr">
        <is>
          <t>Embryo</t>
        </is>
      </c>
      <c r="O41"/>
      <c r="P41" t="n">
        <v>0.0</v>
      </c>
      <c r="Q41"/>
      <c r="R41"/>
      <c r="S41"/>
      <c r="T41"/>
      <c r="U41" t="inlineStr">
        <is>
          <t>Days post fertilization</t>
        </is>
      </c>
      <c r="V41" t="inlineStr">
        <is>
          <t>Renewal</t>
        </is>
      </c>
      <c r="W41" t="inlineStr">
        <is>
          <t>Fresh water</t>
        </is>
      </c>
      <c r="X41" t="inlineStr">
        <is>
          <t>Lab</t>
        </is>
      </c>
      <c r="Y41" t="n">
        <v>4.0</v>
      </c>
      <c r="Z41" t="inlineStr">
        <is>
          <t>Active ingredient</t>
        </is>
      </c>
      <c r="AA41"/>
      <c r="AB41" t="n">
        <v>9.07</v>
      </c>
      <c r="AC41"/>
      <c r="AD41"/>
      <c r="AE41"/>
      <c r="AF41"/>
      <c r="AG41" t="inlineStr">
        <is>
          <t>AI mg/L</t>
        </is>
      </c>
      <c r="AH41"/>
      <c r="AI41"/>
      <c r="AJ41"/>
      <c r="AK41"/>
      <c r="AL41"/>
      <c r="AM41"/>
      <c r="AN41"/>
      <c r="AO41"/>
      <c r="AP41"/>
      <c r="AQ41"/>
      <c r="AR41"/>
      <c r="AS41"/>
      <c r="AT41"/>
      <c r="AU41"/>
      <c r="AV41"/>
      <c r="AW41"/>
      <c r="AX41" t="inlineStr">
        <is>
          <t>Accumulation</t>
        </is>
      </c>
      <c r="AY41" t="inlineStr">
        <is>
          <t>Residue</t>
        </is>
      </c>
      <c r="AZ41" t="inlineStr">
        <is>
          <t>BCFD</t>
        </is>
      </c>
      <c r="BA41" t="inlineStr">
        <is>
          <t>Whole organism</t>
        </is>
      </c>
      <c r="BB41"/>
      <c r="BC41" t="n">
        <v>6.0</v>
      </c>
      <c r="BD41"/>
      <c r="BE41"/>
      <c r="BF41"/>
      <c r="BG41"/>
      <c r="BH41" t="inlineStr">
        <is>
          <t>Day(s)</t>
        </is>
      </c>
      <c r="BI41"/>
      <c r="BJ41" t="n">
        <v>11.82</v>
      </c>
      <c r="BK41"/>
      <c r="BL41"/>
      <c r="BM41"/>
      <c r="BN41"/>
      <c r="BO41" t="inlineStr">
        <is>
          <t>L/kg</t>
        </is>
      </c>
      <c r="BP41"/>
      <c r="BQ41"/>
      <c r="BR41"/>
      <c r="BS41"/>
      <c r="BT41"/>
      <c r="BU41"/>
      <c r="BV41"/>
      <c r="BW41"/>
      <c r="BX41"/>
      <c r="BY41"/>
      <c r="BZ41"/>
      <c r="CA41"/>
      <c r="CB41"/>
      <c r="CC41"/>
      <c r="CD41" t="inlineStr">
        <is>
          <t>Gaballah,S., A. Swank, J.R. Sobus, X.M. Howey, J. Schmid, T. Catron, J. Mccord, E. Hines, M. Strynar, and T. Tal</t>
        </is>
      </c>
      <c r="CE41" t="n">
        <v>182530.0</v>
      </c>
      <c r="CF41" t="inlineStr">
        <is>
          <t>Evaluation of Developmental Toxicity, Developmental Neurotoxicity, and Tissue Dose in Zebrafish Exposed to GenX and Other PFAS</t>
        </is>
      </c>
      <c r="CG41" t="inlineStr">
        <is>
          <t>Environ. Health Perspect.128(4): 047005-01 - 047005-22</t>
        </is>
      </c>
      <c r="CH41" t="n">
        <v>2020.0</v>
      </c>
      <c r="CI41"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42">
      <c r="A42" t="n">
        <v>3871996.0</v>
      </c>
      <c r="B42" t="inlineStr">
        <is>
          <t>1,1,2,2,3,3,4,4,5,5,6,6,6-Tridecafluoro-1-hexanesulfonic acid potassium salt</t>
        </is>
      </c>
      <c r="C42"/>
      <c r="D42" t="inlineStr">
        <is>
          <t>Measured</t>
        </is>
      </c>
      <c r="E42" t="inlineStr">
        <is>
          <t>&gt;=</t>
        </is>
      </c>
      <c r="F42" t="n">
        <v>98.0</v>
      </c>
      <c r="G42"/>
      <c r="H42"/>
      <c r="I42"/>
      <c r="J42"/>
      <c r="K42" t="inlineStr">
        <is>
          <t>Danio rerio</t>
        </is>
      </c>
      <c r="L42" t="inlineStr">
        <is>
          <t>Zebra Danio</t>
        </is>
      </c>
      <c r="M42" t="inlineStr">
        <is>
          <t>Fish; Standard Test Species</t>
        </is>
      </c>
      <c r="N42" t="inlineStr">
        <is>
          <t>Embryo</t>
        </is>
      </c>
      <c r="O42"/>
      <c r="P42" t="n">
        <v>2.0</v>
      </c>
      <c r="Q42"/>
      <c r="R42"/>
      <c r="S42"/>
      <c r="T42"/>
      <c r="U42" t="inlineStr">
        <is>
          <t>Hours post fertilization</t>
        </is>
      </c>
      <c r="V42" t="inlineStr">
        <is>
          <t>Renewal</t>
        </is>
      </c>
      <c r="W42" t="inlineStr">
        <is>
          <t>Fresh water</t>
        </is>
      </c>
      <c r="X42" t="inlineStr">
        <is>
          <t>Lab</t>
        </is>
      </c>
      <c r="Y42" t="n">
        <v>4.0</v>
      </c>
      <c r="Z42" t="inlineStr">
        <is>
          <t>Active ingredient</t>
        </is>
      </c>
      <c r="AA42"/>
      <c r="AB42" t="n">
        <v>3.42583566</v>
      </c>
      <c r="AC42"/>
      <c r="AD42"/>
      <c r="AE42"/>
      <c r="AF42"/>
      <c r="AG42" t="inlineStr">
        <is>
          <t>AI mg/L</t>
        </is>
      </c>
      <c r="AH42"/>
      <c r="AI42"/>
      <c r="AJ42"/>
      <c r="AK42"/>
      <c r="AL42"/>
      <c r="AM42"/>
      <c r="AN42"/>
      <c r="AO42"/>
      <c r="AP42"/>
      <c r="AQ42"/>
      <c r="AR42"/>
      <c r="AS42"/>
      <c r="AT42"/>
      <c r="AU42"/>
      <c r="AV42"/>
      <c r="AW42"/>
      <c r="AX42" t="inlineStr">
        <is>
          <t>Accumulation</t>
        </is>
      </c>
      <c r="AY42" t="inlineStr">
        <is>
          <t>Residue</t>
        </is>
      </c>
      <c r="AZ42" t="inlineStr">
        <is>
          <t>BCFD</t>
        </is>
      </c>
      <c r="BA42" t="inlineStr">
        <is>
          <t>Whole organism</t>
        </is>
      </c>
      <c r="BB42"/>
      <c r="BC42" t="n">
        <v>4.9167</v>
      </c>
      <c r="BD42"/>
      <c r="BE42"/>
      <c r="BF42"/>
      <c r="BG42"/>
      <c r="BH42" t="inlineStr">
        <is>
          <t>Day(s)</t>
        </is>
      </c>
      <c r="BI42"/>
      <c r="BJ42" t="n">
        <v>160.0</v>
      </c>
      <c r="BK42"/>
      <c r="BL42"/>
      <c r="BM42"/>
      <c r="BN42"/>
      <c r="BO42" t="inlineStr">
        <is>
          <t>L/kg</t>
        </is>
      </c>
      <c r="BP42"/>
      <c r="BQ42"/>
      <c r="BR42"/>
      <c r="BS42"/>
      <c r="BT42"/>
      <c r="BU42"/>
      <c r="BV42"/>
      <c r="BW42"/>
      <c r="BX42"/>
      <c r="BY42"/>
      <c r="BZ42"/>
      <c r="CA42"/>
      <c r="CB42"/>
      <c r="CC42"/>
      <c r="CD42" t="inlineStr">
        <is>
          <t>Vogs,C., G. Johanson, M. Naslund, S. Wulff, M. Sjodin, M. Hellstrandh, J. Lindberg, and E. Wincent</t>
        </is>
      </c>
      <c r="CE42" t="n">
        <v>181482.0</v>
      </c>
      <c r="CF42" t="inlineStr">
        <is>
          <t>Toxicokinetics of Perfluorinated Alkyl Acids Influences Their Toxic Potency in the Zebrafish Embryo (Danio rerio)</t>
        </is>
      </c>
      <c r="CG42" t="inlineStr">
        <is>
          <t>Environ. Sci. Technol.53(7): 3898-3907</t>
        </is>
      </c>
      <c r="CH42" t="n">
        <v>2019.0</v>
      </c>
      <c r="CI42"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43">
      <c r="A43" t="n">
        <v>3871996.0</v>
      </c>
      <c r="B43" t="inlineStr">
        <is>
          <t>1,1,2,2,3,3,4,4,5,5,6,6,6-Tridecafluoro-1-hexanesulfonic acid potassium salt</t>
        </is>
      </c>
      <c r="C43"/>
      <c r="D43" t="inlineStr">
        <is>
          <t>Measured</t>
        </is>
      </c>
      <c r="E43" t="inlineStr">
        <is>
          <t>&gt;=</t>
        </is>
      </c>
      <c r="F43" t="n">
        <v>98.0</v>
      </c>
      <c r="G43"/>
      <c r="H43"/>
      <c r="I43"/>
      <c r="J43"/>
      <c r="K43" t="inlineStr">
        <is>
          <t>Danio rerio</t>
        </is>
      </c>
      <c r="L43" t="inlineStr">
        <is>
          <t>Zebra Danio</t>
        </is>
      </c>
      <c r="M43" t="inlineStr">
        <is>
          <t>Fish; Standard Test Species</t>
        </is>
      </c>
      <c r="N43" t="inlineStr">
        <is>
          <t>Embryo</t>
        </is>
      </c>
      <c r="O43"/>
      <c r="P43" t="n">
        <v>2.0</v>
      </c>
      <c r="Q43"/>
      <c r="R43"/>
      <c r="S43"/>
      <c r="T43"/>
      <c r="U43" t="inlineStr">
        <is>
          <t>Hours post fertilization</t>
        </is>
      </c>
      <c r="V43" t="inlineStr">
        <is>
          <t>Renewal</t>
        </is>
      </c>
      <c r="W43" t="inlineStr">
        <is>
          <t>Fresh water</t>
        </is>
      </c>
      <c r="X43" t="inlineStr">
        <is>
          <t>Lab</t>
        </is>
      </c>
      <c r="Y43" t="n">
        <v>4.0</v>
      </c>
      <c r="Z43" t="inlineStr">
        <is>
          <t>Active ingredient</t>
        </is>
      </c>
      <c r="AA43"/>
      <c r="AB43" t="n">
        <v>0.26352582</v>
      </c>
      <c r="AC43"/>
      <c r="AD43"/>
      <c r="AE43"/>
      <c r="AF43"/>
      <c r="AG43" t="inlineStr">
        <is>
          <t>AI mg/L</t>
        </is>
      </c>
      <c r="AH43"/>
      <c r="AI43"/>
      <c r="AJ43"/>
      <c r="AK43"/>
      <c r="AL43"/>
      <c r="AM43"/>
      <c r="AN43"/>
      <c r="AO43"/>
      <c r="AP43"/>
      <c r="AQ43"/>
      <c r="AR43"/>
      <c r="AS43"/>
      <c r="AT43"/>
      <c r="AU43"/>
      <c r="AV43"/>
      <c r="AW43"/>
      <c r="AX43" t="inlineStr">
        <is>
          <t>Accumulation</t>
        </is>
      </c>
      <c r="AY43" t="inlineStr">
        <is>
          <t>Residue</t>
        </is>
      </c>
      <c r="AZ43" t="inlineStr">
        <is>
          <t>BCFD</t>
        </is>
      </c>
      <c r="BA43" t="inlineStr">
        <is>
          <t>Whole organism</t>
        </is>
      </c>
      <c r="BB43"/>
      <c r="BC43" t="n">
        <v>4.9167</v>
      </c>
      <c r="BD43"/>
      <c r="BE43"/>
      <c r="BF43"/>
      <c r="BG43"/>
      <c r="BH43" t="inlineStr">
        <is>
          <t>Day(s)</t>
        </is>
      </c>
      <c r="BI43"/>
      <c r="BJ43" t="n">
        <v>220.0</v>
      </c>
      <c r="BK43"/>
      <c r="BL43"/>
      <c r="BM43"/>
      <c r="BN43"/>
      <c r="BO43" t="inlineStr">
        <is>
          <t>L/kg</t>
        </is>
      </c>
      <c r="BP43"/>
      <c r="BQ43"/>
      <c r="BR43"/>
      <c r="BS43"/>
      <c r="BT43"/>
      <c r="BU43"/>
      <c r="BV43"/>
      <c r="BW43"/>
      <c r="BX43"/>
      <c r="BY43"/>
      <c r="BZ43"/>
      <c r="CA43"/>
      <c r="CB43"/>
      <c r="CC43"/>
      <c r="CD43" t="inlineStr">
        <is>
          <t>Vogs,C., G. Johanson, M. Naslund, S. Wulff, M. Sjodin, M. Hellstrandh, J. Lindberg, and E. Wincent</t>
        </is>
      </c>
      <c r="CE43" t="n">
        <v>181482.0</v>
      </c>
      <c r="CF43" t="inlineStr">
        <is>
          <t>Toxicokinetics of Perfluorinated Alkyl Acids Influences Their Toxic Potency in the Zebrafish Embryo (Danio rerio)</t>
        </is>
      </c>
      <c r="CG43" t="inlineStr">
        <is>
          <t>Environ. Sci. Technol.53(7): 3898-3907</t>
        </is>
      </c>
      <c r="CH43" t="n">
        <v>2019.0</v>
      </c>
      <c r="CI43"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44">
      <c r="A44" t="n">
        <v>3871996.0</v>
      </c>
      <c r="B44" t="inlineStr">
        <is>
          <t>1,1,2,2,3,3,4,4,5,5,6,6,6-Tridecafluoro-1-hexanesulfonic acid potassium salt</t>
        </is>
      </c>
      <c r="C44"/>
      <c r="D44" t="inlineStr">
        <is>
          <t>Measured</t>
        </is>
      </c>
      <c r="E44" t="inlineStr">
        <is>
          <t>&gt;=</t>
        </is>
      </c>
      <c r="F44" t="n">
        <v>98.0</v>
      </c>
      <c r="G44"/>
      <c r="H44"/>
      <c r="I44"/>
      <c r="J44"/>
      <c r="K44" t="inlineStr">
        <is>
          <t>Danio rerio</t>
        </is>
      </c>
      <c r="L44" t="inlineStr">
        <is>
          <t>Zebra Danio</t>
        </is>
      </c>
      <c r="M44" t="inlineStr">
        <is>
          <t>Fish; Standard Test Species</t>
        </is>
      </c>
      <c r="N44" t="inlineStr">
        <is>
          <t>Embryo</t>
        </is>
      </c>
      <c r="O44"/>
      <c r="P44" t="n">
        <v>2.0</v>
      </c>
      <c r="Q44"/>
      <c r="R44"/>
      <c r="S44"/>
      <c r="T44"/>
      <c r="U44" t="inlineStr">
        <is>
          <t>Hours post fertilization</t>
        </is>
      </c>
      <c r="V44" t="inlineStr">
        <is>
          <t>Renewal</t>
        </is>
      </c>
      <c r="W44" t="inlineStr">
        <is>
          <t>Fresh water</t>
        </is>
      </c>
      <c r="X44" t="inlineStr">
        <is>
          <t>Lab</t>
        </is>
      </c>
      <c r="Y44" t="n">
        <v>4.0</v>
      </c>
      <c r="Z44" t="inlineStr">
        <is>
          <t>Active ingredient</t>
        </is>
      </c>
      <c r="AA44"/>
      <c r="AB44" t="n">
        <v>0.35136776</v>
      </c>
      <c r="AC44"/>
      <c r="AD44"/>
      <c r="AE44"/>
      <c r="AF44"/>
      <c r="AG44" t="inlineStr">
        <is>
          <t>AI mg/L</t>
        </is>
      </c>
      <c r="AH44"/>
      <c r="AI44"/>
      <c r="AJ44"/>
      <c r="AK44"/>
      <c r="AL44"/>
      <c r="AM44"/>
      <c r="AN44"/>
      <c r="AO44"/>
      <c r="AP44"/>
      <c r="AQ44"/>
      <c r="AR44"/>
      <c r="AS44"/>
      <c r="AT44"/>
      <c r="AU44"/>
      <c r="AV44"/>
      <c r="AW44"/>
      <c r="AX44" t="inlineStr">
        <is>
          <t>Accumulation</t>
        </is>
      </c>
      <c r="AY44" t="inlineStr">
        <is>
          <t>Residue</t>
        </is>
      </c>
      <c r="AZ44" t="inlineStr">
        <is>
          <t>BCFD</t>
        </is>
      </c>
      <c r="BA44" t="inlineStr">
        <is>
          <t>Whole organism</t>
        </is>
      </c>
      <c r="BB44"/>
      <c r="BC44" t="n">
        <v>4.9167</v>
      </c>
      <c r="BD44"/>
      <c r="BE44"/>
      <c r="BF44"/>
      <c r="BG44"/>
      <c r="BH44" t="inlineStr">
        <is>
          <t>Day(s)</t>
        </is>
      </c>
      <c r="BI44"/>
      <c r="BJ44" t="n">
        <v>230.0</v>
      </c>
      <c r="BK44"/>
      <c r="BL44"/>
      <c r="BM44"/>
      <c r="BN44"/>
      <c r="BO44" t="inlineStr">
        <is>
          <t>L/kg</t>
        </is>
      </c>
      <c r="BP44"/>
      <c r="BQ44"/>
      <c r="BR44"/>
      <c r="BS44"/>
      <c r="BT44"/>
      <c r="BU44"/>
      <c r="BV44"/>
      <c r="BW44"/>
      <c r="BX44"/>
      <c r="BY44"/>
      <c r="BZ44"/>
      <c r="CA44"/>
      <c r="CB44"/>
      <c r="CC44"/>
      <c r="CD44" t="inlineStr">
        <is>
          <t>Vogs,C., G. Johanson, M. Naslund, S. Wulff, M. Sjodin, M. Hellstrandh, J. Lindberg, and E. Wincent</t>
        </is>
      </c>
      <c r="CE44" t="n">
        <v>181482.0</v>
      </c>
      <c r="CF44" t="inlineStr">
        <is>
          <t>Toxicokinetics of Perfluorinated Alkyl Acids Influences Their Toxic Potency in the Zebrafish Embryo (Danio rerio)</t>
        </is>
      </c>
      <c r="CG44" t="inlineStr">
        <is>
          <t>Environ. Sci. Technol.53(7): 3898-3907</t>
        </is>
      </c>
      <c r="CH44" t="n">
        <v>2019.0</v>
      </c>
      <c r="CI44"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row>
    <row r="45">
      <c r="A45" t="n">
        <v>3871996.0</v>
      </c>
      <c r="B45" t="inlineStr">
        <is>
          <t>1,1,2,2,3,3,4,4,5,5,6,6,6-Tridecafluoro-1-hexanesulfonic acid potassium salt</t>
        </is>
      </c>
      <c r="C45"/>
      <c r="D45" t="inlineStr">
        <is>
          <t>Measured</t>
        </is>
      </c>
      <c r="E45" t="inlineStr">
        <is>
          <t>&gt;=</t>
        </is>
      </c>
      <c r="F45" t="n">
        <v>98.0</v>
      </c>
      <c r="G45"/>
      <c r="H45"/>
      <c r="I45"/>
      <c r="J45"/>
      <c r="K45" t="inlineStr">
        <is>
          <t>Pimephales promelas</t>
        </is>
      </c>
      <c r="L45" t="inlineStr">
        <is>
          <t>Fathead Minnow</t>
        </is>
      </c>
      <c r="M45" t="inlineStr">
        <is>
          <t>Fish; Standard Test Species</t>
        </is>
      </c>
      <c r="N45" t="inlineStr">
        <is>
          <t>Sexually mature</t>
        </is>
      </c>
      <c r="O45"/>
      <c r="P45" t="n">
        <v>5.0</v>
      </c>
      <c r="Q45"/>
      <c r="R45"/>
      <c r="S45"/>
      <c r="T45"/>
      <c r="U45" t="inlineStr">
        <is>
          <t>Month(s)</t>
        </is>
      </c>
      <c r="V45" t="inlineStr">
        <is>
          <t>Renewal</t>
        </is>
      </c>
      <c r="W45" t="inlineStr">
        <is>
          <t>Fresh water</t>
        </is>
      </c>
      <c r="X45" t="inlineStr">
        <is>
          <t>Lab</t>
        </is>
      </c>
      <c r="Y45" t="n">
        <v>5.0</v>
      </c>
      <c r="Z45" t="inlineStr">
        <is>
          <t>Active ingredient</t>
        </is>
      </c>
      <c r="AA45"/>
      <c r="AB45" t="n">
        <v>0.301</v>
      </c>
      <c r="AC45"/>
      <c r="AD45"/>
      <c r="AE45"/>
      <c r="AF45"/>
      <c r="AG45" t="inlineStr">
        <is>
          <t>AI mg/L</t>
        </is>
      </c>
      <c r="AH45"/>
      <c r="AI45"/>
      <c r="AJ45"/>
      <c r="AK45"/>
      <c r="AL45"/>
      <c r="AM45"/>
      <c r="AN45"/>
      <c r="AO45"/>
      <c r="AP45"/>
      <c r="AQ45"/>
      <c r="AR45"/>
      <c r="AS45"/>
      <c r="AT45"/>
      <c r="AU45"/>
      <c r="AV45"/>
      <c r="AW45"/>
      <c r="AX45" t="inlineStr">
        <is>
          <t>Accumulation</t>
        </is>
      </c>
      <c r="AY45" t="inlineStr">
        <is>
          <t>Residue</t>
        </is>
      </c>
      <c r="AZ45" t="inlineStr">
        <is>
          <t>LOEC</t>
        </is>
      </c>
      <c r="BA45" t="inlineStr">
        <is>
          <t>Ovaries</t>
        </is>
      </c>
      <c r="BB45"/>
      <c r="BC45" t="n">
        <v>42.0</v>
      </c>
      <c r="BD45"/>
      <c r="BE45"/>
      <c r="BF45"/>
      <c r="BG45"/>
      <c r="BH45" t="inlineStr">
        <is>
          <t>Day(s)</t>
        </is>
      </c>
      <c r="BI45"/>
      <c r="BJ45"/>
      <c r="BK45"/>
      <c r="BL45"/>
      <c r="BM45"/>
      <c r="BN45"/>
      <c r="BO45" t="inlineStr">
        <is>
          <t>--</t>
        </is>
      </c>
      <c r="BP45"/>
      <c r="BQ45"/>
      <c r="BR45"/>
      <c r="BS45"/>
      <c r="BT45"/>
      <c r="BU45"/>
      <c r="BV45"/>
      <c r="BW45"/>
      <c r="BX45"/>
      <c r="BY45"/>
      <c r="BZ45"/>
      <c r="CA45"/>
      <c r="CB45"/>
      <c r="CC45"/>
      <c r="CD45" t="inlineStr">
        <is>
          <t>Suski,J.G., C.J. Salice, M.K. Chanov, J. Ayers, J. Rewerts, and J. Field</t>
        </is>
      </c>
      <c r="CE45" t="n">
        <v>185548.0</v>
      </c>
      <c r="CF45" t="inlineStr">
        <is>
          <t>Sensitivity and Accumulation of Perfluorooctanesulfonate and Perfluorohexanesulfonic Acid in Fathead Minnows (Pimephales promelas) Exposed over Critical Life Stages of Reproduction and Development</t>
        </is>
      </c>
      <c r="CG45" t="inlineStr">
        <is>
          <t>Environ. Toxicol. Chem.40(3): 811-819</t>
        </is>
      </c>
      <c r="CH45" t="n">
        <v>2021.0</v>
      </c>
      <c r="CI45"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row>
    <row r="46">
      <c r="A46" t="n">
        <v>3871996.0</v>
      </c>
      <c r="B46" t="inlineStr">
        <is>
          <t>1,1,2,2,3,3,4,4,5,5,6,6,6-Tridecafluoro-1-hexanesulfonic acid potassium salt</t>
        </is>
      </c>
      <c r="C46"/>
      <c r="D46" t="inlineStr">
        <is>
          <t>Measured</t>
        </is>
      </c>
      <c r="E46"/>
      <c r="F46"/>
      <c r="G46"/>
      <c r="H46"/>
      <c r="I46"/>
      <c r="J46"/>
      <c r="K46" t="inlineStr">
        <is>
          <t>Danio rerio</t>
        </is>
      </c>
      <c r="L46" t="inlineStr">
        <is>
          <t>Zebra Danio</t>
        </is>
      </c>
      <c r="M46" t="inlineStr">
        <is>
          <t>Fish; Standard Test Species</t>
        </is>
      </c>
      <c r="N46" t="inlineStr">
        <is>
          <t>Embryo</t>
        </is>
      </c>
      <c r="O46"/>
      <c r="P46" t="n">
        <v>0.0</v>
      </c>
      <c r="Q46"/>
      <c r="R46"/>
      <c r="S46"/>
      <c r="T46"/>
      <c r="U46" t="inlineStr">
        <is>
          <t>Days post fertilization</t>
        </is>
      </c>
      <c r="V46" t="inlineStr">
        <is>
          <t>Renewal</t>
        </is>
      </c>
      <c r="W46" t="inlineStr">
        <is>
          <t>Fresh water</t>
        </is>
      </c>
      <c r="X46" t="inlineStr">
        <is>
          <t>Lab</t>
        </is>
      </c>
      <c r="Y46" t="n">
        <v>4.0</v>
      </c>
      <c r="Z46" t="inlineStr">
        <is>
          <t>Active ingredient</t>
        </is>
      </c>
      <c r="AA46"/>
      <c r="AB46" t="n">
        <v>9.07</v>
      </c>
      <c r="AC46"/>
      <c r="AD46"/>
      <c r="AE46"/>
      <c r="AF46"/>
      <c r="AG46" t="inlineStr">
        <is>
          <t>AI mg/L</t>
        </is>
      </c>
      <c r="AH46"/>
      <c r="AI46"/>
      <c r="AJ46"/>
      <c r="AK46"/>
      <c r="AL46"/>
      <c r="AM46"/>
      <c r="AN46"/>
      <c r="AO46"/>
      <c r="AP46"/>
      <c r="AQ46"/>
      <c r="AR46"/>
      <c r="AS46"/>
      <c r="AT46"/>
      <c r="AU46"/>
      <c r="AV46"/>
      <c r="AW46"/>
      <c r="AX46" t="inlineStr">
        <is>
          <t>Accumulation</t>
        </is>
      </c>
      <c r="AY46" t="inlineStr">
        <is>
          <t>Residue</t>
        </is>
      </c>
      <c r="AZ46" t="inlineStr">
        <is>
          <t>LOEC</t>
        </is>
      </c>
      <c r="BA46" t="inlineStr">
        <is>
          <t>Whole organism</t>
        </is>
      </c>
      <c r="BB46"/>
      <c r="BC46" t="n">
        <v>6.0</v>
      </c>
      <c r="BD46"/>
      <c r="BE46"/>
      <c r="BF46"/>
      <c r="BG46"/>
      <c r="BH46" t="inlineStr">
        <is>
          <t>Day(s)</t>
        </is>
      </c>
      <c r="BI46"/>
      <c r="BJ46"/>
      <c r="BK46"/>
      <c r="BL46"/>
      <c r="BM46"/>
      <c r="BN46"/>
      <c r="BO46" t="inlineStr">
        <is>
          <t>--</t>
        </is>
      </c>
      <c r="BP46"/>
      <c r="BQ46"/>
      <c r="BR46"/>
      <c r="BS46"/>
      <c r="BT46"/>
      <c r="BU46"/>
      <c r="BV46"/>
      <c r="BW46"/>
      <c r="BX46"/>
      <c r="BY46"/>
      <c r="BZ46"/>
      <c r="CA46"/>
      <c r="CB46"/>
      <c r="CC46"/>
      <c r="CD46" t="inlineStr">
        <is>
          <t>Gaballah,S., A. Swank, J.R. Sobus, X.M. Howey, J. Schmid, T. Catron, J. Mccord, E. Hines, M. Strynar, and T. Tal</t>
        </is>
      </c>
      <c r="CE46" t="n">
        <v>182530.0</v>
      </c>
      <c r="CF46" t="inlineStr">
        <is>
          <t>Evaluation of Developmental Toxicity, Developmental Neurotoxicity, and Tissue Dose in Zebrafish Exposed to GenX and Other PFAS</t>
        </is>
      </c>
      <c r="CG46" t="inlineStr">
        <is>
          <t>Environ. Health Perspect.128(4): 047005-01 - 047005-22</t>
        </is>
      </c>
      <c r="CH46" t="n">
        <v>2020.0</v>
      </c>
      <c r="CI46"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row>
    <row r="47">
      <c r="A47" t="n">
        <v>3871996.0</v>
      </c>
      <c r="B47" t="inlineStr">
        <is>
          <t>1,1,2,2,3,3,4,4,5,5,6,6,6-Tridecafluoro-1-hexanesulfonic acid potassium salt</t>
        </is>
      </c>
      <c r="C47"/>
      <c r="D47" t="inlineStr">
        <is>
          <t>Measured</t>
        </is>
      </c>
      <c r="E47" t="inlineStr">
        <is>
          <t>&gt;=</t>
        </is>
      </c>
      <c r="F47" t="n">
        <v>98.0</v>
      </c>
      <c r="G47"/>
      <c r="H47"/>
      <c r="I47"/>
      <c r="J47"/>
      <c r="K47" t="inlineStr">
        <is>
          <t>Pimephales promelas</t>
        </is>
      </c>
      <c r="L47" t="inlineStr">
        <is>
          <t>Fathead Minnow</t>
        </is>
      </c>
      <c r="M47" t="inlineStr">
        <is>
          <t>Fish; Standard Test Species</t>
        </is>
      </c>
      <c r="N47" t="inlineStr">
        <is>
          <t>Sexually mature</t>
        </is>
      </c>
      <c r="O47"/>
      <c r="P47" t="n">
        <v>5.0</v>
      </c>
      <c r="Q47"/>
      <c r="R47"/>
      <c r="S47"/>
      <c r="T47"/>
      <c r="U47" t="inlineStr">
        <is>
          <t>Month(s)</t>
        </is>
      </c>
      <c r="V47" t="inlineStr">
        <is>
          <t>Renewal</t>
        </is>
      </c>
      <c r="W47" t="inlineStr">
        <is>
          <t>Fresh water</t>
        </is>
      </c>
      <c r="X47" t="inlineStr">
        <is>
          <t>Lab</t>
        </is>
      </c>
      <c r="Y47" t="n">
        <v>5.0</v>
      </c>
      <c r="Z47" t="inlineStr">
        <is>
          <t>Active ingredient</t>
        </is>
      </c>
      <c r="AA47"/>
      <c r="AB47" t="n">
        <v>0.18</v>
      </c>
      <c r="AC47"/>
      <c r="AD47"/>
      <c r="AE47"/>
      <c r="AF47"/>
      <c r="AG47" t="inlineStr">
        <is>
          <t>AI mg/L</t>
        </is>
      </c>
      <c r="AH47"/>
      <c r="AI47"/>
      <c r="AJ47"/>
      <c r="AK47"/>
      <c r="AL47"/>
      <c r="AM47"/>
      <c r="AN47"/>
      <c r="AO47"/>
      <c r="AP47"/>
      <c r="AQ47"/>
      <c r="AR47"/>
      <c r="AS47"/>
      <c r="AT47"/>
      <c r="AU47"/>
      <c r="AV47"/>
      <c r="AW47"/>
      <c r="AX47" t="inlineStr">
        <is>
          <t>Accumulation</t>
        </is>
      </c>
      <c r="AY47" t="inlineStr">
        <is>
          <t>Residue</t>
        </is>
      </c>
      <c r="AZ47" t="inlineStr">
        <is>
          <t>NOEC</t>
        </is>
      </c>
      <c r="BA47" t="inlineStr">
        <is>
          <t>Ovaries</t>
        </is>
      </c>
      <c r="BB47"/>
      <c r="BC47" t="n">
        <v>42.0</v>
      </c>
      <c r="BD47"/>
      <c r="BE47"/>
      <c r="BF47"/>
      <c r="BG47"/>
      <c r="BH47" t="inlineStr">
        <is>
          <t>Day(s)</t>
        </is>
      </c>
      <c r="BI47"/>
      <c r="BJ47"/>
      <c r="BK47"/>
      <c r="BL47"/>
      <c r="BM47"/>
      <c r="BN47"/>
      <c r="BO47" t="inlineStr">
        <is>
          <t>--</t>
        </is>
      </c>
      <c r="BP47"/>
      <c r="BQ47"/>
      <c r="BR47"/>
      <c r="BS47"/>
      <c r="BT47"/>
      <c r="BU47"/>
      <c r="BV47"/>
      <c r="BW47"/>
      <c r="BX47"/>
      <c r="BY47"/>
      <c r="BZ47"/>
      <c r="CA47"/>
      <c r="CB47"/>
      <c r="CC47"/>
      <c r="CD47" t="inlineStr">
        <is>
          <t>Suski,J.G., C.J. Salice, M.K. Chanov, J. Ayers, J. Rewerts, and J. Field</t>
        </is>
      </c>
      <c r="CE47" t="n">
        <v>185548.0</v>
      </c>
      <c r="CF47" t="inlineStr">
        <is>
          <t>Sensitivity and Accumulation of Perfluorooctanesulfonate and Perfluorohexanesulfonic Acid in Fathead Minnows (Pimephales promelas) Exposed over Critical Life Stages of Reproduction and Development</t>
        </is>
      </c>
      <c r="CG47" t="inlineStr">
        <is>
          <t>Environ. Toxicol. Chem.40(3): 811-819</t>
        </is>
      </c>
      <c r="CH47" t="n">
        <v>2021.0</v>
      </c>
      <c r="CI47"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row>
    <row r="48">
      <c r="A48" t="n">
        <v>3871996.0</v>
      </c>
      <c r="B48" t="inlineStr">
        <is>
          <t>1,1,2,2,3,3,4,4,5,5,6,6,6-Tridecafluoro-1-hexanesulfonic acid potassium salt</t>
        </is>
      </c>
      <c r="C48"/>
      <c r="D48" t="inlineStr">
        <is>
          <t>Unmeasured</t>
        </is>
      </c>
      <c r="E48"/>
      <c r="F48"/>
      <c r="G48"/>
      <c r="H48"/>
      <c r="I48"/>
      <c r="J48"/>
      <c r="K48" t="inlineStr">
        <is>
          <t>Danio rerio</t>
        </is>
      </c>
      <c r="L48" t="inlineStr">
        <is>
          <t>Zebra Danio</t>
        </is>
      </c>
      <c r="M48" t="inlineStr">
        <is>
          <t>Fish; Standard Test Species</t>
        </is>
      </c>
      <c r="N48" t="inlineStr">
        <is>
          <t>Embryo</t>
        </is>
      </c>
      <c r="O48"/>
      <c r="P48"/>
      <c r="Q48"/>
      <c r="R48" t="n">
        <v>0.0</v>
      </c>
      <c r="S48"/>
      <c r="T48" t="n">
        <v>1.0</v>
      </c>
      <c r="U48" t="inlineStr">
        <is>
          <t>Hours post fertilization</t>
        </is>
      </c>
      <c r="V48" t="inlineStr">
        <is>
          <t>Renewal</t>
        </is>
      </c>
      <c r="W48" t="inlineStr">
        <is>
          <t>Culture</t>
        </is>
      </c>
      <c r="X48" t="inlineStr">
        <is>
          <t>Lab</t>
        </is>
      </c>
      <c r="Y48" t="n">
        <v>3.0</v>
      </c>
      <c r="Z48" t="inlineStr">
        <is>
          <t>Formulation</t>
        </is>
      </c>
      <c r="AA48"/>
      <c r="AB48" t="n">
        <v>2.1960485</v>
      </c>
      <c r="AC48"/>
      <c r="AD48"/>
      <c r="AE48"/>
      <c r="AF48"/>
      <c r="AG48" t="inlineStr">
        <is>
          <t>AI mg/L</t>
        </is>
      </c>
      <c r="AH48"/>
      <c r="AI48"/>
      <c r="AJ48"/>
      <c r="AK48"/>
      <c r="AL48"/>
      <c r="AM48"/>
      <c r="AN48"/>
      <c r="AO48"/>
      <c r="AP48"/>
      <c r="AQ48"/>
      <c r="AR48"/>
      <c r="AS48"/>
      <c r="AT48"/>
      <c r="AU48"/>
      <c r="AV48"/>
      <c r="AW48"/>
      <c r="AX48" t="inlineStr">
        <is>
          <t>Accumulation</t>
        </is>
      </c>
      <c r="AY48" t="inlineStr">
        <is>
          <t>Residue</t>
        </is>
      </c>
      <c r="AZ48"/>
      <c r="BA48" t="inlineStr">
        <is>
          <t>Whole organism</t>
        </is>
      </c>
      <c r="BB48"/>
      <c r="BC48"/>
      <c r="BD48"/>
      <c r="BE48" t="n">
        <v>2.0</v>
      </c>
      <c r="BF48"/>
      <c r="BG48" t="n">
        <v>5.0</v>
      </c>
      <c r="BH48" t="inlineStr">
        <is>
          <t>Day(s)</t>
        </is>
      </c>
      <c r="BI48"/>
      <c r="BJ48"/>
      <c r="BK48"/>
      <c r="BL48"/>
      <c r="BM48"/>
      <c r="BN48"/>
      <c r="BO48" t="inlineStr">
        <is>
          <t>--</t>
        </is>
      </c>
      <c r="BP48"/>
      <c r="BQ48"/>
      <c r="BR48"/>
      <c r="BS48"/>
      <c r="BT48"/>
      <c r="BU48"/>
      <c r="BV48"/>
      <c r="BW48"/>
      <c r="BX48"/>
      <c r="BY48"/>
      <c r="BZ48"/>
      <c r="CA48"/>
      <c r="CB48"/>
      <c r="CC48"/>
      <c r="CD48" t="inlineStr">
        <is>
          <t>Ulhaq,Z.S., and W.K.F. Tse</t>
        </is>
      </c>
      <c r="CE48" t="n">
        <v>191140.0</v>
      </c>
      <c r="CF48" t="inlineStr">
        <is>
          <t>Perfluorohexanesulfonic Acid (PFHxS) Induces Oxidative Stress and Causes Developmental Toxicities in Zebrafish Embryos</t>
        </is>
      </c>
      <c r="CG48" t="inlineStr">
        <is>
          <t>J. Hazard. Mater.457:16 p.</t>
        </is>
      </c>
      <c r="CH48" t="n">
        <v>2023.0</v>
      </c>
      <c r="CI48" t="inlineStr">
        <is>
          <t>Ulhaq,Z.S., and W.K.F. Tse (2023). Perfluorohexanesulfonic Acid (PFHxS) Induces Oxidative Stress and Causes Developmental Toxicities in Zebrafish Embryos. J. Hazard. Mater., 457, 16 p. doi:10.1016/j.jhazmat.2023.131722. ECOREF#:191140</t>
        </is>
      </c>
    </row>
    <row r="49">
      <c r="A49" t="n">
        <v>3871996.0</v>
      </c>
      <c r="B49" t="inlineStr">
        <is>
          <t>1,1,2,2,3,3,4,4,5,5,6,6,6-Tridecafluoro-1-hexanesulfonic acid potassium salt</t>
        </is>
      </c>
      <c r="C49"/>
      <c r="D49" t="inlineStr">
        <is>
          <t>Measured</t>
        </is>
      </c>
      <c r="E49" t="inlineStr">
        <is>
          <t>&gt;=</t>
        </is>
      </c>
      <c r="F49" t="n">
        <v>98.0</v>
      </c>
      <c r="G49"/>
      <c r="H49"/>
      <c r="I49"/>
      <c r="J49"/>
      <c r="K49" t="inlineStr">
        <is>
          <t>Pimephales promelas</t>
        </is>
      </c>
      <c r="L49" t="inlineStr">
        <is>
          <t>Fathead Minnow</t>
        </is>
      </c>
      <c r="M49" t="inlineStr">
        <is>
          <t>Fish; Standard Test Species</t>
        </is>
      </c>
      <c r="N49" t="inlineStr">
        <is>
          <t>Sexually mature</t>
        </is>
      </c>
      <c r="O49"/>
      <c r="P49" t="n">
        <v>5.0</v>
      </c>
      <c r="Q49"/>
      <c r="R49"/>
      <c r="S49"/>
      <c r="T49"/>
      <c r="U49" t="inlineStr">
        <is>
          <t>Month(s)</t>
        </is>
      </c>
      <c r="V49" t="inlineStr">
        <is>
          <t>Renewal</t>
        </is>
      </c>
      <c r="W49" t="inlineStr">
        <is>
          <t>Fresh water</t>
        </is>
      </c>
      <c r="X49" t="inlineStr">
        <is>
          <t>Lab</t>
        </is>
      </c>
      <c r="Y49" t="n">
        <v>5.0</v>
      </c>
      <c r="Z49" t="inlineStr">
        <is>
          <t>Active ingredient</t>
        </is>
      </c>
      <c r="AA49"/>
      <c r="AB49"/>
      <c r="AC49"/>
      <c r="AD49" t="n">
        <v>0.18</v>
      </c>
      <c r="AE49"/>
      <c r="AF49" t="n">
        <v>1.238</v>
      </c>
      <c r="AG49" t="inlineStr">
        <is>
          <t>AI mg/L</t>
        </is>
      </c>
      <c r="AH49"/>
      <c r="AI49"/>
      <c r="AJ49"/>
      <c r="AK49"/>
      <c r="AL49"/>
      <c r="AM49"/>
      <c r="AN49"/>
      <c r="AO49"/>
      <c r="AP49"/>
      <c r="AQ49"/>
      <c r="AR49"/>
      <c r="AS49"/>
      <c r="AT49"/>
      <c r="AU49"/>
      <c r="AV49"/>
      <c r="AW49"/>
      <c r="AX49" t="inlineStr">
        <is>
          <t>Accumulation</t>
        </is>
      </c>
      <c r="AY49" t="inlineStr">
        <is>
          <t>Residue</t>
        </is>
      </c>
      <c r="AZ49"/>
      <c r="BA49" t="inlineStr">
        <is>
          <t>Testes</t>
        </is>
      </c>
      <c r="BB49"/>
      <c r="BC49" t="n">
        <v>42.0</v>
      </c>
      <c r="BD49"/>
      <c r="BE49"/>
      <c r="BF49"/>
      <c r="BG49"/>
      <c r="BH49" t="inlineStr">
        <is>
          <t>Day(s)</t>
        </is>
      </c>
      <c r="BI49"/>
      <c r="BJ49"/>
      <c r="BK49"/>
      <c r="BL49"/>
      <c r="BM49"/>
      <c r="BN49"/>
      <c r="BO49" t="inlineStr">
        <is>
          <t>--</t>
        </is>
      </c>
      <c r="BP49"/>
      <c r="BQ49"/>
      <c r="BR49"/>
      <c r="BS49"/>
      <c r="BT49"/>
      <c r="BU49"/>
      <c r="BV49"/>
      <c r="BW49"/>
      <c r="BX49"/>
      <c r="BY49"/>
      <c r="BZ49"/>
      <c r="CA49"/>
      <c r="CB49"/>
      <c r="CC49"/>
      <c r="CD49" t="inlineStr">
        <is>
          <t>Suski,J.G., C.J. Salice, M.K. Chanov, J. Ayers, J. Rewerts, and J. Field</t>
        </is>
      </c>
      <c r="CE49" t="n">
        <v>185548.0</v>
      </c>
      <c r="CF49" t="inlineStr">
        <is>
          <t>Sensitivity and Accumulation of Perfluorooctanesulfonate and Perfluorohexanesulfonic Acid in Fathead Minnows (Pimephales promelas) Exposed over Critical Life Stages of Reproduction and Development</t>
        </is>
      </c>
      <c r="CG49" t="inlineStr">
        <is>
          <t>Environ. Toxicol. Chem.40(3): 811-819</t>
        </is>
      </c>
      <c r="CH49" t="n">
        <v>2021.0</v>
      </c>
      <c r="CI49"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row>
    <row r="50">
      <c r="A50" t="n">
        <v>3871996.0</v>
      </c>
      <c r="B50" t="inlineStr">
        <is>
          <t>1,1,2,2,3,3,4,4,5,5,6,6,6-Tridecafluoro-1-hexanesulfonic acid potassium salt</t>
        </is>
      </c>
      <c r="C50"/>
      <c r="D50" t="inlineStr">
        <is>
          <t>Measured</t>
        </is>
      </c>
      <c r="E50" t="inlineStr">
        <is>
          <t>&gt;=</t>
        </is>
      </c>
      <c r="F50" t="n">
        <v>98.0</v>
      </c>
      <c r="G50"/>
      <c r="H50"/>
      <c r="I50"/>
      <c r="J50"/>
      <c r="K50" t="inlineStr">
        <is>
          <t>Oncorhynchus mykiss</t>
        </is>
      </c>
      <c r="L50" t="inlineStr">
        <is>
          <t>Rainbow Trout</t>
        </is>
      </c>
      <c r="M50" t="inlineStr">
        <is>
          <t>Fish; Standard Test Species; U.S. Threatened and Endangered Species</t>
        </is>
      </c>
      <c r="N50" t="inlineStr">
        <is>
          <t>Adult</t>
        </is>
      </c>
      <c r="O50" t="inlineStr">
        <is>
          <t>&gt;</t>
        </is>
      </c>
      <c r="P50" t="n">
        <v>11.0</v>
      </c>
      <c r="Q50"/>
      <c r="R50"/>
      <c r="S50"/>
      <c r="T50"/>
      <c r="U50" t="inlineStr">
        <is>
          <t>Month(s)</t>
        </is>
      </c>
      <c r="V50" t="inlineStr">
        <is>
          <t>Food</t>
        </is>
      </c>
      <c r="W50" t="inlineStr">
        <is>
          <t>Fresh water</t>
        </is>
      </c>
      <c r="X50" t="inlineStr">
        <is>
          <t>Lab</t>
        </is>
      </c>
      <c r="Y50" t="n">
        <v>1.0</v>
      </c>
      <c r="Z50" t="inlineStr">
        <is>
          <t>Active ingredient</t>
        </is>
      </c>
      <c r="AA50"/>
      <c r="AB50" t="n">
        <v>0.308</v>
      </c>
      <c r="AC50"/>
      <c r="AD50"/>
      <c r="AE50"/>
      <c r="AF50"/>
      <c r="AG50" t="inlineStr">
        <is>
          <t>AI mg/kg food</t>
        </is>
      </c>
      <c r="AH50"/>
      <c r="AI50"/>
      <c r="AJ50"/>
      <c r="AK50"/>
      <c r="AL50"/>
      <c r="AM50"/>
      <c r="AN50"/>
      <c r="AO50"/>
      <c r="AP50"/>
      <c r="AQ50"/>
      <c r="AR50"/>
      <c r="AS50"/>
      <c r="AT50"/>
      <c r="AU50"/>
      <c r="AV50"/>
      <c r="AW50"/>
      <c r="AX50" t="inlineStr">
        <is>
          <t>Accumulation</t>
        </is>
      </c>
      <c r="AY50" t="inlineStr">
        <is>
          <t>Residue</t>
        </is>
      </c>
      <c r="AZ50"/>
      <c r="BA50" t="inlineStr">
        <is>
          <t>Multiple entries</t>
        </is>
      </c>
      <c r="BB50"/>
      <c r="BC50"/>
      <c r="BD50"/>
      <c r="BE50" t="n">
        <v>7.0</v>
      </c>
      <c r="BF50"/>
      <c r="BG50" t="n">
        <v>28.0</v>
      </c>
      <c r="BH50" t="inlineStr">
        <is>
          <t>Day(s)</t>
        </is>
      </c>
      <c r="BI50"/>
      <c r="BJ50"/>
      <c r="BK50"/>
      <c r="BL50"/>
      <c r="BM50"/>
      <c r="BN50"/>
      <c r="BO50" t="inlineStr">
        <is>
          <t>--</t>
        </is>
      </c>
      <c r="BP50"/>
      <c r="BQ50"/>
      <c r="BR50"/>
      <c r="BS50"/>
      <c r="BT50"/>
      <c r="BU50"/>
      <c r="BV50"/>
      <c r="BW50"/>
      <c r="BX50"/>
      <c r="BY50"/>
      <c r="BZ50"/>
      <c r="CA50"/>
      <c r="CB50"/>
      <c r="CC50"/>
      <c r="CD50" t="inlineStr">
        <is>
          <t>Falk,S., K. Failing, S. Georgii, H. Brunn, and T. Stahl</t>
        </is>
      </c>
      <c r="CE50" t="n">
        <v>175197.0</v>
      </c>
      <c r="CF50" t="inlineStr">
        <is>
          <t>Tissue Specific Uptake and Elimination of Perfluoroalkyl Acids (PFAAS) in Adult Rainbow Trout (Oncorhynchus mykiss) After Dietary Exposure</t>
        </is>
      </c>
      <c r="CG50" t="inlineStr">
        <is>
          <t>Chemosphere129:150-156</t>
        </is>
      </c>
      <c r="CH50" t="n">
        <v>2015.0</v>
      </c>
      <c r="CI50" t="inlineStr">
        <is>
          <t>Falk,S., K. Failing, S. Georgii, H. Brunn, and T. Stahl (2015). Tissue Specific Uptake and Elimination of Perfluoroalkyl Acids (PFAAS) in Adult Rainbow Trout (Oncorhynchus mykiss) After Dietary Exposure. Chemosphere, 129, 150-156. doi:10.1016/j.chemosphere.2014.06.061. ECOREF#:175197</t>
        </is>
      </c>
    </row>
    <row r="51">
      <c r="A51" t="n">
        <v>3871996.0</v>
      </c>
      <c r="B51" t="inlineStr">
        <is>
          <t>1,1,2,2,3,3,4,4,5,5,6,6,6-Tridecafluoro-1-hexanesulfonic acid potassium salt</t>
        </is>
      </c>
      <c r="C51"/>
      <c r="D51" t="inlineStr">
        <is>
          <t>Unmeasured</t>
        </is>
      </c>
      <c r="E51"/>
      <c r="F51" t="n">
        <v>97.0</v>
      </c>
      <c r="G51"/>
      <c r="H51"/>
      <c r="I51"/>
      <c r="J51"/>
      <c r="K51" t="inlineStr">
        <is>
          <t>Mytilus californianus</t>
        </is>
      </c>
      <c r="L51" t="inlineStr">
        <is>
          <t>Mussel</t>
        </is>
      </c>
      <c r="M51" t="inlineStr">
        <is>
          <t>Molluscs</t>
        </is>
      </c>
      <c r="N51"/>
      <c r="O51"/>
      <c r="P51"/>
      <c r="Q51"/>
      <c r="R51"/>
      <c r="S51"/>
      <c r="T51"/>
      <c r="U51"/>
      <c r="V51" t="inlineStr">
        <is>
          <t>Static</t>
        </is>
      </c>
      <c r="W51" t="inlineStr">
        <is>
          <t>Salt water</t>
        </is>
      </c>
      <c r="X51" t="inlineStr">
        <is>
          <t>Lab</t>
        </is>
      </c>
      <c r="Y51" t="n">
        <v>2.0</v>
      </c>
      <c r="Z51" t="inlineStr">
        <is>
          <t>Active ingredient</t>
        </is>
      </c>
      <c r="AA51"/>
      <c r="AB51" t="n">
        <v>0.04392097</v>
      </c>
      <c r="AC51"/>
      <c r="AD51"/>
      <c r="AE51"/>
      <c r="AF51"/>
      <c r="AG51" t="inlineStr">
        <is>
          <t>AI mg/L</t>
        </is>
      </c>
      <c r="AH51"/>
      <c r="AI51"/>
      <c r="AJ51"/>
      <c r="AK51"/>
      <c r="AL51"/>
      <c r="AM51"/>
      <c r="AN51"/>
      <c r="AO51"/>
      <c r="AP51"/>
      <c r="AQ51"/>
      <c r="AR51"/>
      <c r="AS51"/>
      <c r="AT51"/>
      <c r="AU51"/>
      <c r="AV51"/>
      <c r="AW51"/>
      <c r="AX51" t="inlineStr">
        <is>
          <t>Accumulation</t>
        </is>
      </c>
      <c r="AY51" t="inlineStr">
        <is>
          <t>Residue</t>
        </is>
      </c>
      <c r="AZ51"/>
      <c r="BA51" t="inlineStr">
        <is>
          <t>Gill(s)</t>
        </is>
      </c>
      <c r="BB51"/>
      <c r="BC51" t="n">
        <v>0.0417</v>
      </c>
      <c r="BD51"/>
      <c r="BE51"/>
      <c r="BF51"/>
      <c r="BG51"/>
      <c r="BH51" t="inlineStr">
        <is>
          <t>Day(s)</t>
        </is>
      </c>
      <c r="BI51"/>
      <c r="BJ51"/>
      <c r="BK51"/>
      <c r="BL51"/>
      <c r="BM51"/>
      <c r="BN51"/>
      <c r="BO51" t="inlineStr">
        <is>
          <t>--</t>
        </is>
      </c>
      <c r="BP51"/>
      <c r="BQ51"/>
      <c r="BR51"/>
      <c r="BS51"/>
      <c r="BT51"/>
      <c r="BU51"/>
      <c r="BV51"/>
      <c r="BW51"/>
      <c r="BX51"/>
      <c r="BY51"/>
      <c r="BZ51"/>
      <c r="CA51"/>
      <c r="CB51"/>
      <c r="CC51"/>
      <c r="CD51" t="inlineStr">
        <is>
          <t>Stevenson,C.N., L.A. MacManus-Spencer, T. Luckenbach, R.G. Luthy, and D. Epel</t>
        </is>
      </c>
      <c r="CE51" t="n">
        <v>175712.0</v>
      </c>
      <c r="CF51" t="inlineStr">
        <is>
          <t>New Perspectives on Perfluorochemical Ecotoxicology: Inhibition and Induction of an Efflux Transporter in the Marine Mussel, Mytilus californianus</t>
        </is>
      </c>
      <c r="CG51" t="inlineStr">
        <is>
          <t>Environ. Sci. Technol.40(17): 5580-5585</t>
        </is>
      </c>
      <c r="CH51" t="n">
        <v>2006.0</v>
      </c>
      <c r="CI51"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Ref. Number</t>
        </is>
      </c>
      <c r="B1" t="inlineStr">
        <is>
          <t>Author</t>
        </is>
      </c>
      <c r="C1" t="inlineStr">
        <is>
          <t>Title</t>
        </is>
      </c>
      <c r="D1" t="inlineStr">
        <is>
          <t>Source</t>
        </is>
      </c>
      <c r="E1" t="inlineStr">
        <is>
          <t>Pub. Year</t>
        </is>
      </c>
      <c r="F1" t="inlineStr">
        <is>
          <t>Ref. Type</t>
        </is>
      </c>
      <c r="G1" t="inlineStr">
        <is>
          <t>Citation</t>
        </is>
      </c>
      <c r="H1" t="inlineStr">
        <is>
          <t>Google Scholar</t>
        </is>
      </c>
    </row>
    <row r="2">
      <c r="A2" t="n">
        <v>175197.0</v>
      </c>
      <c r="B2" t="inlineStr">
        <is>
          <t>Falk,S., K. Failing, S. Georgii, H. Brunn, and T. Stahl</t>
        </is>
      </c>
      <c r="C2" t="inlineStr">
        <is>
          <t>Tissue Specific Uptake and Elimination of Perfluoroalkyl Acids (PFAAS) in Adult Rainbow Trout (Oncorhynchus mykiss) After Dietary Exposure</t>
        </is>
      </c>
      <c r="D2" t="inlineStr">
        <is>
          <t>Chemosphere129:150-156</t>
        </is>
      </c>
      <c r="E2" t="n">
        <v>2015.0</v>
      </c>
      <c r="F2"/>
      <c r="G2" t="inlineStr">
        <is>
          <t>Falk,S., K. Failing, S. Georgii, H. Brunn, and T. Stahl (2015). Tissue Specific Uptake and Elimination of Perfluoroalkyl Acids (PFAAS) in Adult Rainbow Trout (Oncorhynchus mykiss) After Dietary Exposure. Chemosphere, 129, 150-156. doi:10.1016/j.chemosphere.2014.06.061. ECOREF#:175197</t>
        </is>
      </c>
      <c r="H2" s="1" t="n">
        <f>HYPERLINK("https://scholar.google.com/scholar?hl=en&amp;as_q=&amp;as_oq=&amp;as_eq=&amp;as_sauthors=&amp;as_publication=&amp;as_ylo=&amp;as_yhi=&amp;as_occt=title&amp;as_sdt=0%2C5&amp;as_epq=%22Tissue+Specific+Uptake+and+Elimination+of+Perfluoroalkyl+Acids+%28PFAAS%29+in+Adult+Rainbow+Trout+%28Oncorhynchu", "Google Scholar")</f>
        <v>0.0</v>
      </c>
    </row>
    <row r="3">
      <c r="A3" t="n">
        <v>182530.0</v>
      </c>
      <c r="B3" t="inlineStr">
        <is>
          <t>Gaballah,S., A. Swank, J.R. Sobus, X.M. Howey, J. Schmid, T. Catron, J. Mccord, E. Hines, M. Strynar, and T. Tal</t>
        </is>
      </c>
      <c r="C3" t="inlineStr">
        <is>
          <t>Evaluation of Developmental Toxicity, Developmental Neurotoxicity, and Tissue Dose in Zebrafish Exposed to GenX and Other PFAS</t>
        </is>
      </c>
      <c r="D3" t="inlineStr">
        <is>
          <t>Environ. Health Perspect.128(4): 047005-01 - 047005-22</t>
        </is>
      </c>
      <c r="E3" t="n">
        <v>2020.0</v>
      </c>
      <c r="F3"/>
      <c r="G3" t="inlineStr">
        <is>
          <t>Gaballah,S., A. Swank, J.R. Sobus, X.M. Howey, J. Schmid, T. Catron, J. Mccord, E. Hines, M. Strynar, and T. Tal (2020). Evaluation of Developmental Toxicity, Developmental Neurotoxicity, and Tissue Dose in Zebrafish Exposed to GenX and Other PFAS. Environ. Health Perspect., 128, (4), 047005-01 - 047005-22. doi:10.1289/EHP5843. ECOREF#:182530</t>
        </is>
      </c>
      <c r="H3" s="2" t="n">
        <f>HYPERLINK("https://scholar.google.com/scholar?hl=en&amp;as_q=&amp;as_oq=&amp;as_eq=&amp;as_sauthors=&amp;as_publication=&amp;as_ylo=&amp;as_yhi=&amp;as_occt=title&amp;as_sdt=0%2C5&amp;as_epq=%22Evaluation+of+Developmental+Toxicity%2C+Developmental+Neurotoxicity%2C+and+Tissue+Dose+in+Zebrafish+Exposed+to+G", "Google Scholar")</f>
        <v>0.0</v>
      </c>
    </row>
    <row r="4">
      <c r="A4" t="n">
        <v>190831.0</v>
      </c>
      <c r="B4" t="inlineStr">
        <is>
          <t>Han,J., W. Gu, H. Barrett, D. Yang, S. Tang, J. Sun, J. Liu, H.M. Krause, K.A. Houck, and H. Peng</t>
        </is>
      </c>
      <c r="C4" t="inlineStr">
        <is>
          <t>A Roadmap to the Structure-Related Metabolism Pathways of Per- and Polyfluoroalkyl Substances in the Early Life Stages of Zebrafish (Danio rerio)</t>
        </is>
      </c>
      <c r="D4" t="inlineStr">
        <is>
          <t>Environ. Health Perspect.129(7): 15 p.</t>
        </is>
      </c>
      <c r="E4" t="n">
        <v>2021.0</v>
      </c>
      <c r="F4"/>
      <c r="G4"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c r="H4" s="3" t="n">
        <f>HYPERLINK("https://scholar.google.com/scholar?hl=en&amp;as_q=&amp;as_oq=&amp;as_eq=&amp;as_sauthors=&amp;as_publication=&amp;as_ylo=&amp;as_yhi=&amp;as_occt=title&amp;as_sdt=0%2C5&amp;as_epq=%22A+Roadmap+to+the+Structure-Related+Metabolism+Pathways+of+Per-+and+Polyfluoroalkyl+Substances+in+the+Early+Life+", "Google Scholar")</f>
        <v>0.0</v>
      </c>
    </row>
    <row r="5">
      <c r="A5" t="n">
        <v>193687.0</v>
      </c>
      <c r="B5" t="inlineStr">
        <is>
          <t>He,Y.J., H. Liao, G. Yang, W. Qiu, R. Xuan, G. Zheng, B. Xu, X. Yang, J.T. Magnuson, D. Schlenk, and C. Zheng</t>
        </is>
      </c>
      <c r="C5" t="inlineStr">
        <is>
          <t>Perfluorohexanesulfonic Acid (PFHxS) Impairs Lipid Homeostasis in Zebrafish Larvae Through Activation of PPARa</t>
        </is>
      </c>
      <c r="D5" t="inlineStr">
        <is>
          <t>Environ. Sci. Technol.58(37): 16258-16268</t>
        </is>
      </c>
      <c r="E5" t="n">
        <v>2024.0</v>
      </c>
      <c r="F5"/>
      <c r="G5" t="inlineStr">
        <is>
          <t>He,Y.J., H. Liao, G. Yang, W. Qiu, R. Xuan, G. Zheng, B. Xu, X. Yang, J.T. Magnuson, D. Schlenk, and C. Zheng (2024). Perfluorohexanesulfonic Acid (PFHxS) Impairs Lipid Homeostasis in Zebrafish Larvae Through Activation of PPARa. Environ. Sci. Technol., 58, (37), 16258-16268. doi:10.1021/acs.est.4c03053. ECOREF#:193687</t>
        </is>
      </c>
      <c r="H5" s="4" t="n">
        <f>HYPERLINK("https://scholar.google.com/scholar?hl=en&amp;as_q=&amp;as_oq=&amp;as_eq=&amp;as_sauthors=&amp;as_publication=&amp;as_ylo=&amp;as_yhi=&amp;as_occt=title&amp;as_sdt=0%2C5&amp;as_epq=%22Perfluorohexanesulfonic+Acid+%28PFHxS%29+Impairs+Lipid+Homeostasis+in+Zebrafish+Larvae+Through+Activation+of+PPA", "Google Scholar")</f>
        <v>0.0</v>
      </c>
    </row>
    <row r="6">
      <c r="A6" t="n">
        <v>180874.0</v>
      </c>
      <c r="B6" t="inlineStr">
        <is>
          <t>Hoover,G.M.</t>
        </is>
      </c>
      <c r="C6" t="inlineStr">
        <is>
          <t>Effects of Per/Polyfluoroalkyl Substance Exposure on Larval Amphibians</t>
        </is>
      </c>
      <c r="D6" t="inlineStr">
        <is>
          <t>Ph.D.Thesis, Purdue University, West Lafayette, IN:119 p.</t>
        </is>
      </c>
      <c r="E6" t="n">
        <v>2018.0</v>
      </c>
      <c r="F6"/>
      <c r="G6" t="inlineStr">
        <is>
          <t>Hoover,G.M. (2018). Effects of Per/Polyfluoroalkyl Substance Exposure on Larval Amphibians. Ph.D.Thesis, Purdue University, West Lafayette, IN, 119 p. ECOREF#:180874</t>
        </is>
      </c>
      <c r="H6" s="5" t="n">
        <f>HYPERLINK("https://scholar.google.com/scholar?hl=en&amp;as_q=&amp;as_oq=&amp;as_eq=&amp;as_sauthors=&amp;as_publication=&amp;as_ylo=&amp;as_yhi=&amp;as_occt=title&amp;as_sdt=0%2C5&amp;as_epq=%22Effects+of+Per%2FPolyfluoroalkyl+Substance+Exposure+on+Larval+Amphibians", "Google Scholar")</f>
        <v>0.0</v>
      </c>
    </row>
    <row r="7">
      <c r="A7" t="n">
        <v>176982.0</v>
      </c>
      <c r="B7" t="inlineStr">
        <is>
          <t>Hoover,G.M., M.F. Chislock, B.J. Tornabene, S.C. Guffey, Y.J. Choi, C. De Perre, J.T. Hoverman, L.S. Lee, and M.S. Sepu</t>
        </is>
      </c>
      <c r="C7" t="inlineStr">
        <is>
          <t>Uptake and Depuration of Four Per/Polyfluoroalkyl Substances (PFASs) in Northern Leopard Frog Rana pipiens Tadpoles</t>
        </is>
      </c>
      <c r="D7" t="inlineStr">
        <is>
          <t>Environ. Sci. Technol. Lett.4(10): 399-403</t>
        </is>
      </c>
      <c r="E7" t="n">
        <v>2017.0</v>
      </c>
      <c r="F7"/>
      <c r="G7" t="inlineStr">
        <is>
          <t>Hoover,G.M., M.F. Chislock, B.J. Tornabene, S.C. Guffey, Y.J. Choi, C. De Perre, J.T. Hoverman, L.S. Lee, and M.S. Sepu (2017). Uptake and Depuration of Four Per/Polyfluoroalkyl Substances (PFASs) in Northern Leopard Frog Rana pipiens Tadpoles. Environ. Sci. Technol. Lett., 4, (10), 399-403. doi:10.1021/acs.estlett.7b00339. ECOREF#:176982</t>
        </is>
      </c>
      <c r="H7" s="6" t="n">
        <f>HYPERLINK("https://scholar.google.com/scholar?hl=en&amp;as_q=&amp;as_oq=&amp;as_eq=&amp;as_sauthors=&amp;as_publication=&amp;as_ylo=&amp;as_yhi=&amp;as_occt=title&amp;as_sdt=0%2C5&amp;as_epq=%22Uptake+and+Depuration+of+Four+Per%2FPolyfluoroalkyl+Substances+%28PFASs%29+in+Northern+Leopard+Frog+Rana+pipiens", "Google Scholar")</f>
        <v>0.0</v>
      </c>
    </row>
    <row r="8">
      <c r="A8" t="n">
        <v>189935.0</v>
      </c>
      <c r="B8" t="inlineStr">
        <is>
          <t>Hoskins,T.D., E.B. Allmon, R.W. Flynn, L.S. Lee, Y. Choi, J.T. Hoverman, and M.S. Sepulveda</t>
        </is>
      </c>
      <c r="C8" t="inlineStr">
        <is>
          <t>An Environmentally Relevant Mixture of Perfluorooctanesulfonic Acid and Perfluorohexanesulfonic Acid Does Not Conform to Additivity in Northern Leopard Frogs Exposed Through Metamorphosis</t>
        </is>
      </c>
      <c r="D8" t="inlineStr">
        <is>
          <t>Environ. Toxicol. Chem.41(12): 3007-3016</t>
        </is>
      </c>
      <c r="E8" t="n">
        <v>2022.0</v>
      </c>
      <c r="F8"/>
      <c r="G8" t="inlineStr">
        <is>
          <t>Hoskins,T.D., E.B. Allmon, R.W. Flynn, L.S. Lee, Y. Choi, J.T. Hoverman, and M.S. Sepulveda (2022). An Environmentally Relevant Mixture of Perfluorooctanesulfonic Acid and Perfluorohexanesulfonic Acid Does Not Conform to Additivity in Northern Leopard Frogs Exposed Through Metamorphosis. Environ. Toxicol. Chem., 41, (12), 3007-3016. doi:10.1002/etc.5486. ECOREF#:189935</t>
        </is>
      </c>
      <c r="H8" s="7" t="n">
        <f>HYPERLINK("https://scholar.google.com/scholar?hl=en&amp;as_q=&amp;as_oq=&amp;as_eq=&amp;as_sauthors=&amp;as_publication=&amp;as_ylo=&amp;as_yhi=&amp;as_occt=title&amp;as_sdt=0%2C5&amp;as_epq=%22An+Environmentally+Relevant+Mixture+of+Perfluorooctanesulfonic+Acid+and+Perfluorohexanesulfonic+Acid+Does+Not+Co", "Google Scholar")</f>
        <v>0.0</v>
      </c>
    </row>
    <row r="9">
      <c r="A9" t="n">
        <v>194972.0</v>
      </c>
      <c r="B9" t="inlineStr">
        <is>
          <t>Liao,H., Y.J. He, S. Zhang, X. Kang, X. Yang, B. Xu, J.T. Magnuson, S. Wang, C. Zheng, and W. Qiu</t>
        </is>
      </c>
      <c r="C9" t="inlineStr">
        <is>
          <t>Perfluorohexanesulfonic Acid (PFHXS) Induces Hepatotoxicity Through the PPAR Signaling Pathway in Larval Zebrafish (Danio rerio)</t>
        </is>
      </c>
      <c r="D9" t="inlineStr">
        <is>
          <t>Environ. Sci. Technol.58(52): 22894-22906</t>
        </is>
      </c>
      <c r="E9" t="n">
        <v>2024.0</v>
      </c>
      <c r="F9"/>
      <c r="G9" t="inlineStr">
        <is>
          <t>Liao,H., Y.J. He, S. Zhang, X. Kang, X. Yang, B. Xu, J.T. Magnuson, S. Wang, C. Zheng, and W. Qiu (2024). Perfluorohexanesulfonic Acid (PFHXS) Induces Hepatotoxicity Through the PPAR Signaling Pathway in Larval Zebrafish (Danio rerio). Environ. Sci. Technol., 58, (52), 22894-22906. doi:10.1021/acs.est.4c07056. ECOREF#:194972</t>
        </is>
      </c>
      <c r="H9" s="8" t="n">
        <f>HYPERLINK("https://scholar.google.com/scholar?hl=en&amp;as_q=&amp;as_oq=&amp;as_eq=&amp;as_sauthors=&amp;as_publication=&amp;as_ylo=&amp;as_yhi=&amp;as_occt=title&amp;as_sdt=0%2C5&amp;as_epq=%22Perfluorohexanesulfonic+Acid+%28PFHXS%29+Induces+Hepatotoxicity+Through+the+PPAR+Signaling+Pathway+in+Larval+Zeb", "Google Scholar")</f>
        <v>0.0</v>
      </c>
    </row>
    <row r="10">
      <c r="A10" t="n">
        <v>194034.0</v>
      </c>
      <c r="B10" t="inlineStr">
        <is>
          <t>Rohonczy,J., M.R. Forbes, A.M. Gilroy E, D.J. Carpenter, S.D. Young, A. Morrill, C. Brinovcar, A.O. De Silva, A.J. Bart</t>
        </is>
      </c>
      <c r="C10" t="inlineStr">
        <is>
          <t>Effects of Perfluoroalkyl Sulfonic Acids on Developmental, Physiological, and Immunological Measures in Northern Leopard Frog Tadpoles</t>
        </is>
      </c>
      <c r="D10" t="inlineStr">
        <is>
          <t>Chemosphere365:15 p.</t>
        </is>
      </c>
      <c r="E10" t="n">
        <v>2024.0</v>
      </c>
      <c r="F10"/>
      <c r="G10" t="inlineStr">
        <is>
          <t>Rohonczy,J., M.R. Forbes, A.M. Gilroy E, D.J. Carpenter, S.D. Young, A. Morrill, C. Brinovcar, A.O. De Silva, A.J. Bart (2024). Effects of Perfluoroalkyl Sulfonic Acids on Developmental, Physiological, and Immunological Measures in Northern Leopard Frog Tadpoles. Chemosphere, 365, 15 p. doi:10.1016/j.chemosphere.2024.143333. ECOREF#:194034</t>
        </is>
      </c>
      <c r="H10" s="9" t="n">
        <f>HYPERLINK("https://scholar.google.com/scholar?hl=en&amp;as_q=&amp;as_oq=&amp;as_eq=&amp;as_sauthors=&amp;as_publication=&amp;as_ylo=&amp;as_yhi=&amp;as_occt=title&amp;as_sdt=0%2C5&amp;as_epq=%22Effects+of+Perfluoroalkyl+Sulfonic+Acids+on+Developmental%2C+Physiological%2C+and+Immunological+Measures+in+Nort", "Google Scholar")</f>
        <v>0.0</v>
      </c>
    </row>
    <row r="11">
      <c r="A11" t="n">
        <v>191156.0</v>
      </c>
      <c r="B11" t="inlineStr">
        <is>
          <t>Sinclair,G.M., S.M. Long, N. Singh, T.L. Coggan, M.P.J. Askeland, and O.A.H. Jones</t>
        </is>
      </c>
      <c r="C11" t="inlineStr">
        <is>
          <t>Exposure to Environmentally Relevant Levels of PFAS Causes Metabolic Changes in the Freshwater Amphipod Austrochiltonia subtenuis</t>
        </is>
      </c>
      <c r="D11" t="inlineStr">
        <is>
          <t>Metabolites12(11): 19 p.</t>
        </is>
      </c>
      <c r="E11" t="n">
        <v>2022.0</v>
      </c>
      <c r="F11"/>
      <c r="G11" t="inlineStr">
        <is>
          <t>Sinclair,G.M., S.M. Long, N. Singh, T.L. Coggan, M.P.J. Askeland, and O.A.H. Jones (2022). Exposure to Environmentally Relevant Levels of PFAS Causes Metabolic Changes in the Freshwater Amphipod Austrochiltonia subtenuis. Metabolites, 12, (11), 19 p. doi:10.3390/metabo12111135. ECOREF#:191156</t>
        </is>
      </c>
      <c r="H11" s="10" t="n">
        <f>HYPERLINK("https://scholar.google.com/scholar?hl=en&amp;as_q=&amp;as_oq=&amp;as_eq=&amp;as_sauthors=&amp;as_publication=&amp;as_ylo=&amp;as_yhi=&amp;as_occt=title&amp;as_sdt=0%2C5&amp;as_epq=%22Exposure+to+Environmentally+Relevant+Levels+of+PFAS+Causes+Metabolic+Changes+in+the+Freshwater+Amphipod+Austroch", "Google Scholar")</f>
        <v>0.0</v>
      </c>
    </row>
    <row r="12">
      <c r="A12" t="n">
        <v>175712.0</v>
      </c>
      <c r="B12" t="inlineStr">
        <is>
          <t>Stevenson,C.N., L.A. MacManus-Spencer, T. Luckenbach, R.G. Luthy, and D. Epel</t>
        </is>
      </c>
      <c r="C12" t="inlineStr">
        <is>
          <t>New Perspectives on Perfluorochemical Ecotoxicology: Inhibition and Induction of an Efflux Transporter in the Marine Mussel, Mytilus californianus</t>
        </is>
      </c>
      <c r="D12" t="inlineStr">
        <is>
          <t>Environ. Sci. Technol.40(17): 5580-5585</t>
        </is>
      </c>
      <c r="E12" t="n">
        <v>2006.0</v>
      </c>
      <c r="F12"/>
      <c r="G12"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c r="H12" s="11" t="n">
        <f>HYPERLINK("https://scholar.google.com/scholar?hl=en&amp;as_q=&amp;as_oq=&amp;as_eq=&amp;as_sauthors=&amp;as_publication=&amp;as_ylo=&amp;as_yhi=&amp;as_occt=title&amp;as_sdt=0%2C5&amp;as_epq=%22New+Perspectives+on+Perfluorochemical+Ecotoxicology%3A+Inhibition+and+Induction+of+an+Efflux+Transporter+in+the+", "Google Scholar")</f>
        <v>0.0</v>
      </c>
    </row>
    <row r="13">
      <c r="A13" t="n">
        <v>185548.0</v>
      </c>
      <c r="B13" t="inlineStr">
        <is>
          <t>Suski,J.G., C.J. Salice, M.K. Chanov, J. Ayers, J. Rewerts, and J. Field</t>
        </is>
      </c>
      <c r="C13" t="inlineStr">
        <is>
          <t>Sensitivity and Accumulation of Perfluorooctanesulfonate and Perfluorohexanesulfonic Acid in Fathead Minnows (Pimephales promelas) Exposed over Critical Life Stages of Reproduction and Development</t>
        </is>
      </c>
      <c r="D13" t="inlineStr">
        <is>
          <t>Environ. Toxicol. Chem.40(3): 811-819</t>
        </is>
      </c>
      <c r="E13" t="n">
        <v>2021.0</v>
      </c>
      <c r="F13"/>
      <c r="G13" t="inlineStr">
        <is>
          <t>Suski,J.G., C.J. Salice, M.K. Chanov, J. Ayers, J. Rewerts, and J. Field (2021). Sensitivity and Accumulation of Perfluorooctanesulfonate and Perfluorohexanesulfonic Acid in Fathead Minnows (Pimephales promelas) Exposed over Critical Life Stages of Reproduction and Development. Environ. Toxicol. Chem., 40, (3), 811-819. doi:10.1002/etc.4936. ECOREF#:185548</t>
        </is>
      </c>
      <c r="H13" s="12" t="n">
        <f>HYPERLINK("https://scholar.google.com/scholar?hl=en&amp;as_q=&amp;as_oq=&amp;as_eq=&amp;as_sauthors=&amp;as_publication=&amp;as_ylo=&amp;as_yhi=&amp;as_occt=title&amp;as_sdt=0%2C5&amp;as_epq=%22Sensitivity+and+Accumulation+of+Perfluorooctanesulfonate+and+Perfluorohexanesulfonic+Acid+in+Fathead+Minnows+%28", "Google Scholar")</f>
        <v>0.0</v>
      </c>
    </row>
    <row r="14">
      <c r="A14" t="n">
        <v>191140.0</v>
      </c>
      <c r="B14" t="inlineStr">
        <is>
          <t>Ulhaq,Z.S., and W.K.F. Tse</t>
        </is>
      </c>
      <c r="C14" t="inlineStr">
        <is>
          <t>Perfluorohexanesulfonic Acid (PFHxS) Induces Oxidative Stress and Causes Developmental Toxicities in Zebrafish Embryos</t>
        </is>
      </c>
      <c r="D14" t="inlineStr">
        <is>
          <t>J. Hazard. Mater.457:16 p.</t>
        </is>
      </c>
      <c r="E14" t="n">
        <v>2023.0</v>
      </c>
      <c r="F14"/>
      <c r="G14" t="inlineStr">
        <is>
          <t>Ulhaq,Z.S., and W.K.F. Tse (2023). Perfluorohexanesulfonic Acid (PFHxS) Induces Oxidative Stress and Causes Developmental Toxicities in Zebrafish Embryos. J. Hazard. Mater., 457, 16 p. doi:10.1016/j.jhazmat.2023.131722. ECOREF#:191140</t>
        </is>
      </c>
      <c r="H14" s="13" t="n">
        <f>HYPERLINK("https://scholar.google.com/scholar?hl=en&amp;as_q=&amp;as_oq=&amp;as_eq=&amp;as_sauthors=&amp;as_publication=&amp;as_ylo=&amp;as_yhi=&amp;as_occt=title&amp;as_sdt=0%2C5&amp;as_epq=%22Perfluorohexanesulfonic+Acid+%28PFHxS%29+Induces+Oxidative+Stress+and+Causes+Developmental+Toxicities+in+Zebrafi", "Google Scholar")</f>
        <v>0.0</v>
      </c>
    </row>
    <row r="15">
      <c r="A15" t="n">
        <v>181482.0</v>
      </c>
      <c r="B15" t="inlineStr">
        <is>
          <t>Vogs,C., G. Johanson, M. Naslund, S. Wulff, M. Sjodin, M. Hellstrandh, J. Lindberg, and E. Wincent</t>
        </is>
      </c>
      <c r="C15" t="inlineStr">
        <is>
          <t>Toxicokinetics of Perfluorinated Alkyl Acids Influences Their Toxic Potency in the Zebrafish Embryo (Danio rerio)</t>
        </is>
      </c>
      <c r="D15" t="inlineStr">
        <is>
          <t>Environ. Sci. Technol.53(7): 3898-3907</t>
        </is>
      </c>
      <c r="E15" t="n">
        <v>2019.0</v>
      </c>
      <c r="F15"/>
      <c r="G15" t="inlineStr">
        <is>
          <t>Vogs,C., G. Johanson, M. Naslund, S. Wulff, M. Sjodin, M. Hellstrandh, J. Lindberg, and E. Wincent (2019). Toxicokinetics of Perfluorinated Alkyl Acids Influences Their Toxic Potency in the Zebrafish Embryo (Danio rerio). Environ. Sci. Technol., 53, (7), 3898-3907. doi:10.1021/acs.est.8b07188. ECOREF#:181482</t>
        </is>
      </c>
      <c r="H15" s="14" t="n">
        <f>HYPERLINK("https://scholar.google.com/scholar?hl=en&amp;as_q=&amp;as_oq=&amp;as_eq=&amp;as_sauthors=&amp;as_publication=&amp;as_ylo=&amp;as_yhi=&amp;as_occt=title&amp;as_sdt=0%2C5&amp;as_epq=%22Toxicokinetics+of+Perfluorinated+Alkyl+Acids+Influences+Their+Toxic+Potency+in+the+Zebrafish+Embryo+%28Danio+rer", "Google Scholar")</f>
        <v>0.0</v>
      </c>
    </row>
    <row r="16">
      <c r="A16" t="n">
        <v>191132.0</v>
      </c>
      <c r="B16" t="inlineStr">
        <is>
          <t>Xu,M., J. Legradi, and P. Leonards</t>
        </is>
      </c>
      <c r="C16" t="inlineStr">
        <is>
          <t>A Comprehensive Untargeted Metabolomics Study in Zebrafish Embryos Exposed to Perfluorohexane Sulfonate (PFHxS)</t>
        </is>
      </c>
      <c r="D16" t="inlineStr">
        <is>
          <t>Sci. Total Environ.887:11 p.</t>
        </is>
      </c>
      <c r="E16" t="n">
        <v>2023.0</v>
      </c>
      <c r="F16"/>
      <c r="G16" t="inlineStr">
        <is>
          <t>Xu,M., J. Legradi, and P. Leonards (2023). A Comprehensive Untargeted Metabolomics Study in Zebrafish Embryos Exposed to Perfluorohexane Sulfonate (PFHxS). Sci. Total Environ., 887, 11 p. doi:10.1016/j.scitotenv.2023.163770. ECOREF#:191132</t>
        </is>
      </c>
      <c r="H16" s="15" t="n">
        <f>HYPERLINK("https://scholar.google.com/scholar?hl=en&amp;as_q=&amp;as_oq=&amp;as_eq=&amp;as_sauthors=&amp;as_publication=&amp;as_ylo=&amp;as_yhi=&amp;as_occt=title&amp;as_sdt=0%2C5&amp;as_epq=%22A+Comprehensive+Untargeted+Metabolomics+Study+in+Zebrafish+Embryos+Exposed+to+Perfluorohexane+Sulfonate+%28PFHxS", "Google Scholar")</f>
        <v>0.0</v>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Category</t>
        </is>
      </c>
      <c r="B1" t="inlineStr">
        <is>
          <t>Parameter Group</t>
        </is>
      </c>
      <c r="C1" t="inlineStr">
        <is>
          <t>Name</t>
        </is>
      </c>
      <c r="D1" t="inlineStr">
        <is>
          <t>Value</t>
        </is>
      </c>
      <c r="E1" t="inlineStr">
        <is>
          <t>Additional Info</t>
        </is>
      </c>
      <c r="F1"/>
      <c r="G1" t="inlineStr">
        <is>
          <t>Search run-time</t>
        </is>
      </c>
    </row>
    <row r="2">
      <c r="A2"/>
      <c r="B2"/>
      <c r="C2"/>
      <c r="D2"/>
      <c r="E2"/>
      <c r="F2"/>
      <c r="G2" s="16" t="n">
        <v>46190.67155092592</v>
      </c>
    </row>
    <row r="3">
      <c r="A3"/>
      <c r="B3"/>
      <c r="C3"/>
      <c r="D3"/>
      <c r="E3"/>
      <c r="F3"/>
      <c r="G3"/>
    </row>
    <row r="4">
      <c r="A4" t="inlineStr">
        <is>
          <t>Habitat</t>
        </is>
      </c>
      <c r="B4"/>
      <c r="C4"/>
      <c r="D4"/>
      <c r="E4"/>
      <c r="F4"/>
      <c r="G4"/>
    </row>
    <row r="5">
      <c r="A5"/>
      <c r="B5"/>
      <c r="C5" t="inlineStr">
        <is>
          <t>Aquatic</t>
        </is>
      </c>
      <c r="D5" t="inlineStr">
        <is>
          <t>Aquatic</t>
        </is>
      </c>
      <c r="E5"/>
      <c r="F5"/>
      <c r="G5"/>
    </row>
    <row r="6">
      <c r="A6"/>
      <c r="B6"/>
      <c r="C6"/>
      <c r="D6"/>
      <c r="E6"/>
      <c r="F6"/>
      <c r="G6"/>
    </row>
    <row r="7">
      <c r="A7" t="inlineStr">
        <is>
          <t>Chemicals</t>
        </is>
      </c>
      <c r="B7"/>
      <c r="C7"/>
      <c r="D7"/>
      <c r="E7"/>
      <c r="F7"/>
      <c r="G7"/>
    </row>
    <row r="8">
      <c r="A8"/>
      <c r="B8"/>
      <c r="C8" t="inlineStr">
        <is>
          <t>Name(s) / Number(s)</t>
        </is>
      </c>
      <c r="D8" t="inlineStr">
        <is>
          <t>PFHxS</t>
        </is>
      </c>
      <c r="E8"/>
      <c r="F8"/>
      <c r="G8"/>
    </row>
    <row r="9">
      <c r="A9"/>
      <c r="B9"/>
      <c r="C9"/>
      <c r="D9"/>
      <c r="E9"/>
      <c r="F9"/>
      <c r="G9"/>
    </row>
    <row r="10">
      <c r="A10" t="inlineStr">
        <is>
          <t>Effect Measurements</t>
        </is>
      </c>
      <c r="B10"/>
      <c r="C10"/>
      <c r="D10"/>
      <c r="E10"/>
      <c r="F10"/>
      <c r="G10"/>
    </row>
    <row r="11">
      <c r="A11"/>
      <c r="B11" t="inlineStr">
        <is>
          <t>Accumulation Group</t>
        </is>
      </c>
      <c r="C11" t="inlineStr">
        <is>
          <t>Accumulation</t>
        </is>
      </c>
      <c r="D11" t="inlineStr">
        <is>
          <t>ALL</t>
        </is>
      </c>
      <c r="E11"/>
      <c r="F11"/>
      <c r="G11"/>
    </row>
    <row r="12">
      <c r="A12"/>
      <c r="B12"/>
      <c r="C12"/>
      <c r="D12"/>
      <c r="E12"/>
      <c r="F12"/>
      <c r="G12"/>
    </row>
    <row r="13">
      <c r="A13" t="inlineStr">
        <is>
          <t>Endpoints</t>
        </is>
      </c>
      <c r="B13"/>
      <c r="C13"/>
      <c r="D13"/>
      <c r="E13"/>
      <c r="F13"/>
      <c r="G13"/>
    </row>
    <row r="14">
      <c r="A14"/>
      <c r="B14"/>
      <c r="C14"/>
      <c r="D14"/>
      <c r="E14"/>
      <c r="F14"/>
      <c r="G14"/>
    </row>
    <row r="15">
      <c r="A15" t="inlineStr">
        <is>
          <t>Species</t>
        </is>
      </c>
      <c r="B15"/>
      <c r="C15"/>
      <c r="D15"/>
      <c r="E15"/>
      <c r="F15"/>
      <c r="G15"/>
    </row>
    <row r="16">
      <c r="A16"/>
      <c r="B16"/>
      <c r="C16"/>
      <c r="D16"/>
      <c r="E16"/>
      <c r="F16"/>
      <c r="G16"/>
    </row>
    <row r="17">
      <c r="A17" t="inlineStr">
        <is>
          <t>Test Conditions</t>
        </is>
      </c>
      <c r="B17"/>
      <c r="C17"/>
      <c r="D17"/>
      <c r="E17"/>
      <c r="F17"/>
      <c r="G17"/>
    </row>
    <row r="18">
      <c r="A18"/>
      <c r="B18"/>
      <c r="C18"/>
      <c r="D18"/>
      <c r="E18"/>
      <c r="F18"/>
      <c r="G18"/>
    </row>
    <row r="19">
      <c r="A19" t="inlineStr">
        <is>
          <t>Publication Options</t>
        </is>
      </c>
      <c r="B19"/>
      <c r="C19"/>
      <c r="D19"/>
      <c r="E19"/>
      <c r="F19"/>
      <c r="G19"/>
    </row>
    <row r="20">
      <c r="A20"/>
      <c r="B20"/>
      <c r="C20"/>
      <c r="D20"/>
      <c r="E20"/>
      <c r="F20"/>
      <c r="G2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2026-06-17T20:07:02Z</dcterms:created>
  <dc:creator>Apache POI</dc:creator>
</cp:coreProperties>
</file>