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quatic-Export" r:id="rId3" sheetId="1"/>
    <sheet name="References" r:id="rId4" sheetId="2"/>
    <sheet name="Search_Parameter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sz val="11.0"/>
      <color indexed="8"/>
      <name val="Calibri"/>
      <family val="2"/>
      <scheme val="minor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  <font>
      <name val="Calibri"/>
      <sz val="11.0"/>
      <charset val="0"/>
      <color rgb="000000" indexed="12"/>
      <u val="none"/>
    </font>
    <font>
      <name val="Calibri"/>
      <sz val="11.0"/>
      <charset val="0"/>
      <color rgb="0000FF"/>
      <u val="singl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true"/>
    <xf numFmtId="0" fontId="4" fillId="0" borderId="0" xfId="0" applyFont="true"/>
    <xf numFmtId="0" fontId="6" fillId="0" borderId="0" xfId="0" applyFont="true"/>
    <xf numFmtId="0" fontId="8" fillId="0" borderId="0" xfId="0" applyFont="true"/>
    <xf numFmtId="164" fontId="0" fillId="4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CAS Number</t>
        </is>
      </c>
      <c r="B1" t="inlineStr">
        <is>
          <t>Chemical Name</t>
        </is>
      </c>
      <c r="C1" t="inlineStr">
        <is>
          <t>Chemical Grade</t>
        </is>
      </c>
      <c r="D1" t="inlineStr">
        <is>
          <t>Chemical Analysis</t>
        </is>
      </c>
      <c r="E1" t="inlineStr">
        <is>
          <t>Chemical Purity Mean Op</t>
        </is>
      </c>
      <c r="F1" t="inlineStr">
        <is>
          <t>Chemical Purity Mean(%)</t>
        </is>
      </c>
      <c r="G1" t="inlineStr">
        <is>
          <t>Chemical Purity Min Op</t>
        </is>
      </c>
      <c r="H1" t="inlineStr">
        <is>
          <t>Chemical Purity Min(%)</t>
        </is>
      </c>
      <c r="I1" t="inlineStr">
        <is>
          <t>Chemical Purity Max Op</t>
        </is>
      </c>
      <c r="J1" t="inlineStr">
        <is>
          <t>Chemical Purity Max(%)</t>
        </is>
      </c>
      <c r="K1" t="inlineStr">
        <is>
          <t>Species Scientific Name</t>
        </is>
      </c>
      <c r="L1" t="inlineStr">
        <is>
          <t>Species Common Name</t>
        </is>
      </c>
      <c r="M1" t="inlineStr">
        <is>
          <t>Species Group</t>
        </is>
      </c>
      <c r="N1" t="inlineStr">
        <is>
          <t>Organism Lifestage</t>
        </is>
      </c>
      <c r="O1" t="inlineStr">
        <is>
          <t>Organism Age Mean Op</t>
        </is>
      </c>
      <c r="P1" t="inlineStr">
        <is>
          <t>Organism Age Mean</t>
        </is>
      </c>
      <c r="Q1" t="inlineStr">
        <is>
          <t>Organism Age Min Op</t>
        </is>
      </c>
      <c r="R1" t="inlineStr">
        <is>
          <t>Organism Age Min</t>
        </is>
      </c>
      <c r="S1" t="inlineStr">
        <is>
          <t>Organism Age Max Op</t>
        </is>
      </c>
      <c r="T1" t="inlineStr">
        <is>
          <t>Organism Age Max</t>
        </is>
      </c>
      <c r="U1" t="inlineStr">
        <is>
          <t>Age Units</t>
        </is>
      </c>
      <c r="V1" t="inlineStr">
        <is>
          <t>Exposure Type</t>
        </is>
      </c>
      <c r="W1" t="inlineStr">
        <is>
          <t>Media Type</t>
        </is>
      </c>
      <c r="X1" t="inlineStr">
        <is>
          <t>Test Location</t>
        </is>
      </c>
      <c r="Y1" t="inlineStr">
        <is>
          <t>Number of Doses</t>
        </is>
      </c>
      <c r="Z1" t="inlineStr">
        <is>
          <t>Conc 1 Type (Standardized)</t>
        </is>
      </c>
      <c r="AA1" t="inlineStr">
        <is>
          <t>Conc 1 Mean Op (Standardized)</t>
        </is>
      </c>
      <c r="AB1" t="inlineStr">
        <is>
          <t>Conc 1 Mean (Standardized)</t>
        </is>
      </c>
      <c r="AC1" t="inlineStr">
        <is>
          <t>Conc 1 Min Op (Standardized)</t>
        </is>
      </c>
      <c r="AD1" t="inlineStr">
        <is>
          <t>Conc Min 1 (Standardized)</t>
        </is>
      </c>
      <c r="AE1" t="inlineStr">
        <is>
          <t>Conc 1 Max Op (Standardized)</t>
        </is>
      </c>
      <c r="AF1" t="inlineStr">
        <is>
          <t>Conc 1 Max (Standardized)</t>
        </is>
      </c>
      <c r="AG1" t="inlineStr">
        <is>
          <t>Conc 1 Units (Standardized)</t>
        </is>
      </c>
      <c r="AH1" t="inlineStr">
        <is>
          <t>Conc 2 Type (Standardized)</t>
        </is>
      </c>
      <c r="AI1" t="inlineStr">
        <is>
          <t>Conc 2 Mean Op (Standardized)</t>
        </is>
      </c>
      <c r="AJ1" t="inlineStr">
        <is>
          <t>Conc 2 Mean (Standardized)</t>
        </is>
      </c>
      <c r="AK1" t="inlineStr">
        <is>
          <t>Conc 2 Min Op (Standardized)</t>
        </is>
      </c>
      <c r="AL1" t="inlineStr">
        <is>
          <t>Conc Min 2 (Standardized)</t>
        </is>
      </c>
      <c r="AM1" t="inlineStr">
        <is>
          <t>Conc 2 Max Op (Standardized)</t>
        </is>
      </c>
      <c r="AN1" t="inlineStr">
        <is>
          <t>Conc 2 Max (Standardized)</t>
        </is>
      </c>
      <c r="AO1" t="inlineStr">
        <is>
          <t>Conc 2 Units (Standardized)</t>
        </is>
      </c>
      <c r="AP1" t="inlineStr">
        <is>
          <t>Conc 3 Type (Standardized)</t>
        </is>
      </c>
      <c r="AQ1" t="inlineStr">
        <is>
          <t>Conc 3 Mean Op (Standardized)</t>
        </is>
      </c>
      <c r="AR1" t="inlineStr">
        <is>
          <t>Conc 3 Mean (Standardized)</t>
        </is>
      </c>
      <c r="AS1" t="inlineStr">
        <is>
          <t>Conc 3 Min Op (Standardized)</t>
        </is>
      </c>
      <c r="AT1" t="inlineStr">
        <is>
          <t>Conc Min 3 (Standardized)</t>
        </is>
      </c>
      <c r="AU1" t="inlineStr">
        <is>
          <t>Conc 3 Max Op (Standardized)</t>
        </is>
      </c>
      <c r="AV1" t="inlineStr">
        <is>
          <t>Conc 3 Max (Standardized)</t>
        </is>
      </c>
      <c r="AW1" t="inlineStr">
        <is>
          <t>Conc 3 Units (Standardized)</t>
        </is>
      </c>
      <c r="AX1" t="inlineStr">
        <is>
          <t>Effect</t>
        </is>
      </c>
      <c r="AY1" t="inlineStr">
        <is>
          <t>Effect Measurement</t>
        </is>
      </c>
      <c r="AZ1" t="inlineStr">
        <is>
          <t>Endpoint</t>
        </is>
      </c>
      <c r="BA1" t="inlineStr">
        <is>
          <t>Response Site</t>
        </is>
      </c>
      <c r="BB1" t="inlineStr">
        <is>
          <t>Observed Duration Mean Op (Days)</t>
        </is>
      </c>
      <c r="BC1" t="inlineStr">
        <is>
          <t>Observed Duration Mean (Days)</t>
        </is>
      </c>
      <c r="BD1" t="inlineStr">
        <is>
          <t>Observed Duration Min Op (Days)</t>
        </is>
      </c>
      <c r="BE1" t="inlineStr">
        <is>
          <t>Observed Duration Min (Days)</t>
        </is>
      </c>
      <c r="BF1" t="inlineStr">
        <is>
          <t>Observed Duration Max Op (Days)</t>
        </is>
      </c>
      <c r="BG1" t="inlineStr">
        <is>
          <t>Observed Duration Max (Days)</t>
        </is>
      </c>
      <c r="BH1" t="inlineStr">
        <is>
          <t>Observed Duration Units (Days)</t>
        </is>
      </c>
      <c r="BI1" t="inlineStr">
        <is>
          <t>BCF 1 Value Op</t>
        </is>
      </c>
      <c r="BJ1" t="inlineStr">
        <is>
          <t>BCF 1 Value</t>
        </is>
      </c>
      <c r="BK1" t="inlineStr">
        <is>
          <t>BCF 1 Min Op</t>
        </is>
      </c>
      <c r="BL1" t="inlineStr">
        <is>
          <t>BCF 1 Min</t>
        </is>
      </c>
      <c r="BM1" t="inlineStr">
        <is>
          <t>BCF 1 Max Op</t>
        </is>
      </c>
      <c r="BN1" t="inlineStr">
        <is>
          <t>BCF 1 Max</t>
        </is>
      </c>
      <c r="BO1" t="inlineStr">
        <is>
          <t>BCF 1 Unit</t>
        </is>
      </c>
      <c r="BP1" t="inlineStr">
        <is>
          <t>BCF 2 Value Op</t>
        </is>
      </c>
      <c r="BQ1" t="inlineStr">
        <is>
          <t>BCF 2 Value</t>
        </is>
      </c>
      <c r="BR1" t="inlineStr">
        <is>
          <t>BCF 2 Min Op</t>
        </is>
      </c>
      <c r="BS1" t="inlineStr">
        <is>
          <t>BCF 2 Min</t>
        </is>
      </c>
      <c r="BT1" t="inlineStr">
        <is>
          <t>BCF 2 Max Op</t>
        </is>
      </c>
      <c r="BU1" t="inlineStr">
        <is>
          <t>BCF 2 Max</t>
        </is>
      </c>
      <c r="BV1" t="inlineStr">
        <is>
          <t>BCF 2 Unit</t>
        </is>
      </c>
      <c r="BW1" t="inlineStr">
        <is>
          <t>BCF 3 Value Op</t>
        </is>
      </c>
      <c r="BX1" t="inlineStr">
        <is>
          <t>BCF 3 Value</t>
        </is>
      </c>
      <c r="BY1" t="inlineStr">
        <is>
          <t>BCF 3 Min Op</t>
        </is>
      </c>
      <c r="BZ1" t="inlineStr">
        <is>
          <t>BCF 3 Min</t>
        </is>
      </c>
      <c r="CA1" t="inlineStr">
        <is>
          <t>BCF 3 Max Op</t>
        </is>
      </c>
      <c r="CB1" t="inlineStr">
        <is>
          <t>BCF 3 Max</t>
        </is>
      </c>
      <c r="CC1" t="inlineStr">
        <is>
          <t>BCF 3 Unit</t>
        </is>
      </c>
      <c r="CD1" t="inlineStr">
        <is>
          <t>Author</t>
        </is>
      </c>
      <c r="CE1" t="inlineStr">
        <is>
          <t>Reference Number</t>
        </is>
      </c>
      <c r="CF1" t="inlineStr">
        <is>
          <t>Title</t>
        </is>
      </c>
      <c r="CG1" t="inlineStr">
        <is>
          <t>Source</t>
        </is>
      </c>
      <c r="CH1" t="inlineStr">
        <is>
          <t>Publication Year</t>
        </is>
      </c>
      <c r="CI1" t="inlineStr">
        <is>
          <t>Citation</t>
        </is>
      </c>
    </row>
    <row r="2">
      <c r="A2" t="n">
        <v>2058948.0</v>
      </c>
      <c r="B2" t="inlineStr">
        <is>
          <t>2,2,3,3,4,4,5,5,6,6,7,7,8,8,9,9,10,10,11,11,11-Heneicosafluoroundecanoic acid</t>
        </is>
      </c>
      <c r="C2"/>
      <c r="D2" t="inlineStr">
        <is>
          <t>Measured</t>
        </is>
      </c>
      <c r="E2"/>
      <c r="F2" t="n">
        <v>99.0</v>
      </c>
      <c r="G2"/>
      <c r="H2"/>
      <c r="I2"/>
      <c r="J2"/>
      <c r="K2" t="inlineStr">
        <is>
          <t>Cyprinus carpio</t>
        </is>
      </c>
      <c r="L2" t="inlineStr">
        <is>
          <t>Common Carp</t>
        </is>
      </c>
      <c r="M2" t="inlineStr">
        <is>
          <t>Fish; Standard Test Species</t>
        </is>
      </c>
      <c r="N2" t="inlineStr">
        <is>
          <t>Yearling</t>
        </is>
      </c>
      <c r="O2"/>
      <c r="P2"/>
      <c r="Q2"/>
      <c r="R2"/>
      <c r="S2"/>
      <c r="T2"/>
      <c r="U2"/>
      <c r="V2" t="inlineStr">
        <is>
          <t>Flow-through</t>
        </is>
      </c>
      <c r="W2" t="inlineStr">
        <is>
          <t>Fresh water</t>
        </is>
      </c>
      <c r="X2" t="inlineStr">
        <is>
          <t>Lab</t>
        </is>
      </c>
      <c r="Y2" t="n">
        <v>3.0</v>
      </c>
      <c r="Z2" t="inlineStr">
        <is>
          <t>Active ingredient</t>
        </is>
      </c>
      <c r="AA2"/>
      <c r="AB2" t="n">
        <v>9.46E-4</v>
      </c>
      <c r="AC2"/>
      <c r="AD2"/>
      <c r="AE2"/>
      <c r="AF2"/>
      <c r="AG2" t="inlineStr">
        <is>
          <t>AI mg/L</t>
        </is>
      </c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 t="inlineStr">
        <is>
          <t>Accumulation</t>
        </is>
      </c>
      <c r="AY2" t="inlineStr">
        <is>
          <t>Residue</t>
        </is>
      </c>
      <c r="AZ2" t="inlineStr">
        <is>
          <t>BCF</t>
        </is>
      </c>
      <c r="BA2" t="inlineStr">
        <is>
          <t>Whole organism</t>
        </is>
      </c>
      <c r="BB2"/>
      <c r="BC2" t="n">
        <v>60.0</v>
      </c>
      <c r="BD2"/>
      <c r="BE2"/>
      <c r="BF2"/>
      <c r="BG2"/>
      <c r="BH2" t="inlineStr">
        <is>
          <t>Day(s)</t>
        </is>
      </c>
      <c r="BI2"/>
      <c r="BJ2" t="n">
        <v>2300.0</v>
      </c>
      <c r="BK2"/>
      <c r="BL2"/>
      <c r="BM2"/>
      <c r="BN2"/>
      <c r="BO2" t="inlineStr">
        <is>
          <t>RA</t>
        </is>
      </c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 t="inlineStr">
        <is>
          <t>Inoue,Y., N. Hashizume, N. Yakata, H. Murakami, Y. Suzuki, E. Kikushima, and M. Otsuka</t>
        </is>
      </c>
      <c r="CE2" t="n">
        <v>160552.0</v>
      </c>
      <c r="CF2" t="inlineStr">
        <is>
          <t>Unique Physicochemical Properties of Perfluorinated Compounds and Their Bioconcentration in Common Carp Cyprinus carpio L.</t>
        </is>
      </c>
      <c r="CG2" t="inlineStr">
        <is>
          <t>Arch. Environ. Contam. Toxicol.62(4): 672-680</t>
        </is>
      </c>
      <c r="CH2" t="n">
        <v>2012.0</v>
      </c>
      <c r="CI2" t="inlineStr">
        <is>
          <t>Inoue,Y., N. Hashizume, N. Yakata, H. Murakami, Y. Suzuki, E. Kikushima, and M. Otsuka (2012). Unique Physicochemical Properties of Perfluorinated Compounds and Their Bioconcentration in Common Carp Cyprinus carpio L.. Arch. Environ. Contam. Toxicol., 62, (4), 672-680. doi:10.1007/s00244-011-9730-7. ECOREF#:160552</t>
        </is>
      </c>
    </row>
    <row r="3">
      <c r="A3" t="n">
        <v>2058948.0</v>
      </c>
      <c r="B3" t="inlineStr">
        <is>
          <t>2,2,3,3,4,4,5,5,6,6,7,7,8,8,9,9,10,10,11,11,11-Heneicosafluoroundecanoic acid</t>
        </is>
      </c>
      <c r="C3"/>
      <c r="D3" t="inlineStr">
        <is>
          <t>Measured</t>
        </is>
      </c>
      <c r="E3"/>
      <c r="F3" t="n">
        <v>99.0</v>
      </c>
      <c r="G3"/>
      <c r="H3"/>
      <c r="I3"/>
      <c r="J3"/>
      <c r="K3" t="inlineStr">
        <is>
          <t>Cyprinus carpio</t>
        </is>
      </c>
      <c r="L3" t="inlineStr">
        <is>
          <t>Common Carp</t>
        </is>
      </c>
      <c r="M3" t="inlineStr">
        <is>
          <t>Fish; Standard Test Species</t>
        </is>
      </c>
      <c r="N3" t="inlineStr">
        <is>
          <t>Yearling</t>
        </is>
      </c>
      <c r="O3"/>
      <c r="P3"/>
      <c r="Q3"/>
      <c r="R3"/>
      <c r="S3"/>
      <c r="T3"/>
      <c r="U3"/>
      <c r="V3" t="inlineStr">
        <is>
          <t>Flow-through</t>
        </is>
      </c>
      <c r="W3" t="inlineStr">
        <is>
          <t>Fresh water</t>
        </is>
      </c>
      <c r="X3" t="inlineStr">
        <is>
          <t>Lab</t>
        </is>
      </c>
      <c r="Y3" t="n">
        <v>3.0</v>
      </c>
      <c r="Z3" t="inlineStr">
        <is>
          <t>Active ingredient</t>
        </is>
      </c>
      <c r="AA3"/>
      <c r="AB3" t="n">
        <v>9.11E-5</v>
      </c>
      <c r="AC3"/>
      <c r="AD3"/>
      <c r="AE3"/>
      <c r="AF3"/>
      <c r="AG3" t="inlineStr">
        <is>
          <t>AI mg/L</t>
        </is>
      </c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 t="inlineStr">
        <is>
          <t>Accumulation</t>
        </is>
      </c>
      <c r="AY3" t="inlineStr">
        <is>
          <t>Residue</t>
        </is>
      </c>
      <c r="AZ3" t="inlineStr">
        <is>
          <t>BCF</t>
        </is>
      </c>
      <c r="BA3" t="inlineStr">
        <is>
          <t>Whole organism</t>
        </is>
      </c>
      <c r="BB3"/>
      <c r="BC3" t="n">
        <v>60.0</v>
      </c>
      <c r="BD3"/>
      <c r="BE3"/>
      <c r="BF3"/>
      <c r="BG3"/>
      <c r="BH3" t="inlineStr">
        <is>
          <t>Day(s)</t>
        </is>
      </c>
      <c r="BI3"/>
      <c r="BJ3" t="n">
        <v>3700.0</v>
      </c>
      <c r="BK3"/>
      <c r="BL3"/>
      <c r="BM3"/>
      <c r="BN3"/>
      <c r="BO3" t="inlineStr">
        <is>
          <t>RA</t>
        </is>
      </c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 t="inlineStr">
        <is>
          <t>Inoue,Y., N. Hashizume, N. Yakata, H. Murakami, Y. Suzuki, E. Kikushima, and M. Otsuka</t>
        </is>
      </c>
      <c r="CE3" t="n">
        <v>160552.0</v>
      </c>
      <c r="CF3" t="inlineStr">
        <is>
          <t>Unique Physicochemical Properties of Perfluorinated Compounds and Their Bioconcentration in Common Carp Cyprinus carpio L.</t>
        </is>
      </c>
      <c r="CG3" t="inlineStr">
        <is>
          <t>Arch. Environ. Contam. Toxicol.62(4): 672-680</t>
        </is>
      </c>
      <c r="CH3" t="n">
        <v>2012.0</v>
      </c>
      <c r="CI3" t="inlineStr">
        <is>
          <t>Inoue,Y., N. Hashizume, N. Yakata, H. Murakami, Y. Suzuki, E. Kikushima, and M. Otsuka (2012). Unique Physicochemical Properties of Perfluorinated Compounds and Their Bioconcentration in Common Carp Cyprinus carpio L.. Arch. Environ. Contam. Toxicol., 62, (4), 672-680. doi:10.1007/s00244-011-9730-7. ECOREF#:160552</t>
        </is>
      </c>
    </row>
    <row r="4">
      <c r="A4" t="n">
        <v>2058948.0</v>
      </c>
      <c r="B4" t="inlineStr">
        <is>
          <t>2,2,3,3,4,4,5,5,6,6,7,7,8,8,9,9,10,10,11,11,11-Heneicosafluoroundecanoic acid</t>
        </is>
      </c>
      <c r="C4"/>
      <c r="D4" t="inlineStr">
        <is>
          <t>Measured</t>
        </is>
      </c>
      <c r="E4"/>
      <c r="F4" t="n">
        <v>95.0</v>
      </c>
      <c r="G4"/>
      <c r="H4"/>
      <c r="I4"/>
      <c r="J4"/>
      <c r="K4" t="inlineStr">
        <is>
          <t>Chironomus plumosus</t>
        </is>
      </c>
      <c r="L4" t="inlineStr">
        <is>
          <t>Midge</t>
        </is>
      </c>
      <c r="M4" t="inlineStr">
        <is>
          <t>Insects/Spiders</t>
        </is>
      </c>
      <c r="N4" t="inlineStr">
        <is>
          <t>Larva</t>
        </is>
      </c>
      <c r="O4"/>
      <c r="P4"/>
      <c r="Q4"/>
      <c r="R4" t="n">
        <v>3.0</v>
      </c>
      <c r="S4"/>
      <c r="T4" t="n">
        <v>4.0</v>
      </c>
      <c r="U4" t="inlineStr">
        <is>
          <t>Instantaneous</t>
        </is>
      </c>
      <c r="V4" t="inlineStr">
        <is>
          <t>Static</t>
        </is>
      </c>
      <c r="W4" t="inlineStr">
        <is>
          <t>Fresh water</t>
        </is>
      </c>
      <c r="X4" t="inlineStr">
        <is>
          <t>Lab</t>
        </is>
      </c>
      <c r="Y4" t="n">
        <v>2.0</v>
      </c>
      <c r="Z4" t="inlineStr">
        <is>
          <t>Active ingredient</t>
        </is>
      </c>
      <c r="AA4"/>
      <c r="AB4" t="n">
        <v>0.00932</v>
      </c>
      <c r="AC4"/>
      <c r="AD4"/>
      <c r="AE4"/>
      <c r="AF4"/>
      <c r="AG4" t="inlineStr">
        <is>
          <t>AI mg/L</t>
        </is>
      </c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 t="inlineStr">
        <is>
          <t>Accumulation</t>
        </is>
      </c>
      <c r="AY4" t="inlineStr">
        <is>
          <t>Residue</t>
        </is>
      </c>
      <c r="AZ4"/>
      <c r="BA4" t="inlineStr">
        <is>
          <t>Whole organism</t>
        </is>
      </c>
      <c r="BB4"/>
      <c r="BC4" t="n">
        <v>10.33</v>
      </c>
      <c r="BD4"/>
      <c r="BE4"/>
      <c r="BF4"/>
      <c r="BG4"/>
      <c r="BH4" t="inlineStr">
        <is>
          <t>Day(s)</t>
        </is>
      </c>
      <c r="BI4"/>
      <c r="BJ4"/>
      <c r="BK4"/>
      <c r="BL4"/>
      <c r="BM4"/>
      <c r="BN4"/>
      <c r="BO4" t="inlineStr">
        <is>
          <t>--</t>
        </is>
      </c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 t="inlineStr">
        <is>
          <t>Zhai,Y., X. Xia, X. Zhao, H. Dong, B. Zhu, N. Xia, and J. Dong</t>
        </is>
      </c>
      <c r="CE4" t="n">
        <v>177074.0</v>
      </c>
      <c r="CF4" t="inlineStr">
        <is>
          <t>Role of Ingestion Route in the Perfluoroalkyl Substance Bioaccumulation by Chironomus plumosus Larvae in Sediments Amended with Carbonaceous Materials</t>
        </is>
      </c>
      <c r="CG4" t="inlineStr">
        <is>
          <t>J. Hazard. Mater.302:404-414</t>
        </is>
      </c>
      <c r="CH4" t="n">
        <v>2016.0</v>
      </c>
      <c r="CI4" t="inlineStr">
        <is>
          <t>Zhai,Y., X. Xia, X. Zhao, H. Dong, B. Zhu, N. Xia, and J. Dong (2016). Role of Ingestion Route in the Perfluoroalkyl Substance Bioaccumulation by Chironomus plumosus Larvae in Sediments Amended with Carbonaceous Materials. J. Hazard. Mater., 302, 404-414. doi:10.1016/j.jhazmat.2015.10.008. ECOREF#:177074</t>
        </is>
      </c>
    </row>
    <row r="5">
      <c r="A5" t="n">
        <v>2058948.0</v>
      </c>
      <c r="B5" t="inlineStr">
        <is>
          <t>2,2,3,3,4,4,5,5,6,6,7,7,8,8,9,9,10,10,11,11,11-Heneicosafluoroundecanoic acid</t>
        </is>
      </c>
      <c r="C5"/>
      <c r="D5" t="inlineStr">
        <is>
          <t>Measured</t>
        </is>
      </c>
      <c r="E5"/>
      <c r="F5" t="n">
        <v>95.0</v>
      </c>
      <c r="G5"/>
      <c r="H5"/>
      <c r="I5"/>
      <c r="J5"/>
      <c r="K5" t="inlineStr">
        <is>
          <t>Chironomus plumosus</t>
        </is>
      </c>
      <c r="L5" t="inlineStr">
        <is>
          <t>Midge</t>
        </is>
      </c>
      <c r="M5" t="inlineStr">
        <is>
          <t>Insects/Spiders</t>
        </is>
      </c>
      <c r="N5" t="inlineStr">
        <is>
          <t>Larva</t>
        </is>
      </c>
      <c r="O5"/>
      <c r="P5"/>
      <c r="Q5"/>
      <c r="R5" t="n">
        <v>3.0</v>
      </c>
      <c r="S5"/>
      <c r="T5" t="n">
        <v>4.0</v>
      </c>
      <c r="U5" t="inlineStr">
        <is>
          <t>Instantaneous</t>
        </is>
      </c>
      <c r="V5" t="inlineStr">
        <is>
          <t>Static</t>
        </is>
      </c>
      <c r="W5" t="inlineStr">
        <is>
          <t>Fresh water</t>
        </is>
      </c>
      <c r="X5" t="inlineStr">
        <is>
          <t>Lab</t>
        </is>
      </c>
      <c r="Y5" t="n">
        <v>2.0</v>
      </c>
      <c r="Z5" t="inlineStr">
        <is>
          <t>Active ingredient</t>
        </is>
      </c>
      <c r="AA5"/>
      <c r="AB5" t="n">
        <v>0.00945</v>
      </c>
      <c r="AC5"/>
      <c r="AD5"/>
      <c r="AE5"/>
      <c r="AF5"/>
      <c r="AG5" t="inlineStr">
        <is>
          <t>AI mg/L</t>
        </is>
      </c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 t="inlineStr">
        <is>
          <t>Accumulation</t>
        </is>
      </c>
      <c r="AY5" t="inlineStr">
        <is>
          <t>Residue</t>
        </is>
      </c>
      <c r="AZ5"/>
      <c r="BA5" t="inlineStr">
        <is>
          <t>Whole organism</t>
        </is>
      </c>
      <c r="BB5"/>
      <c r="BC5" t="n">
        <v>10.33</v>
      </c>
      <c r="BD5"/>
      <c r="BE5"/>
      <c r="BF5"/>
      <c r="BG5"/>
      <c r="BH5" t="inlineStr">
        <is>
          <t>Day(s)</t>
        </is>
      </c>
      <c r="BI5"/>
      <c r="BJ5"/>
      <c r="BK5"/>
      <c r="BL5"/>
      <c r="BM5"/>
      <c r="BN5"/>
      <c r="BO5" t="inlineStr">
        <is>
          <t>--</t>
        </is>
      </c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 t="inlineStr">
        <is>
          <t>Zhai,Y., X. Xia, X. Zhao, H. Dong, B. Zhu, N. Xia, and J. Dong</t>
        </is>
      </c>
      <c r="CE5" t="n">
        <v>177074.0</v>
      </c>
      <c r="CF5" t="inlineStr">
        <is>
          <t>Role of Ingestion Route in the Perfluoroalkyl Substance Bioaccumulation by Chironomus plumosus Larvae in Sediments Amended with Carbonaceous Materials</t>
        </is>
      </c>
      <c r="CG5" t="inlineStr">
        <is>
          <t>J. Hazard. Mater.302:404-414</t>
        </is>
      </c>
      <c r="CH5" t="n">
        <v>2016.0</v>
      </c>
      <c r="CI5" t="inlineStr">
        <is>
          <t>Zhai,Y., X. Xia, X. Zhao, H. Dong, B. Zhu, N. Xia, and J. Dong (2016). Role of Ingestion Route in the Perfluoroalkyl Substance Bioaccumulation by Chironomus plumosus Larvae in Sediments Amended with Carbonaceous Materials. J. Hazard. Mater., 302, 404-414. doi:10.1016/j.jhazmat.2015.10.008. ECOREF#:177074</t>
        </is>
      </c>
    </row>
    <row r="6">
      <c r="A6" t="n">
        <v>2058948.0</v>
      </c>
      <c r="B6" t="inlineStr">
        <is>
          <t>2,2,3,3,4,4,5,5,6,6,7,7,8,8,9,9,10,10,11,11,11-Heneicosafluoroundecanoic acid</t>
        </is>
      </c>
      <c r="C6"/>
      <c r="D6" t="inlineStr">
        <is>
          <t>Measured</t>
        </is>
      </c>
      <c r="E6"/>
      <c r="F6" t="n">
        <v>95.0</v>
      </c>
      <c r="G6"/>
      <c r="H6"/>
      <c r="I6"/>
      <c r="J6"/>
      <c r="K6" t="inlineStr">
        <is>
          <t>Chironomus plumosus</t>
        </is>
      </c>
      <c r="L6" t="inlineStr">
        <is>
          <t>Midge</t>
        </is>
      </c>
      <c r="M6" t="inlineStr">
        <is>
          <t>Insects/Spiders</t>
        </is>
      </c>
      <c r="N6" t="inlineStr">
        <is>
          <t>Larva</t>
        </is>
      </c>
      <c r="O6"/>
      <c r="P6"/>
      <c r="Q6"/>
      <c r="R6" t="n">
        <v>3.0</v>
      </c>
      <c r="S6"/>
      <c r="T6" t="n">
        <v>4.0</v>
      </c>
      <c r="U6" t="inlineStr">
        <is>
          <t>Instantaneous</t>
        </is>
      </c>
      <c r="V6" t="inlineStr">
        <is>
          <t>Static</t>
        </is>
      </c>
      <c r="W6" t="inlineStr">
        <is>
          <t>Fresh water</t>
        </is>
      </c>
      <c r="X6" t="inlineStr">
        <is>
          <t>Lab</t>
        </is>
      </c>
      <c r="Y6" t="n">
        <v>2.0</v>
      </c>
      <c r="Z6" t="inlineStr">
        <is>
          <t>Active ingredient</t>
        </is>
      </c>
      <c r="AA6"/>
      <c r="AB6" t="n">
        <v>0.00945</v>
      </c>
      <c r="AC6"/>
      <c r="AD6"/>
      <c r="AE6"/>
      <c r="AF6"/>
      <c r="AG6" t="inlineStr">
        <is>
          <t>AI mg/L</t>
        </is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 t="inlineStr">
        <is>
          <t>Accumulation</t>
        </is>
      </c>
      <c r="AY6" t="inlineStr">
        <is>
          <t>Residue</t>
        </is>
      </c>
      <c r="AZ6"/>
      <c r="BA6" t="inlineStr">
        <is>
          <t>Whole organism</t>
        </is>
      </c>
      <c r="BB6"/>
      <c r="BC6" t="n">
        <v>10.33</v>
      </c>
      <c r="BD6"/>
      <c r="BE6"/>
      <c r="BF6"/>
      <c r="BG6"/>
      <c r="BH6" t="inlineStr">
        <is>
          <t>Day(s)</t>
        </is>
      </c>
      <c r="BI6"/>
      <c r="BJ6"/>
      <c r="BK6"/>
      <c r="BL6"/>
      <c r="BM6"/>
      <c r="BN6"/>
      <c r="BO6" t="inlineStr">
        <is>
          <t>--</t>
        </is>
      </c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 t="inlineStr">
        <is>
          <t>Zhai,Y., X. Xia, X. Zhao, H. Dong, B. Zhu, N. Xia, and J. Dong</t>
        </is>
      </c>
      <c r="CE6" t="n">
        <v>177074.0</v>
      </c>
      <c r="CF6" t="inlineStr">
        <is>
          <t>Role of Ingestion Route in the Perfluoroalkyl Substance Bioaccumulation by Chironomus plumosus Larvae in Sediments Amended with Carbonaceous Materials</t>
        </is>
      </c>
      <c r="CG6" t="inlineStr">
        <is>
          <t>J. Hazard. Mater.302:404-414</t>
        </is>
      </c>
      <c r="CH6" t="n">
        <v>2016.0</v>
      </c>
      <c r="CI6" t="inlineStr">
        <is>
          <t>Zhai,Y., X. Xia, X. Zhao, H. Dong, B. Zhu, N. Xia, and J. Dong (2016). Role of Ingestion Route in the Perfluoroalkyl Substance Bioaccumulation by Chironomus plumosus Larvae in Sediments Amended with Carbonaceous Materials. J. Hazard. Mater., 302, 404-414. doi:10.1016/j.jhazmat.2015.10.008. ECOREF#:177074</t>
        </is>
      </c>
    </row>
    <row r="7">
      <c r="A7" t="n">
        <v>2058948.0</v>
      </c>
      <c r="B7" t="inlineStr">
        <is>
          <t>2,2,3,3,4,4,5,5,6,6,7,7,8,8,9,9,10,10,11,11,11-Heneicosafluoroundecanoic acid</t>
        </is>
      </c>
      <c r="C7"/>
      <c r="D7" t="inlineStr">
        <is>
          <t>Measured</t>
        </is>
      </c>
      <c r="E7"/>
      <c r="F7" t="n">
        <v>95.0</v>
      </c>
      <c r="G7"/>
      <c r="H7"/>
      <c r="I7"/>
      <c r="J7"/>
      <c r="K7" t="inlineStr">
        <is>
          <t>Chironomus plumosus</t>
        </is>
      </c>
      <c r="L7" t="inlineStr">
        <is>
          <t>Midge</t>
        </is>
      </c>
      <c r="M7" t="inlineStr">
        <is>
          <t>Insects/Spiders</t>
        </is>
      </c>
      <c r="N7" t="inlineStr">
        <is>
          <t>Larva</t>
        </is>
      </c>
      <c r="O7"/>
      <c r="P7"/>
      <c r="Q7"/>
      <c r="R7" t="n">
        <v>3.0</v>
      </c>
      <c r="S7"/>
      <c r="T7" t="n">
        <v>4.0</v>
      </c>
      <c r="U7" t="inlineStr">
        <is>
          <t>Instantaneous</t>
        </is>
      </c>
      <c r="V7" t="inlineStr">
        <is>
          <t>Static</t>
        </is>
      </c>
      <c r="W7" t="inlineStr">
        <is>
          <t>Fresh water</t>
        </is>
      </c>
      <c r="X7" t="inlineStr">
        <is>
          <t>Lab</t>
        </is>
      </c>
      <c r="Y7" t="n">
        <v>2.0</v>
      </c>
      <c r="Z7" t="inlineStr">
        <is>
          <t>Active ingredient</t>
        </is>
      </c>
      <c r="AA7"/>
      <c r="AB7" t="n">
        <v>0.00932</v>
      </c>
      <c r="AC7"/>
      <c r="AD7"/>
      <c r="AE7"/>
      <c r="AF7"/>
      <c r="AG7" t="inlineStr">
        <is>
          <t>AI mg/L</t>
        </is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 t="inlineStr">
        <is>
          <t>Accumulation</t>
        </is>
      </c>
      <c r="AY7" t="inlineStr">
        <is>
          <t>Residue</t>
        </is>
      </c>
      <c r="AZ7"/>
      <c r="BA7" t="inlineStr">
        <is>
          <t>Whole organism</t>
        </is>
      </c>
      <c r="BB7"/>
      <c r="BC7" t="n">
        <v>10.33</v>
      </c>
      <c r="BD7"/>
      <c r="BE7"/>
      <c r="BF7"/>
      <c r="BG7"/>
      <c r="BH7" t="inlineStr">
        <is>
          <t>Day(s)</t>
        </is>
      </c>
      <c r="BI7"/>
      <c r="BJ7"/>
      <c r="BK7"/>
      <c r="BL7"/>
      <c r="BM7"/>
      <c r="BN7"/>
      <c r="BO7" t="inlineStr">
        <is>
          <t>--</t>
        </is>
      </c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 t="inlineStr">
        <is>
          <t>Zhai,Y., X. Xia, X. Zhao, H. Dong, B. Zhu, N. Xia, and J. Dong</t>
        </is>
      </c>
      <c r="CE7" t="n">
        <v>177074.0</v>
      </c>
      <c r="CF7" t="inlineStr">
        <is>
          <t>Role of Ingestion Route in the Perfluoroalkyl Substance Bioaccumulation by Chironomus plumosus Larvae in Sediments Amended with Carbonaceous Materials</t>
        </is>
      </c>
      <c r="CG7" t="inlineStr">
        <is>
          <t>J. Hazard. Mater.302:404-414</t>
        </is>
      </c>
      <c r="CH7" t="n">
        <v>2016.0</v>
      </c>
      <c r="CI7" t="inlineStr">
        <is>
          <t>Zhai,Y., X. Xia, X. Zhao, H. Dong, B. Zhu, N. Xia, and J. Dong (2016). Role of Ingestion Route in the Perfluoroalkyl Substance Bioaccumulation by Chironomus plumosus Larvae in Sediments Amended with Carbonaceous Materials. J. Hazard. Mater., 302, 404-414. doi:10.1016/j.jhazmat.2015.10.008. ECOREF#:177074</t>
        </is>
      </c>
    </row>
    <row r="8">
      <c r="A8" t="n">
        <v>2058948.0</v>
      </c>
      <c r="B8" t="inlineStr">
        <is>
          <t>2,2,3,3,4,4,5,5,6,6,7,7,8,8,9,9,10,10,11,11,11-Heneicosafluoroundecanoic acid</t>
        </is>
      </c>
      <c r="C8"/>
      <c r="D8" t="inlineStr">
        <is>
          <t>Measured</t>
        </is>
      </c>
      <c r="E8"/>
      <c r="F8" t="n">
        <v>95.0</v>
      </c>
      <c r="G8"/>
      <c r="H8"/>
      <c r="I8"/>
      <c r="J8"/>
      <c r="K8" t="inlineStr">
        <is>
          <t>Chironomus plumosus</t>
        </is>
      </c>
      <c r="L8" t="inlineStr">
        <is>
          <t>Midge</t>
        </is>
      </c>
      <c r="M8" t="inlineStr">
        <is>
          <t>Insects/Spiders</t>
        </is>
      </c>
      <c r="N8" t="inlineStr">
        <is>
          <t>Larva</t>
        </is>
      </c>
      <c r="O8"/>
      <c r="P8"/>
      <c r="Q8"/>
      <c r="R8" t="n">
        <v>3.0</v>
      </c>
      <c r="S8"/>
      <c r="T8" t="n">
        <v>4.0</v>
      </c>
      <c r="U8" t="inlineStr">
        <is>
          <t>Instantaneous</t>
        </is>
      </c>
      <c r="V8" t="inlineStr">
        <is>
          <t>Static</t>
        </is>
      </c>
      <c r="W8" t="inlineStr">
        <is>
          <t>Fresh water</t>
        </is>
      </c>
      <c r="X8" t="inlineStr">
        <is>
          <t>Lab</t>
        </is>
      </c>
      <c r="Y8" t="n">
        <v>2.0</v>
      </c>
      <c r="Z8" t="inlineStr">
        <is>
          <t>Active ingredient</t>
        </is>
      </c>
      <c r="AA8"/>
      <c r="AB8" t="n">
        <v>0.00945</v>
      </c>
      <c r="AC8"/>
      <c r="AD8"/>
      <c r="AE8"/>
      <c r="AF8"/>
      <c r="AG8" t="inlineStr">
        <is>
          <t>AI mg/L</t>
        </is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 t="inlineStr">
        <is>
          <t>Accumulation</t>
        </is>
      </c>
      <c r="AY8" t="inlineStr">
        <is>
          <t>Residue</t>
        </is>
      </c>
      <c r="AZ8"/>
      <c r="BA8" t="inlineStr">
        <is>
          <t>Whole organism</t>
        </is>
      </c>
      <c r="BB8"/>
      <c r="BC8" t="n">
        <v>10.33</v>
      </c>
      <c r="BD8"/>
      <c r="BE8"/>
      <c r="BF8"/>
      <c r="BG8"/>
      <c r="BH8" t="inlineStr">
        <is>
          <t>Day(s)</t>
        </is>
      </c>
      <c r="BI8"/>
      <c r="BJ8"/>
      <c r="BK8"/>
      <c r="BL8"/>
      <c r="BM8"/>
      <c r="BN8"/>
      <c r="BO8" t="inlineStr">
        <is>
          <t>--</t>
        </is>
      </c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 t="inlineStr">
        <is>
          <t>Zhai,Y., X. Xia, X. Zhao, H. Dong, B. Zhu, N. Xia, and J. Dong</t>
        </is>
      </c>
      <c r="CE8" t="n">
        <v>177074.0</v>
      </c>
      <c r="CF8" t="inlineStr">
        <is>
          <t>Role of Ingestion Route in the Perfluoroalkyl Substance Bioaccumulation by Chironomus plumosus Larvae in Sediments Amended with Carbonaceous Materials</t>
        </is>
      </c>
      <c r="CG8" t="inlineStr">
        <is>
          <t>J. Hazard. Mater.302:404-414</t>
        </is>
      </c>
      <c r="CH8" t="n">
        <v>2016.0</v>
      </c>
      <c r="CI8" t="inlineStr">
        <is>
          <t>Zhai,Y., X. Xia, X. Zhao, H. Dong, B. Zhu, N. Xia, and J. Dong (2016). Role of Ingestion Route in the Perfluoroalkyl Substance Bioaccumulation by Chironomus plumosus Larvae in Sediments Amended with Carbonaceous Materials. J. Hazard. Mater., 302, 404-414. doi:10.1016/j.jhazmat.2015.10.008. ECOREF#:177074</t>
        </is>
      </c>
    </row>
    <row r="9">
      <c r="A9" t="n">
        <v>2058948.0</v>
      </c>
      <c r="B9" t="inlineStr">
        <is>
          <t>2,2,3,3,4,4,5,5,6,6,7,7,8,8,9,9,10,10,11,11,11-Heneicosafluoroundecanoic acid</t>
        </is>
      </c>
      <c r="C9"/>
      <c r="D9" t="inlineStr">
        <is>
          <t>Measured</t>
        </is>
      </c>
      <c r="E9"/>
      <c r="F9" t="n">
        <v>95.0</v>
      </c>
      <c r="G9"/>
      <c r="H9"/>
      <c r="I9"/>
      <c r="J9"/>
      <c r="K9" t="inlineStr">
        <is>
          <t>Chironomus plumosus</t>
        </is>
      </c>
      <c r="L9" t="inlineStr">
        <is>
          <t>Midge</t>
        </is>
      </c>
      <c r="M9" t="inlineStr">
        <is>
          <t>Insects/Spiders</t>
        </is>
      </c>
      <c r="N9" t="inlineStr">
        <is>
          <t>Larva</t>
        </is>
      </c>
      <c r="O9"/>
      <c r="P9"/>
      <c r="Q9"/>
      <c r="R9" t="n">
        <v>3.0</v>
      </c>
      <c r="S9"/>
      <c r="T9" t="n">
        <v>4.0</v>
      </c>
      <c r="U9" t="inlineStr">
        <is>
          <t>Instantaneous</t>
        </is>
      </c>
      <c r="V9" t="inlineStr">
        <is>
          <t>Static</t>
        </is>
      </c>
      <c r="W9" t="inlineStr">
        <is>
          <t>Fresh water</t>
        </is>
      </c>
      <c r="X9" t="inlineStr">
        <is>
          <t>Lab</t>
        </is>
      </c>
      <c r="Y9" t="n">
        <v>2.0</v>
      </c>
      <c r="Z9" t="inlineStr">
        <is>
          <t>Active ingredient</t>
        </is>
      </c>
      <c r="AA9"/>
      <c r="AB9" t="n">
        <v>0.00932</v>
      </c>
      <c r="AC9"/>
      <c r="AD9"/>
      <c r="AE9"/>
      <c r="AF9"/>
      <c r="AG9" t="inlineStr">
        <is>
          <t>AI mg/L</t>
        </is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 t="inlineStr">
        <is>
          <t>Accumulation</t>
        </is>
      </c>
      <c r="AY9" t="inlineStr">
        <is>
          <t>Residue</t>
        </is>
      </c>
      <c r="AZ9"/>
      <c r="BA9" t="inlineStr">
        <is>
          <t>Whole organism</t>
        </is>
      </c>
      <c r="BB9"/>
      <c r="BC9" t="n">
        <v>10.33</v>
      </c>
      <c r="BD9"/>
      <c r="BE9"/>
      <c r="BF9"/>
      <c r="BG9"/>
      <c r="BH9" t="inlineStr">
        <is>
          <t>Day(s)</t>
        </is>
      </c>
      <c r="BI9"/>
      <c r="BJ9"/>
      <c r="BK9"/>
      <c r="BL9"/>
      <c r="BM9"/>
      <c r="BN9"/>
      <c r="BO9" t="inlineStr">
        <is>
          <t>--</t>
        </is>
      </c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 t="inlineStr">
        <is>
          <t>Zhai,Y., X. Xia, X. Zhao, H. Dong, B. Zhu, N. Xia, and J. Dong</t>
        </is>
      </c>
      <c r="CE9" t="n">
        <v>177074.0</v>
      </c>
      <c r="CF9" t="inlineStr">
        <is>
          <t>Role of Ingestion Route in the Perfluoroalkyl Substance Bioaccumulation by Chironomus plumosus Larvae in Sediments Amended with Carbonaceous Materials</t>
        </is>
      </c>
      <c r="CG9" t="inlineStr">
        <is>
          <t>J. Hazard. Mater.302:404-414</t>
        </is>
      </c>
      <c r="CH9" t="n">
        <v>2016.0</v>
      </c>
      <c r="CI9" t="inlineStr">
        <is>
          <t>Zhai,Y., X. Xia, X. Zhao, H. Dong, B. Zhu, N. Xia, and J. Dong (2016). Role of Ingestion Route in the Perfluoroalkyl Substance Bioaccumulation by Chironomus plumosus Larvae in Sediments Amended with Carbonaceous Materials. J. Hazard. Mater., 302, 404-414. doi:10.1016/j.jhazmat.2015.10.008. ECOREF#:177074</t>
        </is>
      </c>
    </row>
    <row r="10">
      <c r="A10" t="n">
        <v>2058948.0</v>
      </c>
      <c r="B10" t="inlineStr">
        <is>
          <t>2,2,3,3,4,4,5,5,6,6,7,7,8,8,9,9,10,10,11,11,11-Heneicosafluoroundecanoic acid</t>
        </is>
      </c>
      <c r="C10"/>
      <c r="D10" t="inlineStr">
        <is>
          <t>Measured</t>
        </is>
      </c>
      <c r="E10"/>
      <c r="F10" t="n">
        <v>95.0</v>
      </c>
      <c r="G10"/>
      <c r="H10"/>
      <c r="I10"/>
      <c r="J10"/>
      <c r="K10" t="inlineStr">
        <is>
          <t>Chironomus plumosus</t>
        </is>
      </c>
      <c r="L10" t="inlineStr">
        <is>
          <t>Midge</t>
        </is>
      </c>
      <c r="M10" t="inlineStr">
        <is>
          <t>Insects/Spiders</t>
        </is>
      </c>
      <c r="N10" t="inlineStr">
        <is>
          <t>Larva</t>
        </is>
      </c>
      <c r="O10"/>
      <c r="P10"/>
      <c r="Q10"/>
      <c r="R10" t="n">
        <v>3.0</v>
      </c>
      <c r="S10"/>
      <c r="T10" t="n">
        <v>4.0</v>
      </c>
      <c r="U10" t="inlineStr">
        <is>
          <t>Instantaneous</t>
        </is>
      </c>
      <c r="V10" t="inlineStr">
        <is>
          <t>Static</t>
        </is>
      </c>
      <c r="W10" t="inlineStr">
        <is>
          <t>Fresh water</t>
        </is>
      </c>
      <c r="X10" t="inlineStr">
        <is>
          <t>Lab</t>
        </is>
      </c>
      <c r="Y10" t="n">
        <v>2.0</v>
      </c>
      <c r="Z10" t="inlineStr">
        <is>
          <t>Active ingredient</t>
        </is>
      </c>
      <c r="AA10"/>
      <c r="AB10" t="n">
        <v>0.00932</v>
      </c>
      <c r="AC10"/>
      <c r="AD10"/>
      <c r="AE10"/>
      <c r="AF10"/>
      <c r="AG10" t="inlineStr">
        <is>
          <t>AI mg/L</t>
        </is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 t="inlineStr">
        <is>
          <t>Accumulation</t>
        </is>
      </c>
      <c r="AY10" t="inlineStr">
        <is>
          <t>Residue</t>
        </is>
      </c>
      <c r="AZ10"/>
      <c r="BA10" t="inlineStr">
        <is>
          <t>Whole organism</t>
        </is>
      </c>
      <c r="BB10"/>
      <c r="BC10" t="n">
        <v>10.33</v>
      </c>
      <c r="BD10"/>
      <c r="BE10"/>
      <c r="BF10"/>
      <c r="BG10"/>
      <c r="BH10" t="inlineStr">
        <is>
          <t>Day(s)</t>
        </is>
      </c>
      <c r="BI10"/>
      <c r="BJ10"/>
      <c r="BK10"/>
      <c r="BL10"/>
      <c r="BM10"/>
      <c r="BN10"/>
      <c r="BO10" t="inlineStr">
        <is>
          <t>--</t>
        </is>
      </c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 t="inlineStr">
        <is>
          <t>Zhai,Y., X. Xia, X. Zhao, H. Dong, B. Zhu, N. Xia, and J. Dong</t>
        </is>
      </c>
      <c r="CE10" t="n">
        <v>177074.0</v>
      </c>
      <c r="CF10" t="inlineStr">
        <is>
          <t>Role of Ingestion Route in the Perfluoroalkyl Substance Bioaccumulation by Chironomus plumosus Larvae in Sediments Amended with Carbonaceous Materials</t>
        </is>
      </c>
      <c r="CG10" t="inlineStr">
        <is>
          <t>J. Hazard. Mater.302:404-414</t>
        </is>
      </c>
      <c r="CH10" t="n">
        <v>2016.0</v>
      </c>
      <c r="CI10" t="inlineStr">
        <is>
          <t>Zhai,Y., X. Xia, X. Zhao, H. Dong, B. Zhu, N. Xia, and J. Dong (2016). Role of Ingestion Route in the Perfluoroalkyl Substance Bioaccumulation by Chironomus plumosus Larvae in Sediments Amended with Carbonaceous Materials. J. Hazard. Mater., 302, 404-414. doi:10.1016/j.jhazmat.2015.10.008. ECOREF#:177074</t>
        </is>
      </c>
    </row>
    <row r="11">
      <c r="A11" t="n">
        <v>2058948.0</v>
      </c>
      <c r="B11" t="inlineStr">
        <is>
          <t>2,2,3,3,4,4,5,5,6,6,7,7,8,8,9,9,10,10,11,11,11-Heneicosafluoroundecanoic acid</t>
        </is>
      </c>
      <c r="C11"/>
      <c r="D11" t="inlineStr">
        <is>
          <t>Measured</t>
        </is>
      </c>
      <c r="E11"/>
      <c r="F11" t="n">
        <v>95.0</v>
      </c>
      <c r="G11"/>
      <c r="H11"/>
      <c r="I11"/>
      <c r="J11"/>
      <c r="K11" t="inlineStr">
        <is>
          <t>Chironomus plumosus</t>
        </is>
      </c>
      <c r="L11" t="inlineStr">
        <is>
          <t>Midge</t>
        </is>
      </c>
      <c r="M11" t="inlineStr">
        <is>
          <t>Insects/Spiders</t>
        </is>
      </c>
      <c r="N11" t="inlineStr">
        <is>
          <t>Larva</t>
        </is>
      </c>
      <c r="O11"/>
      <c r="P11"/>
      <c r="Q11"/>
      <c r="R11" t="n">
        <v>3.0</v>
      </c>
      <c r="S11"/>
      <c r="T11" t="n">
        <v>4.0</v>
      </c>
      <c r="U11" t="inlineStr">
        <is>
          <t>Instantaneous</t>
        </is>
      </c>
      <c r="V11" t="inlineStr">
        <is>
          <t>Static</t>
        </is>
      </c>
      <c r="W11" t="inlineStr">
        <is>
          <t>Fresh water</t>
        </is>
      </c>
      <c r="X11" t="inlineStr">
        <is>
          <t>Lab</t>
        </is>
      </c>
      <c r="Y11" t="n">
        <v>2.0</v>
      </c>
      <c r="Z11" t="inlineStr">
        <is>
          <t>Active ingredient</t>
        </is>
      </c>
      <c r="AA11"/>
      <c r="AB11" t="n">
        <v>0.00945</v>
      </c>
      <c r="AC11"/>
      <c r="AD11"/>
      <c r="AE11"/>
      <c r="AF11"/>
      <c r="AG11" t="inlineStr">
        <is>
          <t>AI mg/L</t>
        </is>
      </c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 t="inlineStr">
        <is>
          <t>Accumulation</t>
        </is>
      </c>
      <c r="AY11" t="inlineStr">
        <is>
          <t>Residue</t>
        </is>
      </c>
      <c r="AZ11"/>
      <c r="BA11" t="inlineStr">
        <is>
          <t>Whole organism</t>
        </is>
      </c>
      <c r="BB11"/>
      <c r="BC11" t="n">
        <v>10.33</v>
      </c>
      <c r="BD11"/>
      <c r="BE11"/>
      <c r="BF11"/>
      <c r="BG11"/>
      <c r="BH11" t="inlineStr">
        <is>
          <t>Day(s)</t>
        </is>
      </c>
      <c r="BI11"/>
      <c r="BJ11"/>
      <c r="BK11"/>
      <c r="BL11"/>
      <c r="BM11"/>
      <c r="BN11"/>
      <c r="BO11" t="inlineStr">
        <is>
          <t>--</t>
        </is>
      </c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 t="inlineStr">
        <is>
          <t>Zhai,Y., X. Xia, X. Zhao, H. Dong, B. Zhu, N. Xia, and J. Dong</t>
        </is>
      </c>
      <c r="CE11" t="n">
        <v>177074.0</v>
      </c>
      <c r="CF11" t="inlineStr">
        <is>
          <t>Role of Ingestion Route in the Perfluoroalkyl Substance Bioaccumulation by Chironomus plumosus Larvae in Sediments Amended with Carbonaceous Materials</t>
        </is>
      </c>
      <c r="CG11" t="inlineStr">
        <is>
          <t>J. Hazard. Mater.302:404-414</t>
        </is>
      </c>
      <c r="CH11" t="n">
        <v>2016.0</v>
      </c>
      <c r="CI11" t="inlineStr">
        <is>
          <t>Zhai,Y., X. Xia, X. Zhao, H. Dong, B. Zhu, N. Xia, and J. Dong (2016). Role of Ingestion Route in the Perfluoroalkyl Substance Bioaccumulation by Chironomus plumosus Larvae in Sediments Amended with Carbonaceous Materials. J. Hazard. Mater., 302, 404-414. doi:10.1016/j.jhazmat.2015.10.008. ECOREF#:177074</t>
        </is>
      </c>
    </row>
    <row r="12">
      <c r="A12" t="n">
        <v>2058948.0</v>
      </c>
      <c r="B12" t="inlineStr">
        <is>
          <t>2,2,3,3,4,4,5,5,6,6,7,7,8,8,9,9,10,10,11,11,11-Heneicosafluoroundecanoic acid</t>
        </is>
      </c>
      <c r="C12"/>
      <c r="D12" t="inlineStr">
        <is>
          <t>Unmeasured</t>
        </is>
      </c>
      <c r="E12"/>
      <c r="F12" t="n">
        <v>102.2</v>
      </c>
      <c r="G12"/>
      <c r="H12"/>
      <c r="I12"/>
      <c r="J12"/>
      <c r="K12" t="inlineStr">
        <is>
          <t>Mytilus californianus</t>
        </is>
      </c>
      <c r="L12" t="inlineStr">
        <is>
          <t>Mussel</t>
        </is>
      </c>
      <c r="M12" t="inlineStr">
        <is>
          <t>Molluscs</t>
        </is>
      </c>
      <c r="N12"/>
      <c r="O12"/>
      <c r="P12"/>
      <c r="Q12"/>
      <c r="R12"/>
      <c r="S12"/>
      <c r="T12"/>
      <c r="U12"/>
      <c r="V12" t="inlineStr">
        <is>
          <t>Static</t>
        </is>
      </c>
      <c r="W12" t="inlineStr">
        <is>
          <t>Salt water</t>
        </is>
      </c>
      <c r="X12" t="inlineStr">
        <is>
          <t>Lab</t>
        </is>
      </c>
      <c r="Y12" t="n">
        <v>2.0</v>
      </c>
      <c r="Z12" t="inlineStr">
        <is>
          <t>Active ingredient</t>
        </is>
      </c>
      <c r="AA12"/>
      <c r="AB12" t="n">
        <v>0.05640942</v>
      </c>
      <c r="AC12"/>
      <c r="AD12"/>
      <c r="AE12"/>
      <c r="AF12"/>
      <c r="AG12" t="inlineStr">
        <is>
          <t>AI mg/L</t>
        </is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 t="inlineStr">
        <is>
          <t>Accumulation</t>
        </is>
      </c>
      <c r="AY12" t="inlineStr">
        <is>
          <t>Residue</t>
        </is>
      </c>
      <c r="AZ12"/>
      <c r="BA12" t="inlineStr">
        <is>
          <t>Gill(s)</t>
        </is>
      </c>
      <c r="BB12"/>
      <c r="BC12" t="n">
        <v>0.0417</v>
      </c>
      <c r="BD12"/>
      <c r="BE12"/>
      <c r="BF12"/>
      <c r="BG12"/>
      <c r="BH12" t="inlineStr">
        <is>
          <t>Day(s)</t>
        </is>
      </c>
      <c r="BI12"/>
      <c r="BJ12"/>
      <c r="BK12"/>
      <c r="BL12"/>
      <c r="BM12"/>
      <c r="BN12"/>
      <c r="BO12" t="inlineStr">
        <is>
          <t>--</t>
        </is>
      </c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 t="inlineStr">
        <is>
          <t>Stevenson,C.N., L.A. MacManus-Spencer, T. Luckenbach, R.G. Luthy, and D. Epel</t>
        </is>
      </c>
      <c r="CE12" t="n">
        <v>175712.0</v>
      </c>
      <c r="CF12" t="inlineStr">
        <is>
          <t>New Perspectives on Perfluorochemical Ecotoxicology: Inhibition and Induction of an Efflux Transporter in the Marine Mussel, Mytilus californianus</t>
        </is>
      </c>
      <c r="CG12" t="inlineStr">
        <is>
          <t>Environ. Sci. Technol.40(17): 5580-5585</t>
        </is>
      </c>
      <c r="CH12" t="n">
        <v>2006.0</v>
      </c>
      <c r="CI12" t="inlineStr">
        <is>
          <t>Stevenson,C.N., L.A. MacManus-Spencer, T. Luckenbach, R.G. Luthy, and D. Epel (2006). New Perspectives on Perfluorochemical Ecotoxicology: Inhibition and Induction of an Efflux Transporter in the Marine Mussel, Mytilus californianus. Environ. Sci. Technol., 40, (17), 5580-5585. doi:10.1021/es0602593. ECOREF#:175712</t>
        </is>
      </c>
    </row>
    <row r="13">
      <c r="A13" t="n">
        <v>2058948.0</v>
      </c>
      <c r="B13" t="inlineStr">
        <is>
          <t>2,2,3,3,4,4,5,5,6,6,7,7,8,8,9,9,10,10,11,11,11-Heneicosafluoroundecanoic acid</t>
        </is>
      </c>
      <c r="C13"/>
      <c r="D13" t="inlineStr">
        <is>
          <t>Measured</t>
        </is>
      </c>
      <c r="E13"/>
      <c r="F13" t="n">
        <v>95.0</v>
      </c>
      <c r="G13"/>
      <c r="H13"/>
      <c r="I13"/>
      <c r="J13"/>
      <c r="K13" t="inlineStr">
        <is>
          <t>Crassostrea gigas</t>
        </is>
      </c>
      <c r="L13" t="inlineStr">
        <is>
          <t>Pacific Oyster</t>
        </is>
      </c>
      <c r="M13" t="inlineStr">
        <is>
          <t>Molluscs; Standard Test Species</t>
        </is>
      </c>
      <c r="N13"/>
      <c r="O13"/>
      <c r="P13"/>
      <c r="Q13"/>
      <c r="R13"/>
      <c r="S13"/>
      <c r="T13"/>
      <c r="U13"/>
      <c r="V13" t="inlineStr">
        <is>
          <t>Renewal</t>
        </is>
      </c>
      <c r="W13" t="inlineStr">
        <is>
          <t>Salt water</t>
        </is>
      </c>
      <c r="X13" t="inlineStr">
        <is>
          <t>Lab</t>
        </is>
      </c>
      <c r="Y13" t="n">
        <v>2.0</v>
      </c>
      <c r="Z13" t="inlineStr">
        <is>
          <t>Active ingredient</t>
        </is>
      </c>
      <c r="AA13"/>
      <c r="AB13" t="n">
        <v>0.0073</v>
      </c>
      <c r="AC13"/>
      <c r="AD13"/>
      <c r="AE13"/>
      <c r="AF13"/>
      <c r="AG13" t="inlineStr">
        <is>
          <t>AI mg/L</t>
        </is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 t="inlineStr">
        <is>
          <t>Accumulation</t>
        </is>
      </c>
      <c r="AY13" t="inlineStr">
        <is>
          <t>Residue</t>
        </is>
      </c>
      <c r="AZ13" t="inlineStr">
        <is>
          <t>BAF</t>
        </is>
      </c>
      <c r="BA13" t="inlineStr">
        <is>
          <t>Soft tissue</t>
        </is>
      </c>
      <c r="BB13"/>
      <c r="BC13" t="n">
        <v>28.0</v>
      </c>
      <c r="BD13"/>
      <c r="BE13"/>
      <c r="BF13"/>
      <c r="BG13"/>
      <c r="BH13" t="inlineStr">
        <is>
          <t>Day(s)</t>
        </is>
      </c>
      <c r="BI13"/>
      <c r="BJ13" t="n">
        <v>954.6</v>
      </c>
      <c r="BK13"/>
      <c r="BL13"/>
      <c r="BM13"/>
      <c r="BN13"/>
      <c r="BO13" t="inlineStr">
        <is>
          <t>--</t>
        </is>
      </c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 t="inlineStr">
        <is>
          <t>Jeon,J., K. Kannan, H.K. Lim, H.B. Moon, J.S. Ra, and S.D. Kim</t>
        </is>
      </c>
      <c r="CE13" t="n">
        <v>150289.0</v>
      </c>
      <c r="CF13" t="inlineStr">
        <is>
          <t>Bioaccumulation of Perfluorochemicals in Pacific Oyster Under Different Salinity Gradients</t>
        </is>
      </c>
      <c r="CG13" t="inlineStr">
        <is>
          <t>Environ. Sci. Technol.44(7): 2695-2701</t>
        </is>
      </c>
      <c r="CH13" t="n">
        <v>2010.0</v>
      </c>
      <c r="CI13" t="inlineStr">
        <is>
          <t>Jeon,J., K. Kannan, H.K. Lim, H.B. Moon, J.S. Ra, and S.D. Kim (2010). Bioaccumulation of Perfluorochemicals in Pacific Oyster Under Different Salinity Gradients. Environ. Sci. Technol., 44, (7), 2695-2701. doi:10.1021/es100151r. ECOREF#:150289</t>
        </is>
      </c>
    </row>
    <row r="14">
      <c r="A14" t="n">
        <v>2058948.0</v>
      </c>
      <c r="B14" t="inlineStr">
        <is>
          <t>2,2,3,3,4,4,5,5,6,6,7,7,8,8,9,9,10,10,11,11,11-Heneicosafluoroundecanoic acid</t>
        </is>
      </c>
      <c r="C14"/>
      <c r="D14" t="inlineStr">
        <is>
          <t>Measured</t>
        </is>
      </c>
      <c r="E14"/>
      <c r="F14" t="n">
        <v>95.0</v>
      </c>
      <c r="G14"/>
      <c r="H14"/>
      <c r="I14"/>
      <c r="J14"/>
      <c r="K14" t="inlineStr">
        <is>
          <t>Crassostrea gigas</t>
        </is>
      </c>
      <c r="L14" t="inlineStr">
        <is>
          <t>Pacific Oyster</t>
        </is>
      </c>
      <c r="M14" t="inlineStr">
        <is>
          <t>Molluscs; Standard Test Species</t>
        </is>
      </c>
      <c r="N14"/>
      <c r="O14"/>
      <c r="P14"/>
      <c r="Q14"/>
      <c r="R14"/>
      <c r="S14"/>
      <c r="T14"/>
      <c r="U14"/>
      <c r="V14" t="inlineStr">
        <is>
          <t>Renewal</t>
        </is>
      </c>
      <c r="W14" t="inlineStr">
        <is>
          <t>Salt water</t>
        </is>
      </c>
      <c r="X14" t="inlineStr">
        <is>
          <t>Lab</t>
        </is>
      </c>
      <c r="Y14" t="n">
        <v>2.0</v>
      </c>
      <c r="Z14" t="inlineStr">
        <is>
          <t>Active ingredient</t>
        </is>
      </c>
      <c r="AA14"/>
      <c r="AB14" t="n">
        <v>0.0071</v>
      </c>
      <c r="AC14"/>
      <c r="AD14"/>
      <c r="AE14"/>
      <c r="AF14"/>
      <c r="AG14" t="inlineStr">
        <is>
          <t>AI mg/L</t>
        </is>
      </c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 t="inlineStr">
        <is>
          <t>Accumulation</t>
        </is>
      </c>
      <c r="AY14" t="inlineStr">
        <is>
          <t>Residue</t>
        </is>
      </c>
      <c r="AZ14" t="inlineStr">
        <is>
          <t>BAF</t>
        </is>
      </c>
      <c r="BA14" t="inlineStr">
        <is>
          <t>Soft tissue</t>
        </is>
      </c>
      <c r="BB14"/>
      <c r="BC14" t="n">
        <v>28.0</v>
      </c>
      <c r="BD14"/>
      <c r="BE14"/>
      <c r="BF14"/>
      <c r="BG14"/>
      <c r="BH14" t="inlineStr">
        <is>
          <t>Day(s)</t>
        </is>
      </c>
      <c r="BI14"/>
      <c r="BJ14" t="n">
        <v>1431.5</v>
      </c>
      <c r="BK14"/>
      <c r="BL14"/>
      <c r="BM14"/>
      <c r="BN14"/>
      <c r="BO14" t="inlineStr">
        <is>
          <t>--</t>
        </is>
      </c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 t="inlineStr">
        <is>
          <t>Jeon,J., K. Kannan, H.K. Lim, H.B. Moon, J.S. Ra, and S.D. Kim</t>
        </is>
      </c>
      <c r="CE14" t="n">
        <v>150289.0</v>
      </c>
      <c r="CF14" t="inlineStr">
        <is>
          <t>Bioaccumulation of Perfluorochemicals in Pacific Oyster Under Different Salinity Gradients</t>
        </is>
      </c>
      <c r="CG14" t="inlineStr">
        <is>
          <t>Environ. Sci. Technol.44(7): 2695-2701</t>
        </is>
      </c>
      <c r="CH14" t="n">
        <v>2010.0</v>
      </c>
      <c r="CI14" t="inlineStr">
        <is>
          <t>Jeon,J., K. Kannan, H.K. Lim, H.B. Moon, J.S. Ra, and S.D. Kim (2010). Bioaccumulation of Perfluorochemicals in Pacific Oyster Under Different Salinity Gradients. Environ. Sci. Technol., 44, (7), 2695-2701. doi:10.1021/es100151r. ECOREF#:150289</t>
        </is>
      </c>
    </row>
    <row r="15">
      <c r="A15" t="n">
        <v>2058948.0</v>
      </c>
      <c r="B15" t="inlineStr">
        <is>
          <t>2,2,3,3,4,4,5,5,6,6,7,7,8,8,9,9,10,10,11,11,11-Heneicosafluoroundecanoic acid</t>
        </is>
      </c>
      <c r="C15"/>
      <c r="D15" t="inlineStr">
        <is>
          <t>Measured</t>
        </is>
      </c>
      <c r="E15"/>
      <c r="F15" t="n">
        <v>95.0</v>
      </c>
      <c r="G15"/>
      <c r="H15"/>
      <c r="I15"/>
      <c r="J15"/>
      <c r="K15" t="inlineStr">
        <is>
          <t>Crassostrea gigas</t>
        </is>
      </c>
      <c r="L15" t="inlineStr">
        <is>
          <t>Pacific Oyster</t>
        </is>
      </c>
      <c r="M15" t="inlineStr">
        <is>
          <t>Molluscs; Standard Test Species</t>
        </is>
      </c>
      <c r="N15"/>
      <c r="O15"/>
      <c r="P15"/>
      <c r="Q15"/>
      <c r="R15"/>
      <c r="S15"/>
      <c r="T15"/>
      <c r="U15"/>
      <c r="V15" t="inlineStr">
        <is>
          <t>Renewal</t>
        </is>
      </c>
      <c r="W15" t="inlineStr">
        <is>
          <t>Salt water</t>
        </is>
      </c>
      <c r="X15" t="inlineStr">
        <is>
          <t>Lab</t>
        </is>
      </c>
      <c r="Y15" t="n">
        <v>2.0</v>
      </c>
      <c r="Z15" t="inlineStr">
        <is>
          <t>Active ingredient</t>
        </is>
      </c>
      <c r="AA15"/>
      <c r="AB15" t="n">
        <v>0.007</v>
      </c>
      <c r="AC15"/>
      <c r="AD15"/>
      <c r="AE15"/>
      <c r="AF15"/>
      <c r="AG15" t="inlineStr">
        <is>
          <t>AI mg/L</t>
        </is>
      </c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 t="inlineStr">
        <is>
          <t>Accumulation</t>
        </is>
      </c>
      <c r="AY15" t="inlineStr">
        <is>
          <t>Residue</t>
        </is>
      </c>
      <c r="AZ15" t="inlineStr">
        <is>
          <t>BAF</t>
        </is>
      </c>
      <c r="BA15" t="inlineStr">
        <is>
          <t>Soft tissue</t>
        </is>
      </c>
      <c r="BB15"/>
      <c r="BC15" t="n">
        <v>28.0</v>
      </c>
      <c r="BD15"/>
      <c r="BE15"/>
      <c r="BF15"/>
      <c r="BG15"/>
      <c r="BH15" t="inlineStr">
        <is>
          <t>Day(s)</t>
        </is>
      </c>
      <c r="BI15"/>
      <c r="BJ15" t="n">
        <v>2006.1</v>
      </c>
      <c r="BK15"/>
      <c r="BL15"/>
      <c r="BM15"/>
      <c r="BN15"/>
      <c r="BO15" t="inlineStr">
        <is>
          <t>--</t>
        </is>
      </c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 t="inlineStr">
        <is>
          <t>Jeon,J., K. Kannan, H.K. Lim, H.B. Moon, J.S. Ra, and S.D. Kim</t>
        </is>
      </c>
      <c r="CE15" t="n">
        <v>150289.0</v>
      </c>
      <c r="CF15" t="inlineStr">
        <is>
          <t>Bioaccumulation of Perfluorochemicals in Pacific Oyster Under Different Salinity Gradients</t>
        </is>
      </c>
      <c r="CG15" t="inlineStr">
        <is>
          <t>Environ. Sci. Technol.44(7): 2695-2701</t>
        </is>
      </c>
      <c r="CH15" t="n">
        <v>2010.0</v>
      </c>
      <c r="CI15" t="inlineStr">
        <is>
          <t>Jeon,J., K. Kannan, H.K. Lim, H.B. Moon, J.S. Ra, and S.D. Kim (2010). Bioaccumulation of Perfluorochemicals in Pacific Oyster Under Different Salinity Gradients. Environ. Sci. Technol., 44, (7), 2695-2701. doi:10.1021/es100151r. ECOREF#:150289</t>
        </is>
      </c>
    </row>
    <row r="16">
      <c r="A16" t="n">
        <v>2058948.0</v>
      </c>
      <c r="B16" t="inlineStr">
        <is>
          <t>2,2,3,3,4,4,5,5,6,6,7,7,8,8,9,9,10,10,11,11,11-Heneicosafluoroundecanoic acid</t>
        </is>
      </c>
      <c r="C16"/>
      <c r="D16" t="inlineStr">
        <is>
          <t>Measured</t>
        </is>
      </c>
      <c r="E16"/>
      <c r="F16" t="n">
        <v>95.0</v>
      </c>
      <c r="G16"/>
      <c r="H16"/>
      <c r="I16"/>
      <c r="J16"/>
      <c r="K16" t="inlineStr">
        <is>
          <t>Crassostrea gigas</t>
        </is>
      </c>
      <c r="L16" t="inlineStr">
        <is>
          <t>Pacific Oyster</t>
        </is>
      </c>
      <c r="M16" t="inlineStr">
        <is>
          <t>Molluscs; Standard Test Species</t>
        </is>
      </c>
      <c r="N16"/>
      <c r="O16"/>
      <c r="P16"/>
      <c r="Q16"/>
      <c r="R16"/>
      <c r="S16"/>
      <c r="T16"/>
      <c r="U16"/>
      <c r="V16" t="inlineStr">
        <is>
          <t>Renewal</t>
        </is>
      </c>
      <c r="W16" t="inlineStr">
        <is>
          <t>Salt water</t>
        </is>
      </c>
      <c r="X16" t="inlineStr">
        <is>
          <t>Lab</t>
        </is>
      </c>
      <c r="Y16" t="n">
        <v>2.0</v>
      </c>
      <c r="Z16" t="inlineStr">
        <is>
          <t>Active ingredient</t>
        </is>
      </c>
      <c r="AA16"/>
      <c r="AB16" t="n">
        <v>0.0068</v>
      </c>
      <c r="AC16"/>
      <c r="AD16"/>
      <c r="AE16"/>
      <c r="AF16"/>
      <c r="AG16" t="inlineStr">
        <is>
          <t>AI mg/L</t>
        </is>
      </c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 t="inlineStr">
        <is>
          <t>Accumulation</t>
        </is>
      </c>
      <c r="AY16" t="inlineStr">
        <is>
          <t>Residue</t>
        </is>
      </c>
      <c r="AZ16" t="inlineStr">
        <is>
          <t>BAF</t>
        </is>
      </c>
      <c r="BA16" t="inlineStr">
        <is>
          <t>Soft tissue</t>
        </is>
      </c>
      <c r="BB16"/>
      <c r="BC16" t="n">
        <v>28.0</v>
      </c>
      <c r="BD16"/>
      <c r="BE16"/>
      <c r="BF16"/>
      <c r="BG16"/>
      <c r="BH16" t="inlineStr">
        <is>
          <t>Day(s)</t>
        </is>
      </c>
      <c r="BI16"/>
      <c r="BJ16" t="n">
        <v>2555.2</v>
      </c>
      <c r="BK16"/>
      <c r="BL16"/>
      <c r="BM16"/>
      <c r="BN16"/>
      <c r="BO16" t="inlineStr">
        <is>
          <t>--</t>
        </is>
      </c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 t="inlineStr">
        <is>
          <t>Jeon,J., K. Kannan, H.K. Lim, H.B. Moon, J.S. Ra, and S.D. Kim</t>
        </is>
      </c>
      <c r="CE16" t="n">
        <v>150289.0</v>
      </c>
      <c r="CF16" t="inlineStr">
        <is>
          <t>Bioaccumulation of Perfluorochemicals in Pacific Oyster Under Different Salinity Gradients</t>
        </is>
      </c>
      <c r="CG16" t="inlineStr">
        <is>
          <t>Environ. Sci. Technol.44(7): 2695-2701</t>
        </is>
      </c>
      <c r="CH16" t="n">
        <v>2010.0</v>
      </c>
      <c r="CI16" t="inlineStr">
        <is>
          <t>Jeon,J., K. Kannan, H.K. Lim, H.B. Moon, J.S. Ra, and S.D. Kim (2010). Bioaccumulation of Perfluorochemicals in Pacific Oyster Under Different Salinity Gradients. Environ. Sci. Technol., 44, (7), 2695-2701. doi:10.1021/es100151r. ECOREF#:150289</t>
        </is>
      </c>
    </row>
    <row r="17">
      <c r="A17" t="n">
        <v>2058948.0</v>
      </c>
      <c r="B17" t="inlineStr">
        <is>
          <t>2,2,3,3,4,4,5,5,6,6,7,7,8,8,9,9,10,10,11,11,11-Heneicosafluoroundecanoic acid</t>
        </is>
      </c>
      <c r="C17"/>
      <c r="D17" t="inlineStr">
        <is>
          <t>Measured</t>
        </is>
      </c>
      <c r="E17"/>
      <c r="F17" t="n">
        <v>95.0</v>
      </c>
      <c r="G17"/>
      <c r="H17"/>
      <c r="I17"/>
      <c r="J17"/>
      <c r="K17" t="inlineStr">
        <is>
          <t>Crassostrea gigas</t>
        </is>
      </c>
      <c r="L17" t="inlineStr">
        <is>
          <t>Pacific Oyster</t>
        </is>
      </c>
      <c r="M17" t="inlineStr">
        <is>
          <t>Molluscs; Standard Test Species</t>
        </is>
      </c>
      <c r="N17"/>
      <c r="O17"/>
      <c r="P17"/>
      <c r="Q17"/>
      <c r="R17"/>
      <c r="S17"/>
      <c r="T17"/>
      <c r="U17"/>
      <c r="V17" t="inlineStr">
        <is>
          <t>Renewal</t>
        </is>
      </c>
      <c r="W17" t="inlineStr">
        <is>
          <t>Salt water</t>
        </is>
      </c>
      <c r="X17" t="inlineStr">
        <is>
          <t>Lab</t>
        </is>
      </c>
      <c r="Y17" t="n">
        <v>2.0</v>
      </c>
      <c r="Z17" t="inlineStr">
        <is>
          <t>Active ingredient</t>
        </is>
      </c>
      <c r="AA17"/>
      <c r="AB17" t="n">
        <v>0.0073</v>
      </c>
      <c r="AC17"/>
      <c r="AD17"/>
      <c r="AE17"/>
      <c r="AF17"/>
      <c r="AG17" t="inlineStr">
        <is>
          <t>AI mg/L</t>
        </is>
      </c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 t="inlineStr">
        <is>
          <t>Accumulation</t>
        </is>
      </c>
      <c r="AY17" t="inlineStr">
        <is>
          <t>Residue</t>
        </is>
      </c>
      <c r="AZ17" t="inlineStr">
        <is>
          <t>BCF</t>
        </is>
      </c>
      <c r="BA17" t="inlineStr">
        <is>
          <t>Soft tissue</t>
        </is>
      </c>
      <c r="BB17"/>
      <c r="BC17" t="n">
        <v>7.0</v>
      </c>
      <c r="BD17"/>
      <c r="BE17"/>
      <c r="BF17"/>
      <c r="BG17"/>
      <c r="BH17" t="inlineStr">
        <is>
          <t>Day(s)</t>
        </is>
      </c>
      <c r="BI17"/>
      <c r="BJ17" t="n">
        <v>633.9</v>
      </c>
      <c r="BK17"/>
      <c r="BL17"/>
      <c r="BM17"/>
      <c r="BN17"/>
      <c r="BO17" t="inlineStr">
        <is>
          <t>L/kg</t>
        </is>
      </c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 t="inlineStr">
        <is>
          <t>Jeon,J., K. Kannan, H.K. Lim, H.B. Moon, J.S. Ra, and S.D. Kim</t>
        </is>
      </c>
      <c r="CE17" t="n">
        <v>150289.0</v>
      </c>
      <c r="CF17" t="inlineStr">
        <is>
          <t>Bioaccumulation of Perfluorochemicals in Pacific Oyster Under Different Salinity Gradients</t>
        </is>
      </c>
      <c r="CG17" t="inlineStr">
        <is>
          <t>Environ. Sci. Technol.44(7): 2695-2701</t>
        </is>
      </c>
      <c r="CH17" t="n">
        <v>2010.0</v>
      </c>
      <c r="CI17" t="inlineStr">
        <is>
          <t>Jeon,J., K. Kannan, H.K. Lim, H.B. Moon, J.S. Ra, and S.D. Kim (2010). Bioaccumulation of Perfluorochemicals in Pacific Oyster Under Different Salinity Gradients. Environ. Sci. Technol., 44, (7), 2695-2701. doi:10.1021/es100151r. ECOREF#:150289</t>
        </is>
      </c>
    </row>
    <row r="18">
      <c r="A18" t="n">
        <v>2058948.0</v>
      </c>
      <c r="B18" t="inlineStr">
        <is>
          <t>2,2,3,3,4,4,5,5,6,6,7,7,8,8,9,9,10,10,11,11,11-Heneicosafluoroundecanoic acid</t>
        </is>
      </c>
      <c r="C18"/>
      <c r="D18" t="inlineStr">
        <is>
          <t>Measured</t>
        </is>
      </c>
      <c r="E18"/>
      <c r="F18" t="n">
        <v>95.0</v>
      </c>
      <c r="G18"/>
      <c r="H18"/>
      <c r="I18"/>
      <c r="J18"/>
      <c r="K18" t="inlineStr">
        <is>
          <t>Crassostrea gigas</t>
        </is>
      </c>
      <c r="L18" t="inlineStr">
        <is>
          <t>Pacific Oyster</t>
        </is>
      </c>
      <c r="M18" t="inlineStr">
        <is>
          <t>Molluscs; Standard Test Species</t>
        </is>
      </c>
      <c r="N18"/>
      <c r="O18"/>
      <c r="P18"/>
      <c r="Q18"/>
      <c r="R18"/>
      <c r="S18"/>
      <c r="T18"/>
      <c r="U18"/>
      <c r="V18" t="inlineStr">
        <is>
          <t>Renewal</t>
        </is>
      </c>
      <c r="W18" t="inlineStr">
        <is>
          <t>Salt water</t>
        </is>
      </c>
      <c r="X18" t="inlineStr">
        <is>
          <t>Lab</t>
        </is>
      </c>
      <c r="Y18" t="n">
        <v>2.0</v>
      </c>
      <c r="Z18" t="inlineStr">
        <is>
          <t>Active ingredient</t>
        </is>
      </c>
      <c r="AA18"/>
      <c r="AB18" t="n">
        <v>0.0071</v>
      </c>
      <c r="AC18"/>
      <c r="AD18"/>
      <c r="AE18"/>
      <c r="AF18"/>
      <c r="AG18" t="inlineStr">
        <is>
          <t>AI mg/L</t>
        </is>
      </c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 t="inlineStr">
        <is>
          <t>Accumulation</t>
        </is>
      </c>
      <c r="AY18" t="inlineStr">
        <is>
          <t>Residue</t>
        </is>
      </c>
      <c r="AZ18" t="inlineStr">
        <is>
          <t>BCF</t>
        </is>
      </c>
      <c r="BA18" t="inlineStr">
        <is>
          <t>Soft tissue</t>
        </is>
      </c>
      <c r="BB18"/>
      <c r="BC18" t="n">
        <v>7.0</v>
      </c>
      <c r="BD18"/>
      <c r="BE18"/>
      <c r="BF18"/>
      <c r="BG18"/>
      <c r="BH18" t="inlineStr">
        <is>
          <t>Day(s)</t>
        </is>
      </c>
      <c r="BI18"/>
      <c r="BJ18" t="n">
        <v>946.8</v>
      </c>
      <c r="BK18"/>
      <c r="BL18"/>
      <c r="BM18"/>
      <c r="BN18"/>
      <c r="BO18" t="inlineStr">
        <is>
          <t>L/kg</t>
        </is>
      </c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 t="inlineStr">
        <is>
          <t>Jeon,J., K. Kannan, H.K. Lim, H.B. Moon, J.S. Ra, and S.D. Kim</t>
        </is>
      </c>
      <c r="CE18" t="n">
        <v>150289.0</v>
      </c>
      <c r="CF18" t="inlineStr">
        <is>
          <t>Bioaccumulation of Perfluorochemicals in Pacific Oyster Under Different Salinity Gradients</t>
        </is>
      </c>
      <c r="CG18" t="inlineStr">
        <is>
          <t>Environ. Sci. Technol.44(7): 2695-2701</t>
        </is>
      </c>
      <c r="CH18" t="n">
        <v>2010.0</v>
      </c>
      <c r="CI18" t="inlineStr">
        <is>
          <t>Jeon,J., K. Kannan, H.K. Lim, H.B. Moon, J.S. Ra, and S.D. Kim (2010). Bioaccumulation of Perfluorochemicals in Pacific Oyster Under Different Salinity Gradients. Environ. Sci. Technol., 44, (7), 2695-2701. doi:10.1021/es100151r. ECOREF#:150289</t>
        </is>
      </c>
    </row>
    <row r="19">
      <c r="A19" t="n">
        <v>2058948.0</v>
      </c>
      <c r="B19" t="inlineStr">
        <is>
          <t>2,2,3,3,4,4,5,5,6,6,7,7,8,8,9,9,10,10,11,11,11-Heneicosafluoroundecanoic acid</t>
        </is>
      </c>
      <c r="C19"/>
      <c r="D19" t="inlineStr">
        <is>
          <t>Measured</t>
        </is>
      </c>
      <c r="E19"/>
      <c r="F19" t="n">
        <v>95.0</v>
      </c>
      <c r="G19"/>
      <c r="H19"/>
      <c r="I19"/>
      <c r="J19"/>
      <c r="K19" t="inlineStr">
        <is>
          <t>Crassostrea gigas</t>
        </is>
      </c>
      <c r="L19" t="inlineStr">
        <is>
          <t>Pacific Oyster</t>
        </is>
      </c>
      <c r="M19" t="inlineStr">
        <is>
          <t>Molluscs; Standard Test Species</t>
        </is>
      </c>
      <c r="N19"/>
      <c r="O19"/>
      <c r="P19"/>
      <c r="Q19"/>
      <c r="R19"/>
      <c r="S19"/>
      <c r="T19"/>
      <c r="U19"/>
      <c r="V19" t="inlineStr">
        <is>
          <t>Renewal</t>
        </is>
      </c>
      <c r="W19" t="inlineStr">
        <is>
          <t>Salt water</t>
        </is>
      </c>
      <c r="X19" t="inlineStr">
        <is>
          <t>Lab</t>
        </is>
      </c>
      <c r="Y19" t="n">
        <v>2.0</v>
      </c>
      <c r="Z19" t="inlineStr">
        <is>
          <t>Active ingredient</t>
        </is>
      </c>
      <c r="AA19"/>
      <c r="AB19" t="n">
        <v>0.0068</v>
      </c>
      <c r="AC19"/>
      <c r="AD19"/>
      <c r="AE19"/>
      <c r="AF19"/>
      <c r="AG19" t="inlineStr">
        <is>
          <t>AI mg/L</t>
        </is>
      </c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 t="inlineStr">
        <is>
          <t>Accumulation</t>
        </is>
      </c>
      <c r="AY19" t="inlineStr">
        <is>
          <t>Residue</t>
        </is>
      </c>
      <c r="AZ19" t="inlineStr">
        <is>
          <t>BCF</t>
        </is>
      </c>
      <c r="BA19" t="inlineStr">
        <is>
          <t>Soft tissue</t>
        </is>
      </c>
      <c r="BB19"/>
      <c r="BC19" t="n">
        <v>7.0</v>
      </c>
      <c r="BD19"/>
      <c r="BE19"/>
      <c r="BF19"/>
      <c r="BG19"/>
      <c r="BH19" t="inlineStr">
        <is>
          <t>Day(s)</t>
        </is>
      </c>
      <c r="BI19"/>
      <c r="BJ19" t="n">
        <v>1433.1</v>
      </c>
      <c r="BK19"/>
      <c r="BL19"/>
      <c r="BM19"/>
      <c r="BN19"/>
      <c r="BO19" t="inlineStr">
        <is>
          <t>L/kg</t>
        </is>
      </c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 t="inlineStr">
        <is>
          <t>Jeon,J., K. Kannan, H.K. Lim, H.B. Moon, J.S. Ra, and S.D. Kim</t>
        </is>
      </c>
      <c r="CE19" t="n">
        <v>150289.0</v>
      </c>
      <c r="CF19" t="inlineStr">
        <is>
          <t>Bioaccumulation of Perfluorochemicals in Pacific Oyster Under Different Salinity Gradients</t>
        </is>
      </c>
      <c r="CG19" t="inlineStr">
        <is>
          <t>Environ. Sci. Technol.44(7): 2695-2701</t>
        </is>
      </c>
      <c r="CH19" t="n">
        <v>2010.0</v>
      </c>
      <c r="CI19" t="inlineStr">
        <is>
          <t>Jeon,J., K. Kannan, H.K. Lim, H.B. Moon, J.S. Ra, and S.D. Kim (2010). Bioaccumulation of Perfluorochemicals in Pacific Oyster Under Different Salinity Gradients. Environ. Sci. Technol., 44, (7), 2695-2701. doi:10.1021/es100151r. ECOREF#:150289</t>
        </is>
      </c>
    </row>
    <row r="20">
      <c r="A20" t="n">
        <v>2058948.0</v>
      </c>
      <c r="B20" t="inlineStr">
        <is>
          <t>2,2,3,3,4,4,5,5,6,6,7,7,8,8,9,9,10,10,11,11,11-Heneicosafluoroundecanoic acid</t>
        </is>
      </c>
      <c r="C20"/>
      <c r="D20" t="inlineStr">
        <is>
          <t>Measured</t>
        </is>
      </c>
      <c r="E20"/>
      <c r="F20" t="n">
        <v>95.0</v>
      </c>
      <c r="G20"/>
      <c r="H20"/>
      <c r="I20"/>
      <c r="J20"/>
      <c r="K20" t="inlineStr">
        <is>
          <t>Crassostrea gigas</t>
        </is>
      </c>
      <c r="L20" t="inlineStr">
        <is>
          <t>Pacific Oyster</t>
        </is>
      </c>
      <c r="M20" t="inlineStr">
        <is>
          <t>Molluscs; Standard Test Species</t>
        </is>
      </c>
      <c r="N20"/>
      <c r="O20"/>
      <c r="P20"/>
      <c r="Q20"/>
      <c r="R20"/>
      <c r="S20"/>
      <c r="T20"/>
      <c r="U20"/>
      <c r="V20" t="inlineStr">
        <is>
          <t>Renewal</t>
        </is>
      </c>
      <c r="W20" t="inlineStr">
        <is>
          <t>Salt water</t>
        </is>
      </c>
      <c r="X20" t="inlineStr">
        <is>
          <t>Lab</t>
        </is>
      </c>
      <c r="Y20" t="n">
        <v>2.0</v>
      </c>
      <c r="Z20" t="inlineStr">
        <is>
          <t>Active ingredient</t>
        </is>
      </c>
      <c r="AA20"/>
      <c r="AB20" t="n">
        <v>0.007</v>
      </c>
      <c r="AC20"/>
      <c r="AD20"/>
      <c r="AE20"/>
      <c r="AF20"/>
      <c r="AG20" t="inlineStr">
        <is>
          <t>AI mg/L</t>
        </is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 t="inlineStr">
        <is>
          <t>Accumulation</t>
        </is>
      </c>
      <c r="AY20" t="inlineStr">
        <is>
          <t>Residue</t>
        </is>
      </c>
      <c r="AZ20" t="inlineStr">
        <is>
          <t>BCF</t>
        </is>
      </c>
      <c r="BA20" t="inlineStr">
        <is>
          <t>Soft tissue</t>
        </is>
      </c>
      <c r="BB20"/>
      <c r="BC20" t="n">
        <v>7.0</v>
      </c>
      <c r="BD20"/>
      <c r="BE20"/>
      <c r="BF20"/>
      <c r="BG20"/>
      <c r="BH20" t="inlineStr">
        <is>
          <t>Day(s)</t>
        </is>
      </c>
      <c r="BI20"/>
      <c r="BJ20" t="n">
        <v>1652.7</v>
      </c>
      <c r="BK20"/>
      <c r="BL20"/>
      <c r="BM20"/>
      <c r="BN20"/>
      <c r="BO20" t="inlineStr">
        <is>
          <t>L/kg</t>
        </is>
      </c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 t="inlineStr">
        <is>
          <t>Jeon,J., K. Kannan, H.K. Lim, H.B. Moon, J.S. Ra, and S.D. Kim</t>
        </is>
      </c>
      <c r="CE20" t="n">
        <v>150289.0</v>
      </c>
      <c r="CF20" t="inlineStr">
        <is>
          <t>Bioaccumulation of Perfluorochemicals in Pacific Oyster Under Different Salinity Gradients</t>
        </is>
      </c>
      <c r="CG20" t="inlineStr">
        <is>
          <t>Environ. Sci. Technol.44(7): 2695-2701</t>
        </is>
      </c>
      <c r="CH20" t="n">
        <v>2010.0</v>
      </c>
      <c r="CI20" t="inlineStr">
        <is>
          <t>Jeon,J., K. Kannan, H.K. Lim, H.B. Moon, J.S. Ra, and S.D. Kim (2010). Bioaccumulation of Perfluorochemicals in Pacific Oyster Under Different Salinity Gradients. Environ. Sci. Technol., 44, (7), 2695-2701. doi:10.1021/es100151r. ECOREF#:150289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Ref. Number</t>
        </is>
      </c>
      <c r="B1" t="inlineStr">
        <is>
          <t>Author</t>
        </is>
      </c>
      <c r="C1" t="inlineStr">
        <is>
          <t>Title</t>
        </is>
      </c>
      <c r="D1" t="inlineStr">
        <is>
          <t>Source</t>
        </is>
      </c>
      <c r="E1" t="inlineStr">
        <is>
          <t>Pub. Year</t>
        </is>
      </c>
      <c r="F1" t="inlineStr">
        <is>
          <t>Ref. Type</t>
        </is>
      </c>
      <c r="G1" t="inlineStr">
        <is>
          <t>Citation</t>
        </is>
      </c>
      <c r="H1" t="inlineStr">
        <is>
          <t>Google Scholar</t>
        </is>
      </c>
    </row>
    <row r="2">
      <c r="A2" t="n">
        <v>160552.0</v>
      </c>
      <c r="B2" t="inlineStr">
        <is>
          <t>Inoue,Y., N. Hashizume, N. Yakata, H. Murakami, Y. Suzuki, E. Kikushima, and M. Otsuka</t>
        </is>
      </c>
      <c r="C2" t="inlineStr">
        <is>
          <t>Unique Physicochemical Properties of Perfluorinated Compounds and Their Bioconcentration in Common Carp Cyprinus carpio L.</t>
        </is>
      </c>
      <c r="D2" t="inlineStr">
        <is>
          <t>Arch. Environ. Contam. Toxicol.62(4): 672-680</t>
        </is>
      </c>
      <c r="E2" t="n">
        <v>2012.0</v>
      </c>
      <c r="F2"/>
      <c r="G2" t="inlineStr">
        <is>
          <t>Inoue,Y., N. Hashizume, N. Yakata, H. Murakami, Y. Suzuki, E. Kikushima, and M. Otsuka (2012). Unique Physicochemical Properties of Perfluorinated Compounds and Their Bioconcentration in Common Carp Cyprinus carpio L.. Arch. Environ. Contam. Toxicol., 62, (4), 672-680. doi:10.1007/s00244-011-9730-7. ECOREF#:160552</t>
        </is>
      </c>
      <c r="H2" s="1" t="n">
        <f>HYPERLINK("https://scholar.google.com/scholar?hl=en&amp;as_q=&amp;as_oq=&amp;as_eq=&amp;as_sauthors=&amp;as_publication=&amp;as_ylo=&amp;as_yhi=&amp;as_occt=title&amp;as_sdt=0%2C5&amp;as_epq=%22Unique+Physicochemical+Properties+of+Perfluorinated+Compounds+and+Their+Bioconcentration+in+Common+Carp+Cyprinus", "Google Scholar")</f>
        <v>0.0</v>
      </c>
    </row>
    <row r="3">
      <c r="A3" t="n">
        <v>150289.0</v>
      </c>
      <c r="B3" t="inlineStr">
        <is>
          <t>Jeon,J., K. Kannan, H.K. Lim, H.B. Moon, J.S. Ra, and S.D. Kim</t>
        </is>
      </c>
      <c r="C3" t="inlineStr">
        <is>
          <t>Bioaccumulation of Perfluorochemicals in Pacific Oyster Under Different Salinity Gradients</t>
        </is>
      </c>
      <c r="D3" t="inlineStr">
        <is>
          <t>Environ. Sci. Technol.44(7): 2695-2701</t>
        </is>
      </c>
      <c r="E3" t="n">
        <v>2010.0</v>
      </c>
      <c r="F3"/>
      <c r="G3" t="inlineStr">
        <is>
          <t>Jeon,J., K. Kannan, H.K. Lim, H.B. Moon, J.S. Ra, and S.D. Kim (2010). Bioaccumulation of Perfluorochemicals in Pacific Oyster Under Different Salinity Gradients. Environ. Sci. Technol., 44, (7), 2695-2701. doi:10.1021/es100151r. ECOREF#:150289</t>
        </is>
      </c>
      <c r="H3" s="2" t="n">
        <f>HYPERLINK("https://scholar.google.com/scholar?hl=en&amp;as_q=&amp;as_oq=&amp;as_eq=&amp;as_sauthors=&amp;as_publication=&amp;as_ylo=&amp;as_yhi=&amp;as_occt=title&amp;as_sdt=0%2C5&amp;as_epq=%22Bioaccumulation+of+Perfluorochemicals+in+Pacific+Oyster+Under+Different+Salinity+Gradients", "Google Scholar")</f>
        <v>0.0</v>
      </c>
    </row>
    <row r="4">
      <c r="A4" t="n">
        <v>175712.0</v>
      </c>
      <c r="B4" t="inlineStr">
        <is>
          <t>Stevenson,C.N., L.A. MacManus-Spencer, T. Luckenbach, R.G. Luthy, and D. Epel</t>
        </is>
      </c>
      <c r="C4" t="inlineStr">
        <is>
          <t>New Perspectives on Perfluorochemical Ecotoxicology: Inhibition and Induction of an Efflux Transporter in the Marine Mussel, Mytilus californianus</t>
        </is>
      </c>
      <c r="D4" t="inlineStr">
        <is>
          <t>Environ. Sci. Technol.40(17): 5580-5585</t>
        </is>
      </c>
      <c r="E4" t="n">
        <v>2006.0</v>
      </c>
      <c r="F4"/>
      <c r="G4" t="inlineStr">
        <is>
          <t>Stevenson,C.N., L.A. MacManus-Spencer, T. Luckenbach, R.G. Luthy, and D. Epel (2006). New Perspectives on Perfluorochemical Ecotoxicology: Inhibition and Induction of an Efflux Transporter in the Marine Mussel, Mytilus californianus. Environ. Sci. Technol., 40, (17), 5580-5585. doi:10.1021/es0602593. ECOREF#:175712</t>
        </is>
      </c>
      <c r="H4" s="3" t="n">
        <f>HYPERLINK("https://scholar.google.com/scholar?hl=en&amp;as_q=&amp;as_oq=&amp;as_eq=&amp;as_sauthors=&amp;as_publication=&amp;as_ylo=&amp;as_yhi=&amp;as_occt=title&amp;as_sdt=0%2C5&amp;as_epq=%22New+Perspectives+on+Perfluorochemical+Ecotoxicology%3A+Inhibition+and+Induction+of+an+Efflux+Transporter+in+the+", "Google Scholar")</f>
        <v>0.0</v>
      </c>
    </row>
    <row r="5">
      <c r="A5" t="n">
        <v>177074.0</v>
      </c>
      <c r="B5" t="inlineStr">
        <is>
          <t>Zhai,Y., X. Xia, X. Zhao, H. Dong, B. Zhu, N. Xia, and J. Dong</t>
        </is>
      </c>
      <c r="C5" t="inlineStr">
        <is>
          <t>Role of Ingestion Route in the Perfluoroalkyl Substance Bioaccumulation by Chironomus plumosus Larvae in Sediments Amended with Carbonaceous Materials</t>
        </is>
      </c>
      <c r="D5" t="inlineStr">
        <is>
          <t>J. Hazard. Mater.302:404-414</t>
        </is>
      </c>
      <c r="E5" t="n">
        <v>2016.0</v>
      </c>
      <c r="F5"/>
      <c r="G5" t="inlineStr">
        <is>
          <t>Zhai,Y., X. Xia, X. Zhao, H. Dong, B. Zhu, N. Xia, and J. Dong (2016). Role of Ingestion Route in the Perfluoroalkyl Substance Bioaccumulation by Chironomus plumosus Larvae in Sediments Amended with Carbonaceous Materials. J. Hazard. Mater., 302, 404-414. doi:10.1016/j.jhazmat.2015.10.008. ECOREF#:177074</t>
        </is>
      </c>
      <c r="H5" s="4" t="n">
        <f>HYPERLINK("https://scholar.google.com/scholar?hl=en&amp;as_q=&amp;as_oq=&amp;as_eq=&amp;as_sauthors=&amp;as_publication=&amp;as_ylo=&amp;as_yhi=&amp;as_occt=title&amp;as_sdt=0%2C5&amp;as_epq=%22Role+of+Ingestion+Route+in+the+Perfluoroalkyl+Substance+Bioaccumulation+by+Chironomus+plumosus+Larvae+in+Sedimen", "Google Scholar")</f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.0" state="frozen" topLeftCell="B2" activePane="bottomRight"/>
      <selection pane="bottomRight"/>
    </sheetView>
  </sheetViews>
  <sheetFormatPr defaultRowHeight="15.0"/>
  <sheetData>
    <row r="1">
      <c r="A1" t="inlineStr">
        <is>
          <t>Category</t>
        </is>
      </c>
      <c r="B1" t="inlineStr">
        <is>
          <t>Parameter Group</t>
        </is>
      </c>
      <c r="C1" t="inlineStr">
        <is>
          <t>Name</t>
        </is>
      </c>
      <c r="D1" t="inlineStr">
        <is>
          <t>Value</t>
        </is>
      </c>
      <c r="E1" t="inlineStr">
        <is>
          <t>Additional Info</t>
        </is>
      </c>
      <c r="F1"/>
      <c r="G1" t="inlineStr">
        <is>
          <t>Search run-time</t>
        </is>
      </c>
    </row>
    <row r="2">
      <c r="A2"/>
      <c r="B2"/>
      <c r="C2"/>
      <c r="D2"/>
      <c r="E2"/>
      <c r="F2"/>
      <c r="G2" s="5" t="n">
        <v>46190.68347222222</v>
      </c>
    </row>
    <row r="3">
      <c r="A3"/>
      <c r="B3"/>
      <c r="C3"/>
      <c r="D3"/>
      <c r="E3"/>
      <c r="F3"/>
      <c r="G3"/>
    </row>
    <row r="4">
      <c r="A4" t="inlineStr">
        <is>
          <t>Habitat</t>
        </is>
      </c>
      <c r="B4"/>
      <c r="C4"/>
      <c r="D4"/>
      <c r="E4"/>
      <c r="F4"/>
      <c r="G4"/>
    </row>
    <row r="5">
      <c r="A5"/>
      <c r="B5"/>
      <c r="C5" t="inlineStr">
        <is>
          <t>Aquatic</t>
        </is>
      </c>
      <c r="D5" t="inlineStr">
        <is>
          <t>Aquatic</t>
        </is>
      </c>
      <c r="E5"/>
      <c r="F5"/>
      <c r="G5"/>
    </row>
    <row r="6">
      <c r="A6"/>
      <c r="B6"/>
      <c r="C6"/>
      <c r="D6"/>
      <c r="E6"/>
      <c r="F6"/>
      <c r="G6"/>
    </row>
    <row r="7">
      <c r="A7" t="inlineStr">
        <is>
          <t>Chemicals</t>
        </is>
      </c>
      <c r="B7"/>
      <c r="C7"/>
      <c r="D7"/>
      <c r="E7"/>
      <c r="F7"/>
      <c r="G7"/>
    </row>
    <row r="8">
      <c r="A8"/>
      <c r="B8"/>
      <c r="C8" t="inlineStr">
        <is>
          <t>Name(s) / Number(s)</t>
        </is>
      </c>
      <c r="D8" t="inlineStr">
        <is>
          <t>PFUnDA</t>
        </is>
      </c>
      <c r="E8"/>
      <c r="F8"/>
      <c r="G8"/>
    </row>
    <row r="9">
      <c r="A9"/>
      <c r="B9"/>
      <c r="C9"/>
      <c r="D9"/>
      <c r="E9"/>
      <c r="F9"/>
      <c r="G9"/>
    </row>
    <row r="10">
      <c r="A10" t="inlineStr">
        <is>
          <t>Effect Measurements</t>
        </is>
      </c>
      <c r="B10"/>
      <c r="C10"/>
      <c r="D10"/>
      <c r="E10"/>
      <c r="F10"/>
      <c r="G10"/>
    </row>
    <row r="11">
      <c r="A11"/>
      <c r="B11" t="inlineStr">
        <is>
          <t>Accumulation Group</t>
        </is>
      </c>
      <c r="C11" t="inlineStr">
        <is>
          <t>Accumulation</t>
        </is>
      </c>
      <c r="D11" t="inlineStr">
        <is>
          <t>ALL</t>
        </is>
      </c>
      <c r="E11"/>
      <c r="F11"/>
      <c r="G11"/>
    </row>
    <row r="12">
      <c r="A12"/>
      <c r="B12"/>
      <c r="C12"/>
      <c r="D12"/>
      <c r="E12"/>
      <c r="F12"/>
      <c r="G12"/>
    </row>
    <row r="13">
      <c r="A13" t="inlineStr">
        <is>
          <t>Endpoints</t>
        </is>
      </c>
      <c r="B13"/>
      <c r="C13"/>
      <c r="D13"/>
      <c r="E13"/>
      <c r="F13"/>
      <c r="G13"/>
    </row>
    <row r="14">
      <c r="A14"/>
      <c r="B14"/>
      <c r="C14"/>
      <c r="D14"/>
      <c r="E14"/>
      <c r="F14"/>
      <c r="G14"/>
    </row>
    <row r="15">
      <c r="A15" t="inlineStr">
        <is>
          <t>Species</t>
        </is>
      </c>
      <c r="B15"/>
      <c r="C15"/>
      <c r="D15"/>
      <c r="E15"/>
      <c r="F15"/>
      <c r="G15"/>
    </row>
    <row r="16">
      <c r="A16"/>
      <c r="B16"/>
      <c r="C16"/>
      <c r="D16"/>
      <c r="E16"/>
      <c r="F16"/>
      <c r="G16"/>
    </row>
    <row r="17">
      <c r="A17" t="inlineStr">
        <is>
          <t>Test Conditions</t>
        </is>
      </c>
      <c r="B17"/>
      <c r="C17"/>
      <c r="D17"/>
      <c r="E17"/>
      <c r="F17"/>
      <c r="G17"/>
    </row>
    <row r="18">
      <c r="A18"/>
      <c r="B18"/>
      <c r="C18"/>
      <c r="D18"/>
      <c r="E18"/>
      <c r="F18"/>
      <c r="G18"/>
    </row>
    <row r="19">
      <c r="A19" t="inlineStr">
        <is>
          <t>Publication Options</t>
        </is>
      </c>
      <c r="B19"/>
      <c r="C19"/>
      <c r="D19"/>
      <c r="E19"/>
      <c r="F19"/>
      <c r="G19"/>
    </row>
    <row r="20">
      <c r="A20"/>
      <c r="B20"/>
      <c r="C20"/>
      <c r="D20"/>
      <c r="E20"/>
      <c r="F20"/>
      <c r="G2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2026-06-17T20:24:12Z</dcterms:created>
  <dc:creator>Apache POI</dc:creator>
</cp:coreProperties>
</file>