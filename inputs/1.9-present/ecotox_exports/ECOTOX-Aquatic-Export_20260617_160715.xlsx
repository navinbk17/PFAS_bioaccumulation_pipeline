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23">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3">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375951.0</v>
      </c>
      <c r="B2" t="inlineStr">
        <is>
          <t>2,2,3,3,4,4,5,5,6,6,7,7,8,8,9,9,9-Heptadecafluorononanoic acid</t>
        </is>
      </c>
      <c r="C2"/>
      <c r="D2" t="inlineStr">
        <is>
          <t>Measured</t>
        </is>
      </c>
      <c r="E2" t="inlineStr">
        <is>
          <t>&gt;</t>
        </is>
      </c>
      <c r="F2" t="n">
        <v>95.0</v>
      </c>
      <c r="G2"/>
      <c r="H2"/>
      <c r="I2"/>
      <c r="J2"/>
      <c r="K2" t="inlineStr">
        <is>
          <t>Danio rerio</t>
        </is>
      </c>
      <c r="L2" t="inlineStr">
        <is>
          <t>Zebra Danio</t>
        </is>
      </c>
      <c r="M2" t="inlineStr">
        <is>
          <t>Fish; Standard Test Species</t>
        </is>
      </c>
      <c r="N2" t="inlineStr">
        <is>
          <t>Embryo</t>
        </is>
      </c>
      <c r="O2"/>
      <c r="P2" t="n">
        <v>64.0</v>
      </c>
      <c r="Q2"/>
      <c r="R2"/>
      <c r="S2"/>
      <c r="T2"/>
      <c r="U2" t="inlineStr">
        <is>
          <t>Cell stage</t>
        </is>
      </c>
      <c r="V2" t="inlineStr">
        <is>
          <t>Renewal</t>
        </is>
      </c>
      <c r="W2" t="inlineStr">
        <is>
          <t>Culture</t>
        </is>
      </c>
      <c r="X2" t="inlineStr">
        <is>
          <t>Lab</t>
        </is>
      </c>
      <c r="Y2" t="n">
        <v>3.0</v>
      </c>
      <c r="Z2" t="inlineStr">
        <is>
          <t>Active ingredient</t>
        </is>
      </c>
      <c r="AA2"/>
      <c r="AB2" t="n">
        <v>1.69388689</v>
      </c>
      <c r="AC2"/>
      <c r="AD2"/>
      <c r="AE2"/>
      <c r="AF2"/>
      <c r="AG2" t="inlineStr">
        <is>
          <t>AI mg/L</t>
        </is>
      </c>
      <c r="AH2"/>
      <c r="AI2"/>
      <c r="AJ2"/>
      <c r="AK2"/>
      <c r="AL2"/>
      <c r="AM2"/>
      <c r="AN2"/>
      <c r="AO2"/>
      <c r="AP2"/>
      <c r="AQ2"/>
      <c r="AR2"/>
      <c r="AS2"/>
      <c r="AT2"/>
      <c r="AU2"/>
      <c r="AV2"/>
      <c r="AW2"/>
      <c r="AX2" t="inlineStr">
        <is>
          <t>Accumulation</t>
        </is>
      </c>
      <c r="AY2" t="inlineStr">
        <is>
          <t>Residue</t>
        </is>
      </c>
      <c r="AZ2" t="inlineStr">
        <is>
          <t>BCF</t>
        </is>
      </c>
      <c r="BA2" t="inlineStr">
        <is>
          <t>Whole organism</t>
        </is>
      </c>
      <c r="BB2"/>
      <c r="BC2" t="n">
        <v>5.0</v>
      </c>
      <c r="BD2"/>
      <c r="BE2"/>
      <c r="BF2"/>
      <c r="BG2"/>
      <c r="BH2" t="inlineStr">
        <is>
          <t>Day(s) post-fertilization</t>
        </is>
      </c>
      <c r="BI2"/>
      <c r="BJ2" t="n">
        <v>73.0</v>
      </c>
      <c r="BK2"/>
      <c r="BL2"/>
      <c r="BM2"/>
      <c r="BN2"/>
      <c r="BO2" t="inlineStr">
        <is>
          <t>L/kg</t>
        </is>
      </c>
      <c r="BP2"/>
      <c r="BQ2"/>
      <c r="BR2"/>
      <c r="BS2"/>
      <c r="BT2"/>
      <c r="BU2"/>
      <c r="BV2"/>
      <c r="BW2"/>
      <c r="BX2"/>
      <c r="BY2"/>
      <c r="BZ2"/>
      <c r="CA2"/>
      <c r="CB2"/>
      <c r="CC2"/>
      <c r="CD2" t="inlineStr">
        <is>
          <t>Han,J., W. Gu, H. Barrett, D. Yang, S. Tang, J. Sun, J. Liu, H.M. Krause, K.A. Houck, and H. Peng</t>
        </is>
      </c>
      <c r="CE2" t="n">
        <v>190831.0</v>
      </c>
      <c r="CF2" t="inlineStr">
        <is>
          <t>A Roadmap to the Structure-Related Metabolism Pathways of Per- and Polyfluoroalkyl Substances in the Early Life Stages of Zebrafish (Danio rerio)</t>
        </is>
      </c>
      <c r="CG2" t="inlineStr">
        <is>
          <t>Environ. Health Perspect.129(7): 15 p.</t>
        </is>
      </c>
      <c r="CH2" t="n">
        <v>2021.0</v>
      </c>
      <c r="CI2"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
      <c r="A3" t="n">
        <v>375951.0</v>
      </c>
      <c r="B3" t="inlineStr">
        <is>
          <t>2,2,3,3,4,4,5,5,6,6,7,7,8,8,9,9,9-Heptadecafluorononanoic acid</t>
        </is>
      </c>
      <c r="C3"/>
      <c r="D3" t="inlineStr">
        <is>
          <t>Measured</t>
        </is>
      </c>
      <c r="E3" t="inlineStr">
        <is>
          <t>&gt;</t>
        </is>
      </c>
      <c r="F3" t="n">
        <v>95.0</v>
      </c>
      <c r="G3"/>
      <c r="H3"/>
      <c r="I3"/>
      <c r="J3"/>
      <c r="K3" t="inlineStr">
        <is>
          <t>Danio rerio</t>
        </is>
      </c>
      <c r="L3" t="inlineStr">
        <is>
          <t>Zebra Danio</t>
        </is>
      </c>
      <c r="M3" t="inlineStr">
        <is>
          <t>Fish; Standard Test Species</t>
        </is>
      </c>
      <c r="N3" t="inlineStr">
        <is>
          <t>Embryo</t>
        </is>
      </c>
      <c r="O3"/>
      <c r="P3" t="n">
        <v>64.0</v>
      </c>
      <c r="Q3"/>
      <c r="R3"/>
      <c r="S3"/>
      <c r="T3"/>
      <c r="U3" t="inlineStr">
        <is>
          <t>Cell stage</t>
        </is>
      </c>
      <c r="V3" t="inlineStr">
        <is>
          <t>Renewal</t>
        </is>
      </c>
      <c r="W3" t="inlineStr">
        <is>
          <t>Culture</t>
        </is>
      </c>
      <c r="X3" t="inlineStr">
        <is>
          <t>Lab</t>
        </is>
      </c>
      <c r="Y3" t="n">
        <v>3.0</v>
      </c>
      <c r="Z3" t="inlineStr">
        <is>
          <t>Active ingredient</t>
        </is>
      </c>
      <c r="AA3"/>
      <c r="AB3" t="n">
        <v>0.180990654</v>
      </c>
      <c r="AC3"/>
      <c r="AD3"/>
      <c r="AE3"/>
      <c r="AF3"/>
      <c r="AG3" t="inlineStr">
        <is>
          <t>AI mg/L</t>
        </is>
      </c>
      <c r="AH3"/>
      <c r="AI3"/>
      <c r="AJ3"/>
      <c r="AK3"/>
      <c r="AL3"/>
      <c r="AM3"/>
      <c r="AN3"/>
      <c r="AO3"/>
      <c r="AP3"/>
      <c r="AQ3"/>
      <c r="AR3"/>
      <c r="AS3"/>
      <c r="AT3"/>
      <c r="AU3"/>
      <c r="AV3"/>
      <c r="AW3"/>
      <c r="AX3" t="inlineStr">
        <is>
          <t>Accumulation</t>
        </is>
      </c>
      <c r="AY3" t="inlineStr">
        <is>
          <t>Residue</t>
        </is>
      </c>
      <c r="AZ3" t="inlineStr">
        <is>
          <t>BCF</t>
        </is>
      </c>
      <c r="BA3" t="inlineStr">
        <is>
          <t>Whole organism</t>
        </is>
      </c>
      <c r="BB3"/>
      <c r="BC3" t="n">
        <v>5.0</v>
      </c>
      <c r="BD3"/>
      <c r="BE3"/>
      <c r="BF3"/>
      <c r="BG3"/>
      <c r="BH3" t="inlineStr">
        <is>
          <t>Day(s) post-fertilization</t>
        </is>
      </c>
      <c r="BI3"/>
      <c r="BJ3" t="n">
        <v>153.0</v>
      </c>
      <c r="BK3"/>
      <c r="BL3"/>
      <c r="BM3"/>
      <c r="BN3"/>
      <c r="BO3" t="inlineStr">
        <is>
          <t>L/kg</t>
        </is>
      </c>
      <c r="BP3"/>
      <c r="BQ3"/>
      <c r="BR3"/>
      <c r="BS3"/>
      <c r="BT3"/>
      <c r="BU3"/>
      <c r="BV3"/>
      <c r="BW3"/>
      <c r="BX3"/>
      <c r="BY3"/>
      <c r="BZ3"/>
      <c r="CA3"/>
      <c r="CB3"/>
      <c r="CC3"/>
      <c r="CD3" t="inlineStr">
        <is>
          <t>Han,J., W. Gu, H. Barrett, D. Yang, S. Tang, J. Sun, J. Liu, H.M. Krause, K.A. Houck, and H. Peng</t>
        </is>
      </c>
      <c r="CE3" t="n">
        <v>190831.0</v>
      </c>
      <c r="CF3" t="inlineStr">
        <is>
          <t>A Roadmap to the Structure-Related Metabolism Pathways of Per- and Polyfluoroalkyl Substances in the Early Life Stages of Zebrafish (Danio rerio)</t>
        </is>
      </c>
      <c r="CG3" t="inlineStr">
        <is>
          <t>Environ. Health Perspect.129(7): 15 p.</t>
        </is>
      </c>
      <c r="CH3" t="n">
        <v>2021.0</v>
      </c>
      <c r="CI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4">
      <c r="A4" t="n">
        <v>375951.0</v>
      </c>
      <c r="B4" t="inlineStr">
        <is>
          <t>2,2,3,3,4,4,5,5,6,6,7,7,8,8,9,9,9-Heptadecafluorononanoic acid</t>
        </is>
      </c>
      <c r="C4"/>
      <c r="D4" t="inlineStr">
        <is>
          <t>Measured</t>
        </is>
      </c>
      <c r="E4"/>
      <c r="F4" t="n">
        <v>97.0</v>
      </c>
      <c r="G4"/>
      <c r="H4"/>
      <c r="I4"/>
      <c r="J4"/>
      <c r="K4" t="inlineStr">
        <is>
          <t>Pimephales promelas</t>
        </is>
      </c>
      <c r="L4" t="inlineStr">
        <is>
          <t>Fathead Minnow</t>
        </is>
      </c>
      <c r="M4" t="inlineStr">
        <is>
          <t>Fish; Standard Test Species</t>
        </is>
      </c>
      <c r="N4" t="inlineStr">
        <is>
          <t>Sexually mature</t>
        </is>
      </c>
      <c r="O4"/>
      <c r="P4" t="n">
        <v>5.0</v>
      </c>
      <c r="Q4"/>
      <c r="R4"/>
      <c r="S4"/>
      <c r="T4"/>
      <c r="U4" t="inlineStr">
        <is>
          <t>Month(s)</t>
        </is>
      </c>
      <c r="V4" t="inlineStr">
        <is>
          <t>Renewal</t>
        </is>
      </c>
      <c r="W4" t="inlineStr">
        <is>
          <t>Fresh water</t>
        </is>
      </c>
      <c r="X4" t="inlineStr">
        <is>
          <t>Lab</t>
        </is>
      </c>
      <c r="Y4" t="n">
        <v>5.0</v>
      </c>
      <c r="Z4" t="inlineStr">
        <is>
          <t>Active ingredient</t>
        </is>
      </c>
      <c r="AA4"/>
      <c r="AB4" t="n">
        <v>0.1056</v>
      </c>
      <c r="AC4"/>
      <c r="AD4"/>
      <c r="AE4"/>
      <c r="AF4"/>
      <c r="AG4" t="inlineStr">
        <is>
          <t>AI mg/L</t>
        </is>
      </c>
      <c r="AH4"/>
      <c r="AI4"/>
      <c r="AJ4"/>
      <c r="AK4"/>
      <c r="AL4"/>
      <c r="AM4"/>
      <c r="AN4"/>
      <c r="AO4"/>
      <c r="AP4"/>
      <c r="AQ4"/>
      <c r="AR4"/>
      <c r="AS4"/>
      <c r="AT4"/>
      <c r="AU4"/>
      <c r="AV4"/>
      <c r="AW4"/>
      <c r="AX4" t="inlineStr">
        <is>
          <t>Accumulation</t>
        </is>
      </c>
      <c r="AY4" t="inlineStr">
        <is>
          <t>Residue</t>
        </is>
      </c>
      <c r="AZ4" t="inlineStr">
        <is>
          <t>LOEC</t>
        </is>
      </c>
      <c r="BA4" t="inlineStr">
        <is>
          <t>Ovaries</t>
        </is>
      </c>
      <c r="BB4"/>
      <c r="BC4" t="n">
        <v>42.0</v>
      </c>
      <c r="BD4"/>
      <c r="BE4"/>
      <c r="BF4"/>
      <c r="BG4"/>
      <c r="BH4" t="inlineStr">
        <is>
          <t>Day(s)</t>
        </is>
      </c>
      <c r="BI4"/>
      <c r="BJ4"/>
      <c r="BK4"/>
      <c r="BL4"/>
      <c r="BM4"/>
      <c r="BN4"/>
      <c r="BO4" t="inlineStr">
        <is>
          <t>--</t>
        </is>
      </c>
      <c r="BP4"/>
      <c r="BQ4"/>
      <c r="BR4"/>
      <c r="BS4"/>
      <c r="BT4"/>
      <c r="BU4"/>
      <c r="BV4"/>
      <c r="BW4"/>
      <c r="BX4"/>
      <c r="BY4"/>
      <c r="BZ4"/>
      <c r="CA4"/>
      <c r="CB4"/>
      <c r="CC4"/>
      <c r="CD4" t="inlineStr">
        <is>
          <t>Suski,J.G., M.K. Chanov, C. Heron, J. Field, and C.J. Salice</t>
        </is>
      </c>
      <c r="CE4" t="n">
        <v>191102.0</v>
      </c>
      <c r="CF4" t="inlineStr">
        <is>
          <t>Ecotoxicity and Accumulation of Perfluorononanoic Acid  in the Fathead Minnow (Pimephales promelas) and an Approach to Developing Protective Thresholds in the Aquatic Environment Through Species Sensitivity Distribution</t>
        </is>
      </c>
      <c r="CG4" t="inlineStr">
        <is>
          <t>Environ. Toxicol. Chem.:1-8</t>
        </is>
      </c>
      <c r="CH4" t="n">
        <v>2023.0</v>
      </c>
      <c r="CI4"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row>
    <row r="5">
      <c r="A5" t="n">
        <v>375951.0</v>
      </c>
      <c r="B5" t="inlineStr">
        <is>
          <t>2,2,3,3,4,4,5,5,6,6,7,7,8,8,9,9,9-Heptadecafluorononanoic acid</t>
        </is>
      </c>
      <c r="C5"/>
      <c r="D5" t="inlineStr">
        <is>
          <t>Unmeasured</t>
        </is>
      </c>
      <c r="E5"/>
      <c r="F5" t="n">
        <v>97.0</v>
      </c>
      <c r="G5"/>
      <c r="H5"/>
      <c r="I5"/>
      <c r="J5"/>
      <c r="K5" t="inlineStr">
        <is>
          <t>Danio rerio</t>
        </is>
      </c>
      <c r="L5" t="inlineStr">
        <is>
          <t>Zebra Danio</t>
        </is>
      </c>
      <c r="M5" t="inlineStr">
        <is>
          <t>Fish; Standard Test Species</t>
        </is>
      </c>
      <c r="N5" t="inlineStr">
        <is>
          <t>Adult</t>
        </is>
      </c>
      <c r="O5"/>
      <c r="P5" t="n">
        <v>5.0</v>
      </c>
      <c r="Q5"/>
      <c r="R5"/>
      <c r="S5"/>
      <c r="T5"/>
      <c r="U5" t="inlineStr">
        <is>
          <t>Month(s)</t>
        </is>
      </c>
      <c r="V5" t="inlineStr">
        <is>
          <t>Flow-through</t>
        </is>
      </c>
      <c r="W5" t="inlineStr">
        <is>
          <t>Fresh water</t>
        </is>
      </c>
      <c r="X5" t="inlineStr">
        <is>
          <t>Lab</t>
        </is>
      </c>
      <c r="Y5" t="n">
        <v>4.0</v>
      </c>
      <c r="Z5" t="inlineStr">
        <is>
          <t>Active ingredient</t>
        </is>
      </c>
      <c r="AA5"/>
      <c r="AB5" t="n">
        <v>1.0</v>
      </c>
      <c r="AC5"/>
      <c r="AD5"/>
      <c r="AE5"/>
      <c r="AF5"/>
      <c r="AG5" t="inlineStr">
        <is>
          <t>AI mg/L</t>
        </is>
      </c>
      <c r="AH5"/>
      <c r="AI5"/>
      <c r="AJ5"/>
      <c r="AK5"/>
      <c r="AL5"/>
      <c r="AM5"/>
      <c r="AN5"/>
      <c r="AO5"/>
      <c r="AP5"/>
      <c r="AQ5"/>
      <c r="AR5"/>
      <c r="AS5"/>
      <c r="AT5"/>
      <c r="AU5"/>
      <c r="AV5"/>
      <c r="AW5"/>
      <c r="AX5" t="inlineStr">
        <is>
          <t>Accumulation</t>
        </is>
      </c>
      <c r="AY5" t="inlineStr">
        <is>
          <t>Residue</t>
        </is>
      </c>
      <c r="AZ5" t="inlineStr">
        <is>
          <t>NOEC</t>
        </is>
      </c>
      <c r="BA5" t="inlineStr">
        <is>
          <t>Gonad(s)</t>
        </is>
      </c>
      <c r="BB5"/>
      <c r="BC5" t="n">
        <v>180.0</v>
      </c>
      <c r="BD5"/>
      <c r="BE5"/>
      <c r="BF5"/>
      <c r="BG5"/>
      <c r="BH5" t="inlineStr">
        <is>
          <t>Day(s)</t>
        </is>
      </c>
      <c r="BI5"/>
      <c r="BJ5"/>
      <c r="BK5"/>
      <c r="BL5"/>
      <c r="BM5"/>
      <c r="BN5"/>
      <c r="BO5" t="inlineStr">
        <is>
          <t>--</t>
        </is>
      </c>
      <c r="BP5"/>
      <c r="BQ5"/>
      <c r="BR5"/>
      <c r="BS5"/>
      <c r="BT5"/>
      <c r="BU5"/>
      <c r="BV5"/>
      <c r="BW5"/>
      <c r="BX5"/>
      <c r="BY5"/>
      <c r="BZ5"/>
      <c r="CA5"/>
      <c r="CB5"/>
      <c r="CC5"/>
      <c r="CD5" t="inlineStr">
        <is>
          <t>Zhang,W., N. Sheng, M. Wang, H. Zhang, and J. Dai</t>
        </is>
      </c>
      <c r="CE5" t="n">
        <v>175216.0</v>
      </c>
      <c r="CF5" t="inlineStr">
        <is>
          <t>Zebrafish Reproductive Toxicity Induced by Chronic Perfluorononanoate Exposure</t>
        </is>
      </c>
      <c r="CG5" t="inlineStr">
        <is>
          <t>Aquat. Toxicol.175:269-276</t>
        </is>
      </c>
      <c r="CH5" t="n">
        <v>2016.0</v>
      </c>
      <c r="CI5" t="inlineStr">
        <is>
          <t>Zhang,W., N. Sheng, M. Wang, H. Zhang, and J. Dai (2016). Zebrafish Reproductive Toxicity Induced by Chronic Perfluorononanoate Exposure. Aquat. Toxicol., 175, 269-276. doi:10.1016/j.aquatox.2016.04.005. ECOREF#:175216</t>
        </is>
      </c>
    </row>
    <row r="6">
      <c r="A6" t="n">
        <v>375951.0</v>
      </c>
      <c r="B6" t="inlineStr">
        <is>
          <t>2,2,3,3,4,4,5,5,6,6,7,7,8,8,9,9,9-Heptadecafluorononanoic acid</t>
        </is>
      </c>
      <c r="C6"/>
      <c r="D6" t="inlineStr">
        <is>
          <t>Unmeasured</t>
        </is>
      </c>
      <c r="E6"/>
      <c r="F6" t="n">
        <v>97.0</v>
      </c>
      <c r="G6"/>
      <c r="H6"/>
      <c r="I6"/>
      <c r="J6"/>
      <c r="K6" t="inlineStr">
        <is>
          <t>Danio rerio</t>
        </is>
      </c>
      <c r="L6" t="inlineStr">
        <is>
          <t>Zebra Danio</t>
        </is>
      </c>
      <c r="M6" t="inlineStr">
        <is>
          <t>Fish; Standard Test Species</t>
        </is>
      </c>
      <c r="N6" t="inlineStr">
        <is>
          <t>Adult</t>
        </is>
      </c>
      <c r="O6"/>
      <c r="P6" t="n">
        <v>5.0</v>
      </c>
      <c r="Q6"/>
      <c r="R6"/>
      <c r="S6"/>
      <c r="T6"/>
      <c r="U6" t="inlineStr">
        <is>
          <t>Month(s)</t>
        </is>
      </c>
      <c r="V6" t="inlineStr">
        <is>
          <t>Flow-through</t>
        </is>
      </c>
      <c r="W6" t="inlineStr">
        <is>
          <t>Fresh water</t>
        </is>
      </c>
      <c r="X6" t="inlineStr">
        <is>
          <t>Lab</t>
        </is>
      </c>
      <c r="Y6" t="n">
        <v>4.0</v>
      </c>
      <c r="Z6" t="inlineStr">
        <is>
          <t>Active ingredient</t>
        </is>
      </c>
      <c r="AA6"/>
      <c r="AB6"/>
      <c r="AC6"/>
      <c r="AD6" t="n">
        <v>0.01</v>
      </c>
      <c r="AE6"/>
      <c r="AF6" t="n">
        <v>1.0</v>
      </c>
      <c r="AG6" t="inlineStr">
        <is>
          <t>AI mg/L</t>
        </is>
      </c>
      <c r="AH6"/>
      <c r="AI6"/>
      <c r="AJ6"/>
      <c r="AK6"/>
      <c r="AL6"/>
      <c r="AM6"/>
      <c r="AN6"/>
      <c r="AO6"/>
      <c r="AP6"/>
      <c r="AQ6"/>
      <c r="AR6"/>
      <c r="AS6"/>
      <c r="AT6"/>
      <c r="AU6"/>
      <c r="AV6"/>
      <c r="AW6"/>
      <c r="AX6" t="inlineStr">
        <is>
          <t>Accumulation</t>
        </is>
      </c>
      <c r="AY6" t="inlineStr">
        <is>
          <t>Residue</t>
        </is>
      </c>
      <c r="AZ6"/>
      <c r="BA6" t="inlineStr">
        <is>
          <t>Gonad(s)</t>
        </is>
      </c>
      <c r="BB6"/>
      <c r="BC6" t="n">
        <v>180.0</v>
      </c>
      <c r="BD6"/>
      <c r="BE6"/>
      <c r="BF6"/>
      <c r="BG6"/>
      <c r="BH6" t="inlineStr">
        <is>
          <t>Day(s)</t>
        </is>
      </c>
      <c r="BI6"/>
      <c r="BJ6"/>
      <c r="BK6"/>
      <c r="BL6"/>
      <c r="BM6"/>
      <c r="BN6"/>
      <c r="BO6" t="inlineStr">
        <is>
          <t>--</t>
        </is>
      </c>
      <c r="BP6"/>
      <c r="BQ6"/>
      <c r="BR6"/>
      <c r="BS6"/>
      <c r="BT6"/>
      <c r="BU6"/>
      <c r="BV6"/>
      <c r="BW6"/>
      <c r="BX6"/>
      <c r="BY6"/>
      <c r="BZ6"/>
      <c r="CA6"/>
      <c r="CB6"/>
      <c r="CC6"/>
      <c r="CD6" t="inlineStr">
        <is>
          <t>Zhang,W., N. Sheng, M. Wang, H. Zhang, and J. Dai</t>
        </is>
      </c>
      <c r="CE6" t="n">
        <v>175216.0</v>
      </c>
      <c r="CF6" t="inlineStr">
        <is>
          <t>Zebrafish Reproductive Toxicity Induced by Chronic Perfluorononanoate Exposure</t>
        </is>
      </c>
      <c r="CG6" t="inlineStr">
        <is>
          <t>Aquat. Toxicol.175:269-276</t>
        </is>
      </c>
      <c r="CH6" t="n">
        <v>2016.0</v>
      </c>
      <c r="CI6" t="inlineStr">
        <is>
          <t>Zhang,W., N. Sheng, M. Wang, H. Zhang, and J. Dai (2016). Zebrafish Reproductive Toxicity Induced by Chronic Perfluorononanoate Exposure. Aquat. Toxicol., 175, 269-276. doi:10.1016/j.aquatox.2016.04.005. ECOREF#:175216</t>
        </is>
      </c>
    </row>
    <row r="7">
      <c r="A7" t="n">
        <v>375951.0</v>
      </c>
      <c r="B7" t="inlineStr">
        <is>
          <t>2,2,3,3,4,4,5,5,6,6,7,7,8,8,9,9,9-Heptadecafluorononanoic acid</t>
        </is>
      </c>
      <c r="C7"/>
      <c r="D7" t="inlineStr">
        <is>
          <t>Measured</t>
        </is>
      </c>
      <c r="E7"/>
      <c r="F7" t="n">
        <v>97.0</v>
      </c>
      <c r="G7"/>
      <c r="H7"/>
      <c r="I7"/>
      <c r="J7"/>
      <c r="K7" t="inlineStr">
        <is>
          <t>Pimephales promelas</t>
        </is>
      </c>
      <c r="L7" t="inlineStr">
        <is>
          <t>Fathead Minnow</t>
        </is>
      </c>
      <c r="M7" t="inlineStr">
        <is>
          <t>Fish; Standard Test Species</t>
        </is>
      </c>
      <c r="N7" t="inlineStr">
        <is>
          <t>Sexually mature</t>
        </is>
      </c>
      <c r="O7"/>
      <c r="P7" t="n">
        <v>5.0</v>
      </c>
      <c r="Q7"/>
      <c r="R7"/>
      <c r="S7"/>
      <c r="T7"/>
      <c r="U7" t="inlineStr">
        <is>
          <t>Month(s)</t>
        </is>
      </c>
      <c r="V7" t="inlineStr">
        <is>
          <t>Renewal</t>
        </is>
      </c>
      <c r="W7" t="inlineStr">
        <is>
          <t>Fresh water</t>
        </is>
      </c>
      <c r="X7" t="inlineStr">
        <is>
          <t>Lab</t>
        </is>
      </c>
      <c r="Y7" t="n">
        <v>5.0</v>
      </c>
      <c r="Z7" t="inlineStr">
        <is>
          <t>Active ingredient</t>
        </is>
      </c>
      <c r="AA7"/>
      <c r="AB7"/>
      <c r="AC7"/>
      <c r="AD7" t="n">
        <v>0.1056</v>
      </c>
      <c r="AE7"/>
      <c r="AF7" t="n">
        <v>0.8422</v>
      </c>
      <c r="AG7" t="inlineStr">
        <is>
          <t>AI mg/L</t>
        </is>
      </c>
      <c r="AH7"/>
      <c r="AI7"/>
      <c r="AJ7"/>
      <c r="AK7"/>
      <c r="AL7"/>
      <c r="AM7"/>
      <c r="AN7"/>
      <c r="AO7"/>
      <c r="AP7"/>
      <c r="AQ7"/>
      <c r="AR7"/>
      <c r="AS7"/>
      <c r="AT7"/>
      <c r="AU7"/>
      <c r="AV7"/>
      <c r="AW7"/>
      <c r="AX7" t="inlineStr">
        <is>
          <t>Accumulation</t>
        </is>
      </c>
      <c r="AY7" t="inlineStr">
        <is>
          <t>Residue</t>
        </is>
      </c>
      <c r="AZ7"/>
      <c r="BA7" t="inlineStr">
        <is>
          <t>Multiple entries</t>
        </is>
      </c>
      <c r="BB7"/>
      <c r="BC7" t="n">
        <v>42.0</v>
      </c>
      <c r="BD7"/>
      <c r="BE7"/>
      <c r="BF7"/>
      <c r="BG7"/>
      <c r="BH7" t="inlineStr">
        <is>
          <t>Day(s)</t>
        </is>
      </c>
      <c r="BI7"/>
      <c r="BJ7"/>
      <c r="BK7"/>
      <c r="BL7"/>
      <c r="BM7"/>
      <c r="BN7"/>
      <c r="BO7" t="inlineStr">
        <is>
          <t>--</t>
        </is>
      </c>
      <c r="BP7"/>
      <c r="BQ7"/>
      <c r="BR7"/>
      <c r="BS7"/>
      <c r="BT7"/>
      <c r="BU7"/>
      <c r="BV7"/>
      <c r="BW7"/>
      <c r="BX7"/>
      <c r="BY7"/>
      <c r="BZ7"/>
      <c r="CA7"/>
      <c r="CB7"/>
      <c r="CC7"/>
      <c r="CD7" t="inlineStr">
        <is>
          <t>Suski,J.G., M.K. Chanov, C. Heron, J. Field, and C.J. Salice</t>
        </is>
      </c>
      <c r="CE7" t="n">
        <v>191102.0</v>
      </c>
      <c r="CF7" t="inlineStr">
        <is>
          <t>Ecotoxicity and Accumulation of Perfluorononanoic Acid  in the Fathead Minnow (Pimephales promelas) and an Approach to Developing Protective Thresholds in the Aquatic Environment Through Species Sensitivity Distribution</t>
        </is>
      </c>
      <c r="CG7" t="inlineStr">
        <is>
          <t>Environ. Toxicol. Chem.:1-8</t>
        </is>
      </c>
      <c r="CH7" t="n">
        <v>2023.0</v>
      </c>
      <c r="CI7"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row>
    <row r="8">
      <c r="A8" t="n">
        <v>375951.0</v>
      </c>
      <c r="B8" t="inlineStr">
        <is>
          <t>2,2,3,3,4,4,5,5,6,6,7,7,8,8,9,9,9-Heptadecafluorononanoic acid</t>
        </is>
      </c>
      <c r="C8"/>
      <c r="D8" t="inlineStr">
        <is>
          <t>Measured</t>
        </is>
      </c>
      <c r="E8"/>
      <c r="F8" t="n">
        <v>97.0</v>
      </c>
      <c r="G8"/>
      <c r="H8"/>
      <c r="I8"/>
      <c r="J8"/>
      <c r="K8" t="inlineStr">
        <is>
          <t>Pimephales promelas</t>
        </is>
      </c>
      <c r="L8" t="inlineStr">
        <is>
          <t>Fathead Minnow</t>
        </is>
      </c>
      <c r="M8" t="inlineStr">
        <is>
          <t>Fish; Standard Test Species</t>
        </is>
      </c>
      <c r="N8" t="inlineStr">
        <is>
          <t>Sexually mature</t>
        </is>
      </c>
      <c r="O8"/>
      <c r="P8" t="n">
        <v>5.0</v>
      </c>
      <c r="Q8"/>
      <c r="R8"/>
      <c r="S8"/>
      <c r="T8"/>
      <c r="U8" t="inlineStr">
        <is>
          <t>Month(s)</t>
        </is>
      </c>
      <c r="V8" t="inlineStr">
        <is>
          <t>Renewal</t>
        </is>
      </c>
      <c r="W8" t="inlineStr">
        <is>
          <t>Fresh water</t>
        </is>
      </c>
      <c r="X8" t="inlineStr">
        <is>
          <t>Lab</t>
        </is>
      </c>
      <c r="Y8" t="n">
        <v>5.0</v>
      </c>
      <c r="Z8" t="inlineStr">
        <is>
          <t>Active ingredient</t>
        </is>
      </c>
      <c r="AA8"/>
      <c r="AB8"/>
      <c r="AC8"/>
      <c r="AD8" t="n">
        <v>0.1056</v>
      </c>
      <c r="AE8"/>
      <c r="AF8" t="n">
        <v>0.8422</v>
      </c>
      <c r="AG8" t="inlineStr">
        <is>
          <t>AI mg/L</t>
        </is>
      </c>
      <c r="AH8"/>
      <c r="AI8"/>
      <c r="AJ8"/>
      <c r="AK8"/>
      <c r="AL8"/>
      <c r="AM8"/>
      <c r="AN8"/>
      <c r="AO8"/>
      <c r="AP8"/>
      <c r="AQ8"/>
      <c r="AR8"/>
      <c r="AS8"/>
      <c r="AT8"/>
      <c r="AU8"/>
      <c r="AV8"/>
      <c r="AW8"/>
      <c r="AX8" t="inlineStr">
        <is>
          <t>Accumulation</t>
        </is>
      </c>
      <c r="AY8" t="inlineStr">
        <is>
          <t>Residue</t>
        </is>
      </c>
      <c r="AZ8"/>
      <c r="BA8" t="inlineStr">
        <is>
          <t>Multiple entries</t>
        </is>
      </c>
      <c r="BB8"/>
      <c r="BC8" t="n">
        <v>42.0</v>
      </c>
      <c r="BD8"/>
      <c r="BE8"/>
      <c r="BF8"/>
      <c r="BG8"/>
      <c r="BH8" t="inlineStr">
        <is>
          <t>Day(s)</t>
        </is>
      </c>
      <c r="BI8"/>
      <c r="BJ8"/>
      <c r="BK8"/>
      <c r="BL8"/>
      <c r="BM8"/>
      <c r="BN8"/>
      <c r="BO8" t="inlineStr">
        <is>
          <t>--</t>
        </is>
      </c>
      <c r="BP8"/>
      <c r="BQ8"/>
      <c r="BR8"/>
      <c r="BS8"/>
      <c r="BT8"/>
      <c r="BU8"/>
      <c r="BV8"/>
      <c r="BW8"/>
      <c r="BX8"/>
      <c r="BY8"/>
      <c r="BZ8"/>
      <c r="CA8"/>
      <c r="CB8"/>
      <c r="CC8"/>
      <c r="CD8" t="inlineStr">
        <is>
          <t>Suski,J.G., M.K. Chanov, C. Heron, J. Field, and C.J. Salice</t>
        </is>
      </c>
      <c r="CE8" t="n">
        <v>191102.0</v>
      </c>
      <c r="CF8" t="inlineStr">
        <is>
          <t>Ecotoxicity and Accumulation of Perfluorononanoic Acid  in the Fathead Minnow (Pimephales promelas) and an Approach to Developing Protective Thresholds in the Aquatic Environment Through Species Sensitivity Distribution</t>
        </is>
      </c>
      <c r="CG8" t="inlineStr">
        <is>
          <t>Environ. Toxicol. Chem.:1-8</t>
        </is>
      </c>
      <c r="CH8" t="n">
        <v>2023.0</v>
      </c>
      <c r="CI8"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row>
    <row r="9">
      <c r="A9" t="n">
        <v>375951.0</v>
      </c>
      <c r="B9" t="inlineStr">
        <is>
          <t>2,2,3,3,4,4,5,5,6,6,7,7,8,8,9,9,9-Heptadecafluorononanoic acid</t>
        </is>
      </c>
      <c r="C9"/>
      <c r="D9" t="inlineStr">
        <is>
          <t>Unmeasured</t>
        </is>
      </c>
      <c r="E9"/>
      <c r="F9" t="n">
        <v>97.0</v>
      </c>
      <c r="G9"/>
      <c r="H9"/>
      <c r="I9"/>
      <c r="J9"/>
      <c r="K9" t="inlineStr">
        <is>
          <t>Danio rerio</t>
        </is>
      </c>
      <c r="L9" t="inlineStr">
        <is>
          <t>Zebra Danio</t>
        </is>
      </c>
      <c r="M9" t="inlineStr">
        <is>
          <t>Fish; Standard Test Species</t>
        </is>
      </c>
      <c r="N9" t="inlineStr">
        <is>
          <t>Adult</t>
        </is>
      </c>
      <c r="O9"/>
      <c r="P9" t="n">
        <v>5.0</v>
      </c>
      <c r="Q9"/>
      <c r="R9"/>
      <c r="S9"/>
      <c r="T9"/>
      <c r="U9" t="inlineStr">
        <is>
          <t>Month(s)</t>
        </is>
      </c>
      <c r="V9" t="inlineStr">
        <is>
          <t>Flow-through</t>
        </is>
      </c>
      <c r="W9" t="inlineStr">
        <is>
          <t>Fresh water</t>
        </is>
      </c>
      <c r="X9" t="inlineStr">
        <is>
          <t>Lab</t>
        </is>
      </c>
      <c r="Y9" t="n">
        <v>4.0</v>
      </c>
      <c r="Z9" t="inlineStr">
        <is>
          <t>Active ingredient</t>
        </is>
      </c>
      <c r="AA9"/>
      <c r="AB9"/>
      <c r="AC9"/>
      <c r="AD9" t="n">
        <v>0.01</v>
      </c>
      <c r="AE9"/>
      <c r="AF9" t="n">
        <v>1.0</v>
      </c>
      <c r="AG9" t="inlineStr">
        <is>
          <t>AI mg/L</t>
        </is>
      </c>
      <c r="AH9"/>
      <c r="AI9"/>
      <c r="AJ9"/>
      <c r="AK9"/>
      <c r="AL9"/>
      <c r="AM9"/>
      <c r="AN9"/>
      <c r="AO9"/>
      <c r="AP9"/>
      <c r="AQ9"/>
      <c r="AR9"/>
      <c r="AS9"/>
      <c r="AT9"/>
      <c r="AU9"/>
      <c r="AV9"/>
      <c r="AW9"/>
      <c r="AX9" t="inlineStr">
        <is>
          <t>Accumulation</t>
        </is>
      </c>
      <c r="AY9" t="inlineStr">
        <is>
          <t>Residue</t>
        </is>
      </c>
      <c r="AZ9"/>
      <c r="BA9" t="inlineStr">
        <is>
          <t>Multiple entries</t>
        </is>
      </c>
      <c r="BB9"/>
      <c r="BC9" t="n">
        <v>180.0</v>
      </c>
      <c r="BD9"/>
      <c r="BE9"/>
      <c r="BF9"/>
      <c r="BG9"/>
      <c r="BH9" t="inlineStr">
        <is>
          <t>Day(s)</t>
        </is>
      </c>
      <c r="BI9"/>
      <c r="BJ9"/>
      <c r="BK9"/>
      <c r="BL9"/>
      <c r="BM9"/>
      <c r="BN9"/>
      <c r="BO9" t="inlineStr">
        <is>
          <t>--</t>
        </is>
      </c>
      <c r="BP9"/>
      <c r="BQ9"/>
      <c r="BR9"/>
      <c r="BS9"/>
      <c r="BT9"/>
      <c r="BU9"/>
      <c r="BV9"/>
      <c r="BW9"/>
      <c r="BX9"/>
      <c r="BY9"/>
      <c r="BZ9"/>
      <c r="CA9"/>
      <c r="CB9"/>
      <c r="CC9"/>
      <c r="CD9" t="inlineStr">
        <is>
          <t>Zhang,W., Y. Zhang, H. Zhang, J. Wang, R. Cui, and J. Dai</t>
        </is>
      </c>
      <c r="CE9" t="n">
        <v>160553.0</v>
      </c>
      <c r="CF9" t="inlineStr">
        <is>
          <t>Sex Differences in Transcriptional Expression of FABPs in Zebrafish Liver After Chronic Perfluorononanoic Acid Exposure</t>
        </is>
      </c>
      <c r="CG9" t="inlineStr">
        <is>
          <t>Environ. Sci. Technol.46(9): 5175-5182</t>
        </is>
      </c>
      <c r="CH9" t="n">
        <v>2012.0</v>
      </c>
      <c r="CI9" t="inlineStr">
        <is>
          <t>Zhang,W., Y. Zhang, H. Zhang, J. Wang, R. Cui, and J. Dai (2012). Sex Differences in Transcriptional Expression of FABPs in Zebrafish Liver After Chronic Perfluorononanoic Acid Exposure. Environ. Sci. Technol., 46, (9), 5175-5182. doi:10.1021/es300147w. ECOREF#:160553</t>
        </is>
      </c>
    </row>
    <row r="10">
      <c r="A10" t="n">
        <v>375951.0</v>
      </c>
      <c r="B10" t="inlineStr">
        <is>
          <t>2,2,3,3,4,4,5,5,6,6,7,7,8,8,9,9,9-Heptadecafluorononanoic acid</t>
        </is>
      </c>
      <c r="C10"/>
      <c r="D10" t="inlineStr">
        <is>
          <t>Measured</t>
        </is>
      </c>
      <c r="E10"/>
      <c r="F10" t="n">
        <v>97.0</v>
      </c>
      <c r="G10"/>
      <c r="H10"/>
      <c r="I10"/>
      <c r="J10"/>
      <c r="K10" t="inlineStr">
        <is>
          <t>Oncorhynchus mykiss</t>
        </is>
      </c>
      <c r="L10" t="inlineStr">
        <is>
          <t>Rainbow Trout</t>
        </is>
      </c>
      <c r="M10" t="inlineStr">
        <is>
          <t>Fish; Standard Test Species; U.S. Threatened and Endangered Species</t>
        </is>
      </c>
      <c r="N10" t="inlineStr">
        <is>
          <t>Adult</t>
        </is>
      </c>
      <c r="O10" t="inlineStr">
        <is>
          <t>&gt;</t>
        </is>
      </c>
      <c r="P10" t="n">
        <v>11.0</v>
      </c>
      <c r="Q10"/>
      <c r="R10"/>
      <c r="S10"/>
      <c r="T10"/>
      <c r="U10" t="inlineStr">
        <is>
          <t>Month(s)</t>
        </is>
      </c>
      <c r="V10" t="inlineStr">
        <is>
          <t>Food</t>
        </is>
      </c>
      <c r="W10" t="inlineStr">
        <is>
          <t>Fresh water</t>
        </is>
      </c>
      <c r="X10" t="inlineStr">
        <is>
          <t>Lab</t>
        </is>
      </c>
      <c r="Y10" t="n">
        <v>1.0</v>
      </c>
      <c r="Z10" t="inlineStr">
        <is>
          <t>Active ingredient</t>
        </is>
      </c>
      <c r="AA10"/>
      <c r="AB10" t="n">
        <v>0.347</v>
      </c>
      <c r="AC10"/>
      <c r="AD10"/>
      <c r="AE10"/>
      <c r="AF10"/>
      <c r="AG10" t="inlineStr">
        <is>
          <t>AI mg/kg food</t>
        </is>
      </c>
      <c r="AH10"/>
      <c r="AI10"/>
      <c r="AJ10"/>
      <c r="AK10"/>
      <c r="AL10"/>
      <c r="AM10"/>
      <c r="AN10"/>
      <c r="AO10"/>
      <c r="AP10"/>
      <c r="AQ10"/>
      <c r="AR10"/>
      <c r="AS10"/>
      <c r="AT10"/>
      <c r="AU10"/>
      <c r="AV10"/>
      <c r="AW10"/>
      <c r="AX10" t="inlineStr">
        <is>
          <t>Accumulation</t>
        </is>
      </c>
      <c r="AY10" t="inlineStr">
        <is>
          <t>Residue</t>
        </is>
      </c>
      <c r="AZ10" t="inlineStr">
        <is>
          <t>LOEC</t>
        </is>
      </c>
      <c r="BA10" t="inlineStr">
        <is>
          <t>Blood</t>
        </is>
      </c>
      <c r="BB10" t="inlineStr">
        <is>
          <t>&lt;=</t>
        </is>
      </c>
      <c r="BC10" t="n">
        <v>28.0</v>
      </c>
      <c r="BD10"/>
      <c r="BE10"/>
      <c r="BF10"/>
      <c r="BG10"/>
      <c r="BH10" t="inlineStr">
        <is>
          <t>Day(s)</t>
        </is>
      </c>
      <c r="BI10"/>
      <c r="BJ10"/>
      <c r="BK10"/>
      <c r="BL10"/>
      <c r="BM10"/>
      <c r="BN10"/>
      <c r="BO10" t="inlineStr">
        <is>
          <t>--</t>
        </is>
      </c>
      <c r="BP10"/>
      <c r="BQ10"/>
      <c r="BR10"/>
      <c r="BS10"/>
      <c r="BT10"/>
      <c r="BU10"/>
      <c r="BV10"/>
      <c r="BW10"/>
      <c r="BX10"/>
      <c r="BY10"/>
      <c r="BZ10"/>
      <c r="CA10"/>
      <c r="CB10"/>
      <c r="CC10"/>
      <c r="CD10" t="inlineStr">
        <is>
          <t>Falk,S., K. Failing, S. Georgii, H. Brunn, and T. Stahl</t>
        </is>
      </c>
      <c r="CE10" t="n">
        <v>175197.0</v>
      </c>
      <c r="CF10" t="inlineStr">
        <is>
          <t>Tissue Specific Uptake and Elimination of Perfluoroalkyl Acids (PFAAS) in Adult Rainbow Trout (Oncorhynchus mykiss) After Dietary Exposure</t>
        </is>
      </c>
      <c r="CG10" t="inlineStr">
        <is>
          <t>Chemosphere129:150-156</t>
        </is>
      </c>
      <c r="CH10" t="n">
        <v>2015.0</v>
      </c>
      <c r="CI10"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1">
      <c r="A11" t="n">
        <v>375951.0</v>
      </c>
      <c r="B11" t="inlineStr">
        <is>
          <t>2,2,3,3,4,4,5,5,6,6,7,7,8,8,9,9,9-Heptadecafluorononanoic acid</t>
        </is>
      </c>
      <c r="C11"/>
      <c r="D11" t="inlineStr">
        <is>
          <t>Measured</t>
        </is>
      </c>
      <c r="E11"/>
      <c r="F11" t="n">
        <v>97.0</v>
      </c>
      <c r="G11"/>
      <c r="H11"/>
      <c r="I11"/>
      <c r="J11"/>
      <c r="K11" t="inlineStr">
        <is>
          <t>Oncorhynchus mykiss</t>
        </is>
      </c>
      <c r="L11" t="inlineStr">
        <is>
          <t>Rainbow Trout</t>
        </is>
      </c>
      <c r="M11" t="inlineStr">
        <is>
          <t>Fish; Standard Test Species; U.S. Threatened and Endangered Species</t>
        </is>
      </c>
      <c r="N11" t="inlineStr">
        <is>
          <t>Adult</t>
        </is>
      </c>
      <c r="O11" t="inlineStr">
        <is>
          <t>&gt;</t>
        </is>
      </c>
      <c r="P11" t="n">
        <v>11.0</v>
      </c>
      <c r="Q11"/>
      <c r="R11"/>
      <c r="S11"/>
      <c r="T11"/>
      <c r="U11" t="inlineStr">
        <is>
          <t>Month(s)</t>
        </is>
      </c>
      <c r="V11" t="inlineStr">
        <is>
          <t>Food</t>
        </is>
      </c>
      <c r="W11" t="inlineStr">
        <is>
          <t>Fresh water</t>
        </is>
      </c>
      <c r="X11" t="inlineStr">
        <is>
          <t>Lab</t>
        </is>
      </c>
      <c r="Y11" t="n">
        <v>1.0</v>
      </c>
      <c r="Z11" t="inlineStr">
        <is>
          <t>Active ingredient</t>
        </is>
      </c>
      <c r="AA11"/>
      <c r="AB11" t="n">
        <v>0.347</v>
      </c>
      <c r="AC11"/>
      <c r="AD11"/>
      <c r="AE11"/>
      <c r="AF11"/>
      <c r="AG11" t="inlineStr">
        <is>
          <t>AI mg/kg food</t>
        </is>
      </c>
      <c r="AH11"/>
      <c r="AI11"/>
      <c r="AJ11"/>
      <c r="AK11"/>
      <c r="AL11"/>
      <c r="AM11"/>
      <c r="AN11"/>
      <c r="AO11"/>
      <c r="AP11"/>
      <c r="AQ11"/>
      <c r="AR11"/>
      <c r="AS11"/>
      <c r="AT11"/>
      <c r="AU11"/>
      <c r="AV11"/>
      <c r="AW11"/>
      <c r="AX11" t="inlineStr">
        <is>
          <t>Accumulation</t>
        </is>
      </c>
      <c r="AY11" t="inlineStr">
        <is>
          <t>Residue</t>
        </is>
      </c>
      <c r="AZ11" t="inlineStr">
        <is>
          <t>LOEC</t>
        </is>
      </c>
      <c r="BA11" t="inlineStr">
        <is>
          <t>Residual, remnant, carcass</t>
        </is>
      </c>
      <c r="BB11" t="inlineStr">
        <is>
          <t>&lt;=</t>
        </is>
      </c>
      <c r="BC11" t="n">
        <v>28.0</v>
      </c>
      <c r="BD11"/>
      <c r="BE11"/>
      <c r="BF11"/>
      <c r="BG11"/>
      <c r="BH11" t="inlineStr">
        <is>
          <t>Day(s)</t>
        </is>
      </c>
      <c r="BI11"/>
      <c r="BJ11"/>
      <c r="BK11"/>
      <c r="BL11"/>
      <c r="BM11"/>
      <c r="BN11"/>
      <c r="BO11" t="inlineStr">
        <is>
          <t>--</t>
        </is>
      </c>
      <c r="BP11"/>
      <c r="BQ11"/>
      <c r="BR11"/>
      <c r="BS11"/>
      <c r="BT11"/>
      <c r="BU11"/>
      <c r="BV11"/>
      <c r="BW11"/>
      <c r="BX11"/>
      <c r="BY11"/>
      <c r="BZ11"/>
      <c r="CA11"/>
      <c r="CB11"/>
      <c r="CC11"/>
      <c r="CD11" t="inlineStr">
        <is>
          <t>Falk,S., K. Failing, S. Georgii, H. Brunn, and T. Stahl</t>
        </is>
      </c>
      <c r="CE11" t="n">
        <v>175197.0</v>
      </c>
      <c r="CF11" t="inlineStr">
        <is>
          <t>Tissue Specific Uptake and Elimination of Perfluoroalkyl Acids (PFAAS) in Adult Rainbow Trout (Oncorhynchus mykiss) After Dietary Exposure</t>
        </is>
      </c>
      <c r="CG11" t="inlineStr">
        <is>
          <t>Chemosphere129:150-156</t>
        </is>
      </c>
      <c r="CH11" t="n">
        <v>2015.0</v>
      </c>
      <c r="CI11"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2">
      <c r="A12" t="n">
        <v>375951.0</v>
      </c>
      <c r="B12" t="inlineStr">
        <is>
          <t>2,2,3,3,4,4,5,5,6,6,7,7,8,8,9,9,9-Heptadecafluorononanoic acid</t>
        </is>
      </c>
      <c r="C12"/>
      <c r="D12" t="inlineStr">
        <is>
          <t>Measured</t>
        </is>
      </c>
      <c r="E12"/>
      <c r="F12" t="n">
        <v>97.0</v>
      </c>
      <c r="G12"/>
      <c r="H12"/>
      <c r="I12"/>
      <c r="J12"/>
      <c r="K12" t="inlineStr">
        <is>
          <t>Oncorhynchus mykiss</t>
        </is>
      </c>
      <c r="L12" t="inlineStr">
        <is>
          <t>Rainbow Trout</t>
        </is>
      </c>
      <c r="M12" t="inlineStr">
        <is>
          <t>Fish; Standard Test Species; U.S. Threatened and Endangered Species</t>
        </is>
      </c>
      <c r="N12" t="inlineStr">
        <is>
          <t>Adult</t>
        </is>
      </c>
      <c r="O12" t="inlineStr">
        <is>
          <t>&gt;</t>
        </is>
      </c>
      <c r="P12" t="n">
        <v>11.0</v>
      </c>
      <c r="Q12"/>
      <c r="R12"/>
      <c r="S12"/>
      <c r="T12"/>
      <c r="U12" t="inlineStr">
        <is>
          <t>Month(s)</t>
        </is>
      </c>
      <c r="V12" t="inlineStr">
        <is>
          <t>Food</t>
        </is>
      </c>
      <c r="W12" t="inlineStr">
        <is>
          <t>Fresh water</t>
        </is>
      </c>
      <c r="X12" t="inlineStr">
        <is>
          <t>Lab</t>
        </is>
      </c>
      <c r="Y12" t="n">
        <v>1.0</v>
      </c>
      <c r="Z12" t="inlineStr">
        <is>
          <t>Active ingredient</t>
        </is>
      </c>
      <c r="AA12"/>
      <c r="AB12" t="n">
        <v>0.347</v>
      </c>
      <c r="AC12"/>
      <c r="AD12"/>
      <c r="AE12"/>
      <c r="AF12"/>
      <c r="AG12" t="inlineStr">
        <is>
          <t>AI mg/kg food</t>
        </is>
      </c>
      <c r="AH12"/>
      <c r="AI12"/>
      <c r="AJ12"/>
      <c r="AK12"/>
      <c r="AL12"/>
      <c r="AM12"/>
      <c r="AN12"/>
      <c r="AO12"/>
      <c r="AP12"/>
      <c r="AQ12"/>
      <c r="AR12"/>
      <c r="AS12"/>
      <c r="AT12"/>
      <c r="AU12"/>
      <c r="AV12"/>
      <c r="AW12"/>
      <c r="AX12" t="inlineStr">
        <is>
          <t>Accumulation</t>
        </is>
      </c>
      <c r="AY12" t="inlineStr">
        <is>
          <t>Residue</t>
        </is>
      </c>
      <c r="AZ12" t="inlineStr">
        <is>
          <t>LOEC</t>
        </is>
      </c>
      <c r="BA12" t="inlineStr">
        <is>
          <t>Gill(s)</t>
        </is>
      </c>
      <c r="BB12" t="inlineStr">
        <is>
          <t>&lt;=</t>
        </is>
      </c>
      <c r="BC12" t="n">
        <v>28.0</v>
      </c>
      <c r="BD12"/>
      <c r="BE12"/>
      <c r="BF12"/>
      <c r="BG12"/>
      <c r="BH12" t="inlineStr">
        <is>
          <t>Day(s)</t>
        </is>
      </c>
      <c r="BI12"/>
      <c r="BJ12"/>
      <c r="BK12"/>
      <c r="BL12"/>
      <c r="BM12"/>
      <c r="BN12"/>
      <c r="BO12" t="inlineStr">
        <is>
          <t>--</t>
        </is>
      </c>
      <c r="BP12"/>
      <c r="BQ12"/>
      <c r="BR12"/>
      <c r="BS12"/>
      <c r="BT12"/>
      <c r="BU12"/>
      <c r="BV12"/>
      <c r="BW12"/>
      <c r="BX12"/>
      <c r="BY12"/>
      <c r="BZ12"/>
      <c r="CA12"/>
      <c r="CB12"/>
      <c r="CC12"/>
      <c r="CD12" t="inlineStr">
        <is>
          <t>Falk,S., K. Failing, S. Georgii, H. Brunn, and T. Stahl</t>
        </is>
      </c>
      <c r="CE12" t="n">
        <v>175197.0</v>
      </c>
      <c r="CF12" t="inlineStr">
        <is>
          <t>Tissue Specific Uptake and Elimination of Perfluoroalkyl Acids (PFAAS) in Adult Rainbow Trout (Oncorhynchus mykiss) After Dietary Exposure</t>
        </is>
      </c>
      <c r="CG12" t="inlineStr">
        <is>
          <t>Chemosphere129:150-156</t>
        </is>
      </c>
      <c r="CH12" t="n">
        <v>2015.0</v>
      </c>
      <c r="CI12"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3">
      <c r="A13" t="n">
        <v>375951.0</v>
      </c>
      <c r="B13" t="inlineStr">
        <is>
          <t>2,2,3,3,4,4,5,5,6,6,7,7,8,8,9,9,9-Heptadecafluorononanoic acid</t>
        </is>
      </c>
      <c r="C13"/>
      <c r="D13" t="inlineStr">
        <is>
          <t>Measured</t>
        </is>
      </c>
      <c r="E13"/>
      <c r="F13" t="n">
        <v>97.0</v>
      </c>
      <c r="G13"/>
      <c r="H13"/>
      <c r="I13"/>
      <c r="J13"/>
      <c r="K13" t="inlineStr">
        <is>
          <t>Oncorhynchus mykiss</t>
        </is>
      </c>
      <c r="L13" t="inlineStr">
        <is>
          <t>Rainbow Trout</t>
        </is>
      </c>
      <c r="M13" t="inlineStr">
        <is>
          <t>Fish; Standard Test Species; U.S. Threatened and Endangered Species</t>
        </is>
      </c>
      <c r="N13" t="inlineStr">
        <is>
          <t>Adult</t>
        </is>
      </c>
      <c r="O13" t="inlineStr">
        <is>
          <t>&gt;</t>
        </is>
      </c>
      <c r="P13" t="n">
        <v>11.0</v>
      </c>
      <c r="Q13"/>
      <c r="R13"/>
      <c r="S13"/>
      <c r="T13"/>
      <c r="U13" t="inlineStr">
        <is>
          <t>Month(s)</t>
        </is>
      </c>
      <c r="V13" t="inlineStr">
        <is>
          <t>Food</t>
        </is>
      </c>
      <c r="W13" t="inlineStr">
        <is>
          <t>Fresh water</t>
        </is>
      </c>
      <c r="X13" t="inlineStr">
        <is>
          <t>Lab</t>
        </is>
      </c>
      <c r="Y13" t="n">
        <v>1.0</v>
      </c>
      <c r="Z13" t="inlineStr">
        <is>
          <t>Active ingredient</t>
        </is>
      </c>
      <c r="AA13"/>
      <c r="AB13" t="n">
        <v>0.347</v>
      </c>
      <c r="AC13"/>
      <c r="AD13"/>
      <c r="AE13"/>
      <c r="AF13"/>
      <c r="AG13" t="inlineStr">
        <is>
          <t>AI mg/kg food</t>
        </is>
      </c>
      <c r="AH13"/>
      <c r="AI13"/>
      <c r="AJ13"/>
      <c r="AK13"/>
      <c r="AL13"/>
      <c r="AM13"/>
      <c r="AN13"/>
      <c r="AO13"/>
      <c r="AP13"/>
      <c r="AQ13"/>
      <c r="AR13"/>
      <c r="AS13"/>
      <c r="AT13"/>
      <c r="AU13"/>
      <c r="AV13"/>
      <c r="AW13"/>
      <c r="AX13" t="inlineStr">
        <is>
          <t>Accumulation</t>
        </is>
      </c>
      <c r="AY13" t="inlineStr">
        <is>
          <t>Residue</t>
        </is>
      </c>
      <c r="AZ13" t="inlineStr">
        <is>
          <t>LOEC</t>
        </is>
      </c>
      <c r="BA13" t="inlineStr">
        <is>
          <t>Kidney</t>
        </is>
      </c>
      <c r="BB13" t="inlineStr">
        <is>
          <t>&lt;=</t>
        </is>
      </c>
      <c r="BC13" t="n">
        <v>28.0</v>
      </c>
      <c r="BD13"/>
      <c r="BE13"/>
      <c r="BF13"/>
      <c r="BG13"/>
      <c r="BH13" t="inlineStr">
        <is>
          <t>Day(s)</t>
        </is>
      </c>
      <c r="BI13"/>
      <c r="BJ13"/>
      <c r="BK13"/>
      <c r="BL13"/>
      <c r="BM13"/>
      <c r="BN13"/>
      <c r="BO13" t="inlineStr">
        <is>
          <t>--</t>
        </is>
      </c>
      <c r="BP13"/>
      <c r="BQ13"/>
      <c r="BR13"/>
      <c r="BS13"/>
      <c r="BT13"/>
      <c r="BU13"/>
      <c r="BV13"/>
      <c r="BW13"/>
      <c r="BX13"/>
      <c r="BY13"/>
      <c r="BZ13"/>
      <c r="CA13"/>
      <c r="CB13"/>
      <c r="CC13"/>
      <c r="CD13" t="inlineStr">
        <is>
          <t>Falk,S., K. Failing, S. Georgii, H. Brunn, and T. Stahl</t>
        </is>
      </c>
      <c r="CE13" t="n">
        <v>175197.0</v>
      </c>
      <c r="CF13" t="inlineStr">
        <is>
          <t>Tissue Specific Uptake and Elimination of Perfluoroalkyl Acids (PFAAS) in Adult Rainbow Trout (Oncorhynchus mykiss) After Dietary Exposure</t>
        </is>
      </c>
      <c r="CG13" t="inlineStr">
        <is>
          <t>Chemosphere129:150-156</t>
        </is>
      </c>
      <c r="CH13" t="n">
        <v>2015.0</v>
      </c>
      <c r="CI13"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4">
      <c r="A14" t="n">
        <v>375951.0</v>
      </c>
      <c r="B14" t="inlineStr">
        <is>
          <t>2,2,3,3,4,4,5,5,6,6,7,7,8,8,9,9,9-Heptadecafluorononanoic acid</t>
        </is>
      </c>
      <c r="C14"/>
      <c r="D14" t="inlineStr">
        <is>
          <t>Measured</t>
        </is>
      </c>
      <c r="E14"/>
      <c r="F14" t="n">
        <v>97.0</v>
      </c>
      <c r="G14"/>
      <c r="H14"/>
      <c r="I14"/>
      <c r="J14"/>
      <c r="K14" t="inlineStr">
        <is>
          <t>Oncorhynchus mykiss</t>
        </is>
      </c>
      <c r="L14" t="inlineStr">
        <is>
          <t>Rainbow Trout</t>
        </is>
      </c>
      <c r="M14" t="inlineStr">
        <is>
          <t>Fish; Standard Test Species; U.S. Threatened and Endangered Species</t>
        </is>
      </c>
      <c r="N14" t="inlineStr">
        <is>
          <t>Adult</t>
        </is>
      </c>
      <c r="O14" t="inlineStr">
        <is>
          <t>&gt;</t>
        </is>
      </c>
      <c r="P14" t="n">
        <v>11.0</v>
      </c>
      <c r="Q14"/>
      <c r="R14"/>
      <c r="S14"/>
      <c r="T14"/>
      <c r="U14" t="inlineStr">
        <is>
          <t>Month(s)</t>
        </is>
      </c>
      <c r="V14" t="inlineStr">
        <is>
          <t>Food</t>
        </is>
      </c>
      <c r="W14" t="inlineStr">
        <is>
          <t>Fresh water</t>
        </is>
      </c>
      <c r="X14" t="inlineStr">
        <is>
          <t>Lab</t>
        </is>
      </c>
      <c r="Y14" t="n">
        <v>1.0</v>
      </c>
      <c r="Z14" t="inlineStr">
        <is>
          <t>Active ingredient</t>
        </is>
      </c>
      <c r="AA14"/>
      <c r="AB14" t="n">
        <v>0.347</v>
      </c>
      <c r="AC14"/>
      <c r="AD14"/>
      <c r="AE14"/>
      <c r="AF14"/>
      <c r="AG14" t="inlineStr">
        <is>
          <t>AI mg/kg food</t>
        </is>
      </c>
      <c r="AH14"/>
      <c r="AI14"/>
      <c r="AJ14"/>
      <c r="AK14"/>
      <c r="AL14"/>
      <c r="AM14"/>
      <c r="AN14"/>
      <c r="AO14"/>
      <c r="AP14"/>
      <c r="AQ14"/>
      <c r="AR14"/>
      <c r="AS14"/>
      <c r="AT14"/>
      <c r="AU14"/>
      <c r="AV14"/>
      <c r="AW14"/>
      <c r="AX14" t="inlineStr">
        <is>
          <t>Accumulation</t>
        </is>
      </c>
      <c r="AY14" t="inlineStr">
        <is>
          <t>Residue</t>
        </is>
      </c>
      <c r="AZ14" t="inlineStr">
        <is>
          <t>LOEC</t>
        </is>
      </c>
      <c r="BA14" t="inlineStr">
        <is>
          <t>Muscle</t>
        </is>
      </c>
      <c r="BB14" t="inlineStr">
        <is>
          <t>&lt;=</t>
        </is>
      </c>
      <c r="BC14" t="n">
        <v>28.0</v>
      </c>
      <c r="BD14"/>
      <c r="BE14"/>
      <c r="BF14"/>
      <c r="BG14"/>
      <c r="BH14" t="inlineStr">
        <is>
          <t>Day(s)</t>
        </is>
      </c>
      <c r="BI14"/>
      <c r="BJ14"/>
      <c r="BK14"/>
      <c r="BL14"/>
      <c r="BM14"/>
      <c r="BN14"/>
      <c r="BO14" t="inlineStr">
        <is>
          <t>--</t>
        </is>
      </c>
      <c r="BP14"/>
      <c r="BQ14"/>
      <c r="BR14"/>
      <c r="BS14"/>
      <c r="BT14"/>
      <c r="BU14"/>
      <c r="BV14"/>
      <c r="BW14"/>
      <c r="BX14"/>
      <c r="BY14"/>
      <c r="BZ14"/>
      <c r="CA14"/>
      <c r="CB14"/>
      <c r="CC14"/>
      <c r="CD14" t="inlineStr">
        <is>
          <t>Falk,S., K. Failing, S. Georgii, H. Brunn, and T. Stahl</t>
        </is>
      </c>
      <c r="CE14" t="n">
        <v>175197.0</v>
      </c>
      <c r="CF14" t="inlineStr">
        <is>
          <t>Tissue Specific Uptake and Elimination of Perfluoroalkyl Acids (PFAAS) in Adult Rainbow Trout (Oncorhynchus mykiss) After Dietary Exposure</t>
        </is>
      </c>
      <c r="CG14" t="inlineStr">
        <is>
          <t>Chemosphere129:150-156</t>
        </is>
      </c>
      <c r="CH14" t="n">
        <v>2015.0</v>
      </c>
      <c r="CI14"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5">
      <c r="A15" t="n">
        <v>375951.0</v>
      </c>
      <c r="B15" t="inlineStr">
        <is>
          <t>2,2,3,3,4,4,5,5,6,6,7,7,8,8,9,9,9-Heptadecafluorononanoic acid</t>
        </is>
      </c>
      <c r="C15"/>
      <c r="D15" t="inlineStr">
        <is>
          <t>Measured</t>
        </is>
      </c>
      <c r="E15"/>
      <c r="F15" t="n">
        <v>97.0</v>
      </c>
      <c r="G15"/>
      <c r="H15"/>
      <c r="I15"/>
      <c r="J15"/>
      <c r="K15" t="inlineStr">
        <is>
          <t>Oncorhynchus mykiss</t>
        </is>
      </c>
      <c r="L15" t="inlineStr">
        <is>
          <t>Rainbow Trout</t>
        </is>
      </c>
      <c r="M15" t="inlineStr">
        <is>
          <t>Fish; Standard Test Species; U.S. Threatened and Endangered Species</t>
        </is>
      </c>
      <c r="N15" t="inlineStr">
        <is>
          <t>Adult</t>
        </is>
      </c>
      <c r="O15" t="inlineStr">
        <is>
          <t>&gt;</t>
        </is>
      </c>
      <c r="P15" t="n">
        <v>11.0</v>
      </c>
      <c r="Q15"/>
      <c r="R15"/>
      <c r="S15"/>
      <c r="T15"/>
      <c r="U15" t="inlineStr">
        <is>
          <t>Month(s)</t>
        </is>
      </c>
      <c r="V15" t="inlineStr">
        <is>
          <t>Food</t>
        </is>
      </c>
      <c r="W15" t="inlineStr">
        <is>
          <t>Fresh water</t>
        </is>
      </c>
      <c r="X15" t="inlineStr">
        <is>
          <t>Lab</t>
        </is>
      </c>
      <c r="Y15" t="n">
        <v>1.0</v>
      </c>
      <c r="Z15" t="inlineStr">
        <is>
          <t>Active ingredient</t>
        </is>
      </c>
      <c r="AA15"/>
      <c r="AB15" t="n">
        <v>0.347</v>
      </c>
      <c r="AC15"/>
      <c r="AD15"/>
      <c r="AE15"/>
      <c r="AF15"/>
      <c r="AG15" t="inlineStr">
        <is>
          <t>AI mg/kg food</t>
        </is>
      </c>
      <c r="AH15"/>
      <c r="AI15"/>
      <c r="AJ15"/>
      <c r="AK15"/>
      <c r="AL15"/>
      <c r="AM15"/>
      <c r="AN15"/>
      <c r="AO15"/>
      <c r="AP15"/>
      <c r="AQ15"/>
      <c r="AR15"/>
      <c r="AS15"/>
      <c r="AT15"/>
      <c r="AU15"/>
      <c r="AV15"/>
      <c r="AW15"/>
      <c r="AX15" t="inlineStr">
        <is>
          <t>Accumulation</t>
        </is>
      </c>
      <c r="AY15" t="inlineStr">
        <is>
          <t>Residue</t>
        </is>
      </c>
      <c r="AZ15" t="inlineStr">
        <is>
          <t>LOEC</t>
        </is>
      </c>
      <c r="BA15" t="inlineStr">
        <is>
          <t>Skin, epidermis</t>
        </is>
      </c>
      <c r="BB15" t="inlineStr">
        <is>
          <t>&lt;=</t>
        </is>
      </c>
      <c r="BC15" t="n">
        <v>28.0</v>
      </c>
      <c r="BD15"/>
      <c r="BE15"/>
      <c r="BF15"/>
      <c r="BG15"/>
      <c r="BH15" t="inlineStr">
        <is>
          <t>Day(s)</t>
        </is>
      </c>
      <c r="BI15"/>
      <c r="BJ15"/>
      <c r="BK15"/>
      <c r="BL15"/>
      <c r="BM15"/>
      <c r="BN15"/>
      <c r="BO15" t="inlineStr">
        <is>
          <t>--</t>
        </is>
      </c>
      <c r="BP15"/>
      <c r="BQ15"/>
      <c r="BR15"/>
      <c r="BS15"/>
      <c r="BT15"/>
      <c r="BU15"/>
      <c r="BV15"/>
      <c r="BW15"/>
      <c r="BX15"/>
      <c r="BY15"/>
      <c r="BZ15"/>
      <c r="CA15"/>
      <c r="CB15"/>
      <c r="CC15"/>
      <c r="CD15" t="inlineStr">
        <is>
          <t>Falk,S., K. Failing, S. Georgii, H. Brunn, and T. Stahl</t>
        </is>
      </c>
      <c r="CE15" t="n">
        <v>175197.0</v>
      </c>
      <c r="CF15" t="inlineStr">
        <is>
          <t>Tissue Specific Uptake and Elimination of Perfluoroalkyl Acids (PFAAS) in Adult Rainbow Trout (Oncorhynchus mykiss) After Dietary Exposure</t>
        </is>
      </c>
      <c r="CG15" t="inlineStr">
        <is>
          <t>Chemosphere129:150-156</t>
        </is>
      </c>
      <c r="CH15" t="n">
        <v>2015.0</v>
      </c>
      <c r="CI15"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6">
      <c r="A16" t="n">
        <v>375951.0</v>
      </c>
      <c r="B16" t="inlineStr">
        <is>
          <t>2,2,3,3,4,4,5,5,6,6,7,7,8,8,9,9,9-Heptadecafluorononanoic acid</t>
        </is>
      </c>
      <c r="C16"/>
      <c r="D16" t="inlineStr">
        <is>
          <t>Measured</t>
        </is>
      </c>
      <c r="E16"/>
      <c r="F16" t="n">
        <v>97.0</v>
      </c>
      <c r="G16"/>
      <c r="H16"/>
      <c r="I16"/>
      <c r="J16"/>
      <c r="K16" t="inlineStr">
        <is>
          <t>Oncorhynchus mykiss</t>
        </is>
      </c>
      <c r="L16" t="inlineStr">
        <is>
          <t>Rainbow Trout</t>
        </is>
      </c>
      <c r="M16" t="inlineStr">
        <is>
          <t>Fish; Standard Test Species; U.S. Threatened and Endangered Species</t>
        </is>
      </c>
      <c r="N16" t="inlineStr">
        <is>
          <t>Adult</t>
        </is>
      </c>
      <c r="O16" t="inlineStr">
        <is>
          <t>&gt;</t>
        </is>
      </c>
      <c r="P16" t="n">
        <v>11.0</v>
      </c>
      <c r="Q16"/>
      <c r="R16"/>
      <c r="S16"/>
      <c r="T16"/>
      <c r="U16" t="inlineStr">
        <is>
          <t>Month(s)</t>
        </is>
      </c>
      <c r="V16" t="inlineStr">
        <is>
          <t>Food</t>
        </is>
      </c>
      <c r="W16" t="inlineStr">
        <is>
          <t>Fresh water</t>
        </is>
      </c>
      <c r="X16" t="inlineStr">
        <is>
          <t>Lab</t>
        </is>
      </c>
      <c r="Y16" t="n">
        <v>1.0</v>
      </c>
      <c r="Z16" t="inlineStr">
        <is>
          <t>Active ingredient</t>
        </is>
      </c>
      <c r="AA16"/>
      <c r="AB16" t="n">
        <v>0.347</v>
      </c>
      <c r="AC16"/>
      <c r="AD16"/>
      <c r="AE16"/>
      <c r="AF16"/>
      <c r="AG16" t="inlineStr">
        <is>
          <t>AI mg/kg food</t>
        </is>
      </c>
      <c r="AH16"/>
      <c r="AI16"/>
      <c r="AJ16"/>
      <c r="AK16"/>
      <c r="AL16"/>
      <c r="AM16"/>
      <c r="AN16"/>
      <c r="AO16"/>
      <c r="AP16"/>
      <c r="AQ16"/>
      <c r="AR16"/>
      <c r="AS16"/>
      <c r="AT16"/>
      <c r="AU16"/>
      <c r="AV16"/>
      <c r="AW16"/>
      <c r="AX16" t="inlineStr">
        <is>
          <t>Accumulation</t>
        </is>
      </c>
      <c r="AY16" t="inlineStr">
        <is>
          <t>Residue</t>
        </is>
      </c>
      <c r="AZ16" t="inlineStr">
        <is>
          <t>LOEC</t>
        </is>
      </c>
      <c r="BA16" t="inlineStr">
        <is>
          <t>Liver</t>
        </is>
      </c>
      <c r="BB16" t="inlineStr">
        <is>
          <t>&lt;=</t>
        </is>
      </c>
      <c r="BC16" t="n">
        <v>28.0</v>
      </c>
      <c r="BD16"/>
      <c r="BE16"/>
      <c r="BF16"/>
      <c r="BG16"/>
      <c r="BH16" t="inlineStr">
        <is>
          <t>Day(s)</t>
        </is>
      </c>
      <c r="BI16"/>
      <c r="BJ16"/>
      <c r="BK16"/>
      <c r="BL16"/>
      <c r="BM16"/>
      <c r="BN16"/>
      <c r="BO16" t="inlineStr">
        <is>
          <t>--</t>
        </is>
      </c>
      <c r="BP16"/>
      <c r="BQ16"/>
      <c r="BR16"/>
      <c r="BS16"/>
      <c r="BT16"/>
      <c r="BU16"/>
      <c r="BV16"/>
      <c r="BW16"/>
      <c r="BX16"/>
      <c r="BY16"/>
      <c r="BZ16"/>
      <c r="CA16"/>
      <c r="CB16"/>
      <c r="CC16"/>
      <c r="CD16" t="inlineStr">
        <is>
          <t>Falk,S., K. Failing, S. Georgii, H. Brunn, and T. Stahl</t>
        </is>
      </c>
      <c r="CE16" t="n">
        <v>175197.0</v>
      </c>
      <c r="CF16" t="inlineStr">
        <is>
          <t>Tissue Specific Uptake and Elimination of Perfluoroalkyl Acids (PFAAS) in Adult Rainbow Trout (Oncorhynchus mykiss) After Dietary Exposure</t>
        </is>
      </c>
      <c r="CG16" t="inlineStr">
        <is>
          <t>Chemosphere129:150-156</t>
        </is>
      </c>
      <c r="CH16" t="n">
        <v>2015.0</v>
      </c>
      <c r="CI16"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17">
      <c r="A17" t="n">
        <v>375951.0</v>
      </c>
      <c r="B17" t="inlineStr">
        <is>
          <t>2,2,3,3,4,4,5,5,6,6,7,7,8,8,9,9,9-Heptadecafluorononanoic acid</t>
        </is>
      </c>
      <c r="C17"/>
      <c r="D17" t="inlineStr">
        <is>
          <t>Measured</t>
        </is>
      </c>
      <c r="E17"/>
      <c r="F17" t="n">
        <v>95.0</v>
      </c>
      <c r="G17"/>
      <c r="H17"/>
      <c r="I17"/>
      <c r="J17"/>
      <c r="K17" t="inlineStr">
        <is>
          <t>Chironomus plumosus</t>
        </is>
      </c>
      <c r="L17" t="inlineStr">
        <is>
          <t>Midge</t>
        </is>
      </c>
      <c r="M17" t="inlineStr">
        <is>
          <t>Insects/Spiders</t>
        </is>
      </c>
      <c r="N17" t="inlineStr">
        <is>
          <t>Larva</t>
        </is>
      </c>
      <c r="O17"/>
      <c r="P17"/>
      <c r="Q17"/>
      <c r="R17" t="n">
        <v>3.0</v>
      </c>
      <c r="S17"/>
      <c r="T17" t="n">
        <v>4.0</v>
      </c>
      <c r="U17" t="inlineStr">
        <is>
          <t>Instantaneous</t>
        </is>
      </c>
      <c r="V17" t="inlineStr">
        <is>
          <t>Static</t>
        </is>
      </c>
      <c r="W17" t="inlineStr">
        <is>
          <t>Fresh water</t>
        </is>
      </c>
      <c r="X17" t="inlineStr">
        <is>
          <t>Lab</t>
        </is>
      </c>
      <c r="Y17" t="n">
        <v>2.0</v>
      </c>
      <c r="Z17" t="inlineStr">
        <is>
          <t>Active ingredient</t>
        </is>
      </c>
      <c r="AA17"/>
      <c r="AB17" t="n">
        <v>0.0096</v>
      </c>
      <c r="AC17"/>
      <c r="AD17"/>
      <c r="AE17"/>
      <c r="AF17"/>
      <c r="AG17" t="inlineStr">
        <is>
          <t>AI mg/L</t>
        </is>
      </c>
      <c r="AH17"/>
      <c r="AI17"/>
      <c r="AJ17"/>
      <c r="AK17"/>
      <c r="AL17"/>
      <c r="AM17"/>
      <c r="AN17"/>
      <c r="AO17"/>
      <c r="AP17"/>
      <c r="AQ17"/>
      <c r="AR17"/>
      <c r="AS17"/>
      <c r="AT17"/>
      <c r="AU17"/>
      <c r="AV17"/>
      <c r="AW17"/>
      <c r="AX17" t="inlineStr">
        <is>
          <t>Accumulation</t>
        </is>
      </c>
      <c r="AY17" t="inlineStr">
        <is>
          <t>Residue</t>
        </is>
      </c>
      <c r="AZ17"/>
      <c r="BA17" t="inlineStr">
        <is>
          <t>Whole organism</t>
        </is>
      </c>
      <c r="BB17"/>
      <c r="BC17" t="n">
        <v>10.33</v>
      </c>
      <c r="BD17"/>
      <c r="BE17"/>
      <c r="BF17"/>
      <c r="BG17"/>
      <c r="BH17" t="inlineStr">
        <is>
          <t>Day(s)</t>
        </is>
      </c>
      <c r="BI17"/>
      <c r="BJ17"/>
      <c r="BK17"/>
      <c r="BL17"/>
      <c r="BM17"/>
      <c r="BN17"/>
      <c r="BO17" t="inlineStr">
        <is>
          <t>--</t>
        </is>
      </c>
      <c r="BP17"/>
      <c r="BQ17"/>
      <c r="BR17"/>
      <c r="BS17"/>
      <c r="BT17"/>
      <c r="BU17"/>
      <c r="BV17"/>
      <c r="BW17"/>
      <c r="BX17"/>
      <c r="BY17"/>
      <c r="BZ17"/>
      <c r="CA17"/>
      <c r="CB17"/>
      <c r="CC17"/>
      <c r="CD17" t="inlineStr">
        <is>
          <t>Zhai,Y., X. Xia, X. Zhao, H. Dong, B. Zhu, N. Xia, and J. Dong</t>
        </is>
      </c>
      <c r="CE17" t="n">
        <v>177074.0</v>
      </c>
      <c r="CF17" t="inlineStr">
        <is>
          <t>Role of Ingestion Route in the Perfluoroalkyl Substance Bioaccumulation by Chironomus plumosus Larvae in Sediments Amended with Carbonaceous Materials</t>
        </is>
      </c>
      <c r="CG17" t="inlineStr">
        <is>
          <t>J. Hazard. Mater.302:404-414</t>
        </is>
      </c>
      <c r="CH17" t="n">
        <v>2016.0</v>
      </c>
      <c r="CI17"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8">
      <c r="A18" t="n">
        <v>375951.0</v>
      </c>
      <c r="B18" t="inlineStr">
        <is>
          <t>2,2,3,3,4,4,5,5,6,6,7,7,8,8,9,9,9-Heptadecafluorononanoic acid</t>
        </is>
      </c>
      <c r="C18"/>
      <c r="D18" t="inlineStr">
        <is>
          <t>Measured</t>
        </is>
      </c>
      <c r="E18"/>
      <c r="F18" t="n">
        <v>97.0</v>
      </c>
      <c r="G18"/>
      <c r="H18"/>
      <c r="I18"/>
      <c r="J18"/>
      <c r="K18" t="inlineStr">
        <is>
          <t>Chironomus plumosus</t>
        </is>
      </c>
      <c r="L18" t="inlineStr">
        <is>
          <t>Midge</t>
        </is>
      </c>
      <c r="M18" t="inlineStr">
        <is>
          <t>Insects/Spiders</t>
        </is>
      </c>
      <c r="N18" t="inlineStr">
        <is>
          <t>Larva</t>
        </is>
      </c>
      <c r="O18"/>
      <c r="P18"/>
      <c r="Q18"/>
      <c r="R18" t="n">
        <v>3.0</v>
      </c>
      <c r="S18"/>
      <c r="T18" t="n">
        <v>4.0</v>
      </c>
      <c r="U18" t="inlineStr">
        <is>
          <t>Instantaneous</t>
        </is>
      </c>
      <c r="V18" t="inlineStr">
        <is>
          <t>Static</t>
        </is>
      </c>
      <c r="W18" t="inlineStr">
        <is>
          <t>Fresh water</t>
        </is>
      </c>
      <c r="X18" t="inlineStr">
        <is>
          <t>Lab</t>
        </is>
      </c>
      <c r="Y18" t="n">
        <v>2.0</v>
      </c>
      <c r="Z18" t="inlineStr">
        <is>
          <t>Active ingredient</t>
        </is>
      </c>
      <c r="AA18"/>
      <c r="AB18" t="n">
        <v>0.00962</v>
      </c>
      <c r="AC18"/>
      <c r="AD18"/>
      <c r="AE18"/>
      <c r="AF18"/>
      <c r="AG18" t="inlineStr">
        <is>
          <t>AI mg/L</t>
        </is>
      </c>
      <c r="AH18"/>
      <c r="AI18"/>
      <c r="AJ18"/>
      <c r="AK18"/>
      <c r="AL18"/>
      <c r="AM18"/>
      <c r="AN18"/>
      <c r="AO18"/>
      <c r="AP18"/>
      <c r="AQ18"/>
      <c r="AR18"/>
      <c r="AS18"/>
      <c r="AT18"/>
      <c r="AU18"/>
      <c r="AV18"/>
      <c r="AW18"/>
      <c r="AX18" t="inlineStr">
        <is>
          <t>Accumulation</t>
        </is>
      </c>
      <c r="AY18" t="inlineStr">
        <is>
          <t>Residue</t>
        </is>
      </c>
      <c r="AZ18"/>
      <c r="BA18" t="inlineStr">
        <is>
          <t>Whole organism</t>
        </is>
      </c>
      <c r="BB18"/>
      <c r="BC18" t="n">
        <v>10.33</v>
      </c>
      <c r="BD18"/>
      <c r="BE18"/>
      <c r="BF18"/>
      <c r="BG18"/>
      <c r="BH18" t="inlineStr">
        <is>
          <t>Day(s)</t>
        </is>
      </c>
      <c r="BI18"/>
      <c r="BJ18"/>
      <c r="BK18"/>
      <c r="BL18"/>
      <c r="BM18"/>
      <c r="BN18"/>
      <c r="BO18" t="inlineStr">
        <is>
          <t>--</t>
        </is>
      </c>
      <c r="BP18"/>
      <c r="BQ18"/>
      <c r="BR18"/>
      <c r="BS18"/>
      <c r="BT18"/>
      <c r="BU18"/>
      <c r="BV18"/>
      <c r="BW18"/>
      <c r="BX18"/>
      <c r="BY18"/>
      <c r="BZ18"/>
      <c r="CA18"/>
      <c r="CB18"/>
      <c r="CC18"/>
      <c r="CD18" t="inlineStr">
        <is>
          <t>Zhai,Y., X. Xia, X. Zhao, H. Dong, B. Zhu, N. Xia, and J. Dong</t>
        </is>
      </c>
      <c r="CE18" t="n">
        <v>177074.0</v>
      </c>
      <c r="CF18" t="inlineStr">
        <is>
          <t>Role of Ingestion Route in the Perfluoroalkyl Substance Bioaccumulation by Chironomus plumosus Larvae in Sediments Amended with Carbonaceous Materials</t>
        </is>
      </c>
      <c r="CG18" t="inlineStr">
        <is>
          <t>J. Hazard. Mater.302:404-414</t>
        </is>
      </c>
      <c r="CH18" t="n">
        <v>2016.0</v>
      </c>
      <c r="CI18"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9">
      <c r="A19" t="n">
        <v>375951.0</v>
      </c>
      <c r="B19" t="inlineStr">
        <is>
          <t>2,2,3,3,4,4,5,5,6,6,7,7,8,8,9,9,9-Heptadecafluorononanoic acid</t>
        </is>
      </c>
      <c r="C19"/>
      <c r="D19" t="inlineStr">
        <is>
          <t>Measured</t>
        </is>
      </c>
      <c r="E19"/>
      <c r="F19" t="n">
        <v>97.0</v>
      </c>
      <c r="G19"/>
      <c r="H19"/>
      <c r="I19"/>
      <c r="J19"/>
      <c r="K19" t="inlineStr">
        <is>
          <t>Chironomus plumosus</t>
        </is>
      </c>
      <c r="L19" t="inlineStr">
        <is>
          <t>Midge</t>
        </is>
      </c>
      <c r="M19" t="inlineStr">
        <is>
          <t>Insects/Spiders</t>
        </is>
      </c>
      <c r="N19" t="inlineStr">
        <is>
          <t>Larva</t>
        </is>
      </c>
      <c r="O19"/>
      <c r="P19"/>
      <c r="Q19"/>
      <c r="R19" t="n">
        <v>3.0</v>
      </c>
      <c r="S19"/>
      <c r="T19" t="n">
        <v>4.0</v>
      </c>
      <c r="U19" t="inlineStr">
        <is>
          <t>Instantaneous</t>
        </is>
      </c>
      <c r="V19" t="inlineStr">
        <is>
          <t>Static</t>
        </is>
      </c>
      <c r="W19" t="inlineStr">
        <is>
          <t>Fresh water</t>
        </is>
      </c>
      <c r="X19" t="inlineStr">
        <is>
          <t>Lab</t>
        </is>
      </c>
      <c r="Y19" t="n">
        <v>2.0</v>
      </c>
      <c r="Z19" t="inlineStr">
        <is>
          <t>Active ingredient</t>
        </is>
      </c>
      <c r="AA19"/>
      <c r="AB19" t="n">
        <v>0.00962</v>
      </c>
      <c r="AC19"/>
      <c r="AD19"/>
      <c r="AE19"/>
      <c r="AF19"/>
      <c r="AG19" t="inlineStr">
        <is>
          <t>AI mg/L</t>
        </is>
      </c>
      <c r="AH19"/>
      <c r="AI19"/>
      <c r="AJ19"/>
      <c r="AK19"/>
      <c r="AL19"/>
      <c r="AM19"/>
      <c r="AN19"/>
      <c r="AO19"/>
      <c r="AP19"/>
      <c r="AQ19"/>
      <c r="AR19"/>
      <c r="AS19"/>
      <c r="AT19"/>
      <c r="AU19"/>
      <c r="AV19"/>
      <c r="AW19"/>
      <c r="AX19" t="inlineStr">
        <is>
          <t>Accumulation</t>
        </is>
      </c>
      <c r="AY19" t="inlineStr">
        <is>
          <t>Residue</t>
        </is>
      </c>
      <c r="AZ19"/>
      <c r="BA19" t="inlineStr">
        <is>
          <t>Whole organism</t>
        </is>
      </c>
      <c r="BB19"/>
      <c r="BC19" t="n">
        <v>10.33</v>
      </c>
      <c r="BD19"/>
      <c r="BE19"/>
      <c r="BF19"/>
      <c r="BG19"/>
      <c r="BH19" t="inlineStr">
        <is>
          <t>Day(s)</t>
        </is>
      </c>
      <c r="BI19"/>
      <c r="BJ19"/>
      <c r="BK19"/>
      <c r="BL19"/>
      <c r="BM19"/>
      <c r="BN19"/>
      <c r="BO19" t="inlineStr">
        <is>
          <t>--</t>
        </is>
      </c>
      <c r="BP19"/>
      <c r="BQ19"/>
      <c r="BR19"/>
      <c r="BS19"/>
      <c r="BT19"/>
      <c r="BU19"/>
      <c r="BV19"/>
      <c r="BW19"/>
      <c r="BX19"/>
      <c r="BY19"/>
      <c r="BZ19"/>
      <c r="CA19"/>
      <c r="CB19"/>
      <c r="CC19"/>
      <c r="CD19" t="inlineStr">
        <is>
          <t>Zhai,Y., X. Xia, X. Zhao, H. Dong, B. Zhu, N. Xia, and J. Dong</t>
        </is>
      </c>
      <c r="CE19" t="n">
        <v>177074.0</v>
      </c>
      <c r="CF19" t="inlineStr">
        <is>
          <t>Role of Ingestion Route in the Perfluoroalkyl Substance Bioaccumulation by Chironomus plumosus Larvae in Sediments Amended with Carbonaceous Materials</t>
        </is>
      </c>
      <c r="CG19" t="inlineStr">
        <is>
          <t>J. Hazard. Mater.302:404-414</t>
        </is>
      </c>
      <c r="CH19" t="n">
        <v>2016.0</v>
      </c>
      <c r="CI19"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0">
      <c r="A20" t="n">
        <v>375951.0</v>
      </c>
      <c r="B20" t="inlineStr">
        <is>
          <t>2,2,3,3,4,4,5,5,6,6,7,7,8,8,9,9,9-Heptadecafluorononanoic acid</t>
        </is>
      </c>
      <c r="C20"/>
      <c r="D20" t="inlineStr">
        <is>
          <t>Measured</t>
        </is>
      </c>
      <c r="E20"/>
      <c r="F20" t="n">
        <v>97.0</v>
      </c>
      <c r="G20"/>
      <c r="H20"/>
      <c r="I20"/>
      <c r="J20"/>
      <c r="K20" t="inlineStr">
        <is>
          <t>Chironomus plumosus</t>
        </is>
      </c>
      <c r="L20" t="inlineStr">
        <is>
          <t>Midge</t>
        </is>
      </c>
      <c r="M20" t="inlineStr">
        <is>
          <t>Insects/Spiders</t>
        </is>
      </c>
      <c r="N20" t="inlineStr">
        <is>
          <t>Larva</t>
        </is>
      </c>
      <c r="O20"/>
      <c r="P20"/>
      <c r="Q20"/>
      <c r="R20" t="n">
        <v>3.0</v>
      </c>
      <c r="S20"/>
      <c r="T20" t="n">
        <v>4.0</v>
      </c>
      <c r="U20" t="inlineStr">
        <is>
          <t>Instantaneous</t>
        </is>
      </c>
      <c r="V20" t="inlineStr">
        <is>
          <t>Static</t>
        </is>
      </c>
      <c r="W20" t="inlineStr">
        <is>
          <t>Fresh water</t>
        </is>
      </c>
      <c r="X20" t="inlineStr">
        <is>
          <t>Lab</t>
        </is>
      </c>
      <c r="Y20" t="n">
        <v>2.0</v>
      </c>
      <c r="Z20" t="inlineStr">
        <is>
          <t>Active ingredient</t>
        </is>
      </c>
      <c r="AA20"/>
      <c r="AB20" t="n">
        <v>0.00962</v>
      </c>
      <c r="AC20"/>
      <c r="AD20"/>
      <c r="AE20"/>
      <c r="AF20"/>
      <c r="AG20" t="inlineStr">
        <is>
          <t>AI mg/L</t>
        </is>
      </c>
      <c r="AH20"/>
      <c r="AI20"/>
      <c r="AJ20"/>
      <c r="AK20"/>
      <c r="AL20"/>
      <c r="AM20"/>
      <c r="AN20"/>
      <c r="AO20"/>
      <c r="AP20"/>
      <c r="AQ20"/>
      <c r="AR20"/>
      <c r="AS20"/>
      <c r="AT20"/>
      <c r="AU20"/>
      <c r="AV20"/>
      <c r="AW20"/>
      <c r="AX20" t="inlineStr">
        <is>
          <t>Accumulation</t>
        </is>
      </c>
      <c r="AY20" t="inlineStr">
        <is>
          <t>Residue</t>
        </is>
      </c>
      <c r="AZ20"/>
      <c r="BA20" t="inlineStr">
        <is>
          <t>Whole organism</t>
        </is>
      </c>
      <c r="BB20"/>
      <c r="BC20" t="n">
        <v>10.33</v>
      </c>
      <c r="BD20"/>
      <c r="BE20"/>
      <c r="BF20"/>
      <c r="BG20"/>
      <c r="BH20" t="inlineStr">
        <is>
          <t>Day(s)</t>
        </is>
      </c>
      <c r="BI20"/>
      <c r="BJ20"/>
      <c r="BK20"/>
      <c r="BL20"/>
      <c r="BM20"/>
      <c r="BN20"/>
      <c r="BO20" t="inlineStr">
        <is>
          <t>--</t>
        </is>
      </c>
      <c r="BP20"/>
      <c r="BQ20"/>
      <c r="BR20"/>
      <c r="BS20"/>
      <c r="BT20"/>
      <c r="BU20"/>
      <c r="BV20"/>
      <c r="BW20"/>
      <c r="BX20"/>
      <c r="BY20"/>
      <c r="BZ20"/>
      <c r="CA20"/>
      <c r="CB20"/>
      <c r="CC20"/>
      <c r="CD20" t="inlineStr">
        <is>
          <t>Zhai,Y., X. Xia, X. Zhao, H. Dong, B. Zhu, N. Xia, and J. Dong</t>
        </is>
      </c>
      <c r="CE20" t="n">
        <v>177074.0</v>
      </c>
      <c r="CF20" t="inlineStr">
        <is>
          <t>Role of Ingestion Route in the Perfluoroalkyl Substance Bioaccumulation by Chironomus plumosus Larvae in Sediments Amended with Carbonaceous Materials</t>
        </is>
      </c>
      <c r="CG20" t="inlineStr">
        <is>
          <t>J. Hazard. Mater.302:404-414</t>
        </is>
      </c>
      <c r="CH20" t="n">
        <v>2016.0</v>
      </c>
      <c r="CI20"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1">
      <c r="A21" t="n">
        <v>375951.0</v>
      </c>
      <c r="B21" t="inlineStr">
        <is>
          <t>2,2,3,3,4,4,5,5,6,6,7,7,8,8,9,9,9-Heptadecafluorononanoic acid</t>
        </is>
      </c>
      <c r="C21"/>
      <c r="D21" t="inlineStr">
        <is>
          <t>Measured</t>
        </is>
      </c>
      <c r="E21"/>
      <c r="F21" t="n">
        <v>97.0</v>
      </c>
      <c r="G21"/>
      <c r="H21"/>
      <c r="I21"/>
      <c r="J21"/>
      <c r="K21" t="inlineStr">
        <is>
          <t>Chironomus plumosus</t>
        </is>
      </c>
      <c r="L21" t="inlineStr">
        <is>
          <t>Midge</t>
        </is>
      </c>
      <c r="M21" t="inlineStr">
        <is>
          <t>Insects/Spiders</t>
        </is>
      </c>
      <c r="N21" t="inlineStr">
        <is>
          <t>Larva</t>
        </is>
      </c>
      <c r="O21"/>
      <c r="P21"/>
      <c r="Q21"/>
      <c r="R21" t="n">
        <v>3.0</v>
      </c>
      <c r="S21"/>
      <c r="T21" t="n">
        <v>4.0</v>
      </c>
      <c r="U21" t="inlineStr">
        <is>
          <t>Instantaneous</t>
        </is>
      </c>
      <c r="V21" t="inlineStr">
        <is>
          <t>Static</t>
        </is>
      </c>
      <c r="W21" t="inlineStr">
        <is>
          <t>Fresh water</t>
        </is>
      </c>
      <c r="X21" t="inlineStr">
        <is>
          <t>Lab</t>
        </is>
      </c>
      <c r="Y21" t="n">
        <v>2.0</v>
      </c>
      <c r="Z21" t="inlineStr">
        <is>
          <t>Active ingredient</t>
        </is>
      </c>
      <c r="AA21"/>
      <c r="AB21" t="n">
        <v>0.00962</v>
      </c>
      <c r="AC21"/>
      <c r="AD21"/>
      <c r="AE21"/>
      <c r="AF21"/>
      <c r="AG21" t="inlineStr">
        <is>
          <t>AI mg/L</t>
        </is>
      </c>
      <c r="AH21"/>
      <c r="AI21"/>
      <c r="AJ21"/>
      <c r="AK21"/>
      <c r="AL21"/>
      <c r="AM21"/>
      <c r="AN21"/>
      <c r="AO21"/>
      <c r="AP21"/>
      <c r="AQ21"/>
      <c r="AR21"/>
      <c r="AS21"/>
      <c r="AT21"/>
      <c r="AU21"/>
      <c r="AV21"/>
      <c r="AW21"/>
      <c r="AX21" t="inlineStr">
        <is>
          <t>Accumulation</t>
        </is>
      </c>
      <c r="AY21" t="inlineStr">
        <is>
          <t>Residue</t>
        </is>
      </c>
      <c r="AZ21"/>
      <c r="BA21" t="inlineStr">
        <is>
          <t>Whole organism</t>
        </is>
      </c>
      <c r="BB21"/>
      <c r="BC21" t="n">
        <v>10.33</v>
      </c>
      <c r="BD21"/>
      <c r="BE21"/>
      <c r="BF21"/>
      <c r="BG21"/>
      <c r="BH21" t="inlineStr">
        <is>
          <t>Day(s)</t>
        </is>
      </c>
      <c r="BI21"/>
      <c r="BJ21"/>
      <c r="BK21"/>
      <c r="BL21"/>
      <c r="BM21"/>
      <c r="BN21"/>
      <c r="BO21" t="inlineStr">
        <is>
          <t>--</t>
        </is>
      </c>
      <c r="BP21"/>
      <c r="BQ21"/>
      <c r="BR21"/>
      <c r="BS21"/>
      <c r="BT21"/>
      <c r="BU21"/>
      <c r="BV21"/>
      <c r="BW21"/>
      <c r="BX21"/>
      <c r="BY21"/>
      <c r="BZ21"/>
      <c r="CA21"/>
      <c r="CB21"/>
      <c r="CC21"/>
      <c r="CD21" t="inlineStr">
        <is>
          <t>Zhai,Y., X. Xia, X. Zhao, H. Dong, B. Zhu, N. Xia, and J. Dong</t>
        </is>
      </c>
      <c r="CE21" t="n">
        <v>177074.0</v>
      </c>
      <c r="CF21" t="inlineStr">
        <is>
          <t>Role of Ingestion Route in the Perfluoroalkyl Substance Bioaccumulation by Chironomus plumosus Larvae in Sediments Amended with Carbonaceous Materials</t>
        </is>
      </c>
      <c r="CG21" t="inlineStr">
        <is>
          <t>J. Hazard. Mater.302:404-414</t>
        </is>
      </c>
      <c r="CH21" t="n">
        <v>2016.0</v>
      </c>
      <c r="CI21"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2">
      <c r="A22" t="n">
        <v>375951.0</v>
      </c>
      <c r="B22" t="inlineStr">
        <is>
          <t>2,2,3,3,4,4,5,5,6,6,7,7,8,8,9,9,9-Heptadecafluorononanoic acid</t>
        </is>
      </c>
      <c r="C22"/>
      <c r="D22" t="inlineStr">
        <is>
          <t>Measured</t>
        </is>
      </c>
      <c r="E22"/>
      <c r="F22" t="n">
        <v>97.0</v>
      </c>
      <c r="G22"/>
      <c r="H22"/>
      <c r="I22"/>
      <c r="J22"/>
      <c r="K22" t="inlineStr">
        <is>
          <t>Chironomus plumosus</t>
        </is>
      </c>
      <c r="L22" t="inlineStr">
        <is>
          <t>Midge</t>
        </is>
      </c>
      <c r="M22" t="inlineStr">
        <is>
          <t>Insects/Spiders</t>
        </is>
      </c>
      <c r="N22" t="inlineStr">
        <is>
          <t>Larva</t>
        </is>
      </c>
      <c r="O22"/>
      <c r="P22"/>
      <c r="Q22"/>
      <c r="R22" t="n">
        <v>3.0</v>
      </c>
      <c r="S22"/>
      <c r="T22" t="n">
        <v>4.0</v>
      </c>
      <c r="U22" t="inlineStr">
        <is>
          <t>Instantaneous</t>
        </is>
      </c>
      <c r="V22" t="inlineStr">
        <is>
          <t>Static</t>
        </is>
      </c>
      <c r="W22" t="inlineStr">
        <is>
          <t>Fresh water</t>
        </is>
      </c>
      <c r="X22" t="inlineStr">
        <is>
          <t>Lab</t>
        </is>
      </c>
      <c r="Y22" t="n">
        <v>2.0</v>
      </c>
      <c r="Z22" t="inlineStr">
        <is>
          <t>Active ingredient</t>
        </is>
      </c>
      <c r="AA22"/>
      <c r="AB22" t="n">
        <v>0.0096</v>
      </c>
      <c r="AC22"/>
      <c r="AD22"/>
      <c r="AE22"/>
      <c r="AF22"/>
      <c r="AG22" t="inlineStr">
        <is>
          <t>AI mg/L</t>
        </is>
      </c>
      <c r="AH22"/>
      <c r="AI22"/>
      <c r="AJ22"/>
      <c r="AK22"/>
      <c r="AL22"/>
      <c r="AM22"/>
      <c r="AN22"/>
      <c r="AO22"/>
      <c r="AP22"/>
      <c r="AQ22"/>
      <c r="AR22"/>
      <c r="AS22"/>
      <c r="AT22"/>
      <c r="AU22"/>
      <c r="AV22"/>
      <c r="AW22"/>
      <c r="AX22" t="inlineStr">
        <is>
          <t>Accumulation</t>
        </is>
      </c>
      <c r="AY22" t="inlineStr">
        <is>
          <t>Residue</t>
        </is>
      </c>
      <c r="AZ22"/>
      <c r="BA22" t="inlineStr">
        <is>
          <t>Whole organism</t>
        </is>
      </c>
      <c r="BB22"/>
      <c r="BC22" t="n">
        <v>10.33</v>
      </c>
      <c r="BD22"/>
      <c r="BE22"/>
      <c r="BF22"/>
      <c r="BG22"/>
      <c r="BH22" t="inlineStr">
        <is>
          <t>Day(s)</t>
        </is>
      </c>
      <c r="BI22"/>
      <c r="BJ22"/>
      <c r="BK22"/>
      <c r="BL22"/>
      <c r="BM22"/>
      <c r="BN22"/>
      <c r="BO22" t="inlineStr">
        <is>
          <t>--</t>
        </is>
      </c>
      <c r="BP22"/>
      <c r="BQ22"/>
      <c r="BR22"/>
      <c r="BS22"/>
      <c r="BT22"/>
      <c r="BU22"/>
      <c r="BV22"/>
      <c r="BW22"/>
      <c r="BX22"/>
      <c r="BY22"/>
      <c r="BZ22"/>
      <c r="CA22"/>
      <c r="CB22"/>
      <c r="CC22"/>
      <c r="CD22" t="inlineStr">
        <is>
          <t>Zhai,Y., X. Xia, X. Zhao, H. Dong, B. Zhu, N. Xia, and J. Dong</t>
        </is>
      </c>
      <c r="CE22" t="n">
        <v>177074.0</v>
      </c>
      <c r="CF22" t="inlineStr">
        <is>
          <t>Role of Ingestion Route in the Perfluoroalkyl Substance Bioaccumulation by Chironomus plumosus Larvae in Sediments Amended with Carbonaceous Materials</t>
        </is>
      </c>
      <c r="CG22" t="inlineStr">
        <is>
          <t>J. Hazard. Mater.302:404-414</t>
        </is>
      </c>
      <c r="CH22" t="n">
        <v>2016.0</v>
      </c>
      <c r="CI22"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3">
      <c r="A23" t="n">
        <v>375951.0</v>
      </c>
      <c r="B23" t="inlineStr">
        <is>
          <t>2,2,3,3,4,4,5,5,6,6,7,7,8,8,9,9,9-Heptadecafluorononanoic acid</t>
        </is>
      </c>
      <c r="C23"/>
      <c r="D23" t="inlineStr">
        <is>
          <t>Measured</t>
        </is>
      </c>
      <c r="E23"/>
      <c r="F23" t="n">
        <v>97.0</v>
      </c>
      <c r="G23"/>
      <c r="H23"/>
      <c r="I23"/>
      <c r="J23"/>
      <c r="K23" t="inlineStr">
        <is>
          <t>Chironomus plumosus</t>
        </is>
      </c>
      <c r="L23" t="inlineStr">
        <is>
          <t>Midge</t>
        </is>
      </c>
      <c r="M23" t="inlineStr">
        <is>
          <t>Insects/Spiders</t>
        </is>
      </c>
      <c r="N23" t="inlineStr">
        <is>
          <t>Larva</t>
        </is>
      </c>
      <c r="O23"/>
      <c r="P23"/>
      <c r="Q23"/>
      <c r="R23" t="n">
        <v>3.0</v>
      </c>
      <c r="S23"/>
      <c r="T23" t="n">
        <v>4.0</v>
      </c>
      <c r="U23" t="inlineStr">
        <is>
          <t>Instantaneous</t>
        </is>
      </c>
      <c r="V23" t="inlineStr">
        <is>
          <t>Static</t>
        </is>
      </c>
      <c r="W23" t="inlineStr">
        <is>
          <t>Fresh water</t>
        </is>
      </c>
      <c r="X23" t="inlineStr">
        <is>
          <t>Lab</t>
        </is>
      </c>
      <c r="Y23" t="n">
        <v>2.0</v>
      </c>
      <c r="Z23" t="inlineStr">
        <is>
          <t>Active ingredient</t>
        </is>
      </c>
      <c r="AA23"/>
      <c r="AB23" t="n">
        <v>0.0096</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c r="BA23" t="inlineStr">
        <is>
          <t>Whole organism</t>
        </is>
      </c>
      <c r="BB23"/>
      <c r="BC23" t="n">
        <v>10.33</v>
      </c>
      <c r="BD23"/>
      <c r="BE23"/>
      <c r="BF23"/>
      <c r="BG23"/>
      <c r="BH23" t="inlineStr">
        <is>
          <t>Day(s)</t>
        </is>
      </c>
      <c r="BI23"/>
      <c r="BJ23"/>
      <c r="BK23"/>
      <c r="BL23"/>
      <c r="BM23"/>
      <c r="BN23"/>
      <c r="BO23" t="inlineStr">
        <is>
          <t>--</t>
        </is>
      </c>
      <c r="BP23"/>
      <c r="BQ23"/>
      <c r="BR23"/>
      <c r="BS23"/>
      <c r="BT23"/>
      <c r="BU23"/>
      <c r="BV23"/>
      <c r="BW23"/>
      <c r="BX23"/>
      <c r="BY23"/>
      <c r="BZ23"/>
      <c r="CA23"/>
      <c r="CB23"/>
      <c r="CC23"/>
      <c r="CD23" t="inlineStr">
        <is>
          <t>Zhai,Y., X. Xia, X. Zhao, H. Dong, B. Zhu, N. Xia, and J. Dong</t>
        </is>
      </c>
      <c r="CE23" t="n">
        <v>177074.0</v>
      </c>
      <c r="CF23" t="inlineStr">
        <is>
          <t>Role of Ingestion Route in the Perfluoroalkyl Substance Bioaccumulation by Chironomus plumosus Larvae in Sediments Amended with Carbonaceous Materials</t>
        </is>
      </c>
      <c r="CG23" t="inlineStr">
        <is>
          <t>J. Hazard. Mater.302:404-414</t>
        </is>
      </c>
      <c r="CH23" t="n">
        <v>2016.0</v>
      </c>
      <c r="CI23"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4">
      <c r="A24" t="n">
        <v>375951.0</v>
      </c>
      <c r="B24" t="inlineStr">
        <is>
          <t>2,2,3,3,4,4,5,5,6,6,7,7,8,8,9,9,9-Heptadecafluorononanoic acid</t>
        </is>
      </c>
      <c r="C24"/>
      <c r="D24" t="inlineStr">
        <is>
          <t>Measured</t>
        </is>
      </c>
      <c r="E24"/>
      <c r="F24" t="n">
        <v>97.0</v>
      </c>
      <c r="G24"/>
      <c r="H24"/>
      <c r="I24"/>
      <c r="J24"/>
      <c r="K24" t="inlineStr">
        <is>
          <t>Chironomus plumosus</t>
        </is>
      </c>
      <c r="L24" t="inlineStr">
        <is>
          <t>Midge</t>
        </is>
      </c>
      <c r="M24" t="inlineStr">
        <is>
          <t>Insects/Spiders</t>
        </is>
      </c>
      <c r="N24" t="inlineStr">
        <is>
          <t>Larva</t>
        </is>
      </c>
      <c r="O24"/>
      <c r="P24"/>
      <c r="Q24"/>
      <c r="R24" t="n">
        <v>3.0</v>
      </c>
      <c r="S24"/>
      <c r="T24" t="n">
        <v>4.0</v>
      </c>
      <c r="U24" t="inlineStr">
        <is>
          <t>Instantaneous</t>
        </is>
      </c>
      <c r="V24" t="inlineStr">
        <is>
          <t>Static</t>
        </is>
      </c>
      <c r="W24" t="inlineStr">
        <is>
          <t>Fresh water</t>
        </is>
      </c>
      <c r="X24" t="inlineStr">
        <is>
          <t>Lab</t>
        </is>
      </c>
      <c r="Y24" t="n">
        <v>2.0</v>
      </c>
      <c r="Z24" t="inlineStr">
        <is>
          <t>Active ingredient</t>
        </is>
      </c>
      <c r="AA24"/>
      <c r="AB24" t="n">
        <v>0.0096</v>
      </c>
      <c r="AC24"/>
      <c r="AD24"/>
      <c r="AE24"/>
      <c r="AF24"/>
      <c r="AG24" t="inlineStr">
        <is>
          <t>AI mg/L</t>
        </is>
      </c>
      <c r="AH24"/>
      <c r="AI24"/>
      <c r="AJ24"/>
      <c r="AK24"/>
      <c r="AL24"/>
      <c r="AM24"/>
      <c r="AN24"/>
      <c r="AO24"/>
      <c r="AP24"/>
      <c r="AQ24"/>
      <c r="AR24"/>
      <c r="AS24"/>
      <c r="AT24"/>
      <c r="AU24"/>
      <c r="AV24"/>
      <c r="AW24"/>
      <c r="AX24" t="inlineStr">
        <is>
          <t>Accumulation</t>
        </is>
      </c>
      <c r="AY24" t="inlineStr">
        <is>
          <t>Residue</t>
        </is>
      </c>
      <c r="AZ24"/>
      <c r="BA24" t="inlineStr">
        <is>
          <t>Whole organism</t>
        </is>
      </c>
      <c r="BB24"/>
      <c r="BC24" t="n">
        <v>10.33</v>
      </c>
      <c r="BD24"/>
      <c r="BE24"/>
      <c r="BF24"/>
      <c r="BG24"/>
      <c r="BH24" t="inlineStr">
        <is>
          <t>Day(s)</t>
        </is>
      </c>
      <c r="BI24"/>
      <c r="BJ24"/>
      <c r="BK24"/>
      <c r="BL24"/>
      <c r="BM24"/>
      <c r="BN24"/>
      <c r="BO24" t="inlineStr">
        <is>
          <t>--</t>
        </is>
      </c>
      <c r="BP24"/>
      <c r="BQ24"/>
      <c r="BR24"/>
      <c r="BS24"/>
      <c r="BT24"/>
      <c r="BU24"/>
      <c r="BV24"/>
      <c r="BW24"/>
      <c r="BX24"/>
      <c r="BY24"/>
      <c r="BZ24"/>
      <c r="CA24"/>
      <c r="CB24"/>
      <c r="CC24"/>
      <c r="CD24" t="inlineStr">
        <is>
          <t>Zhai,Y., X. Xia, X. Zhao, H. Dong, B. Zhu, N. Xia, and J. Dong</t>
        </is>
      </c>
      <c r="CE24" t="n">
        <v>177074.0</v>
      </c>
      <c r="CF24" t="inlineStr">
        <is>
          <t>Role of Ingestion Route in the Perfluoroalkyl Substance Bioaccumulation by Chironomus plumosus Larvae in Sediments Amended with Carbonaceous Materials</t>
        </is>
      </c>
      <c r="CG24" t="inlineStr">
        <is>
          <t>J. Hazard. Mater.302:404-414</t>
        </is>
      </c>
      <c r="CH24" t="n">
        <v>2016.0</v>
      </c>
      <c r="CI24"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25">
      <c r="A25" t="n">
        <v>375951.0</v>
      </c>
      <c r="B25" t="inlineStr">
        <is>
          <t>2,2,3,3,4,4,5,5,6,6,7,7,8,8,9,9,9-Heptadecafluorononanoic acid</t>
        </is>
      </c>
      <c r="C25"/>
      <c r="D25" t="inlineStr">
        <is>
          <t>Measured</t>
        </is>
      </c>
      <c r="E25"/>
      <c r="F25" t="n">
        <v>97.0</v>
      </c>
      <c r="G25"/>
      <c r="H25"/>
      <c r="I25"/>
      <c r="J25"/>
      <c r="K25" t="inlineStr">
        <is>
          <t>Perna viridis</t>
        </is>
      </c>
      <c r="L25" t="inlineStr">
        <is>
          <t>Green Mussel</t>
        </is>
      </c>
      <c r="M25" t="inlineStr">
        <is>
          <t>Molluscs</t>
        </is>
      </c>
      <c r="N25"/>
      <c r="O25"/>
      <c r="P25"/>
      <c r="Q25"/>
      <c r="R25"/>
      <c r="S25"/>
      <c r="T25"/>
      <c r="U25"/>
      <c r="V25" t="inlineStr">
        <is>
          <t>Renewal</t>
        </is>
      </c>
      <c r="W25" t="inlineStr">
        <is>
          <t>Salt water</t>
        </is>
      </c>
      <c r="X25" t="inlineStr">
        <is>
          <t>Lab</t>
        </is>
      </c>
      <c r="Y25" t="n">
        <v>6.0</v>
      </c>
      <c r="Z25" t="inlineStr">
        <is>
          <t>Active ingredient</t>
        </is>
      </c>
      <c r="AA25"/>
      <c r="AB25" t="n">
        <v>0.097</v>
      </c>
      <c r="AC25"/>
      <c r="AD25"/>
      <c r="AE25"/>
      <c r="AF25"/>
      <c r="AG25" t="inlineStr">
        <is>
          <t>AI mg/L</t>
        </is>
      </c>
      <c r="AH25"/>
      <c r="AI25"/>
      <c r="AJ25"/>
      <c r="AK25"/>
      <c r="AL25"/>
      <c r="AM25"/>
      <c r="AN25"/>
      <c r="AO25"/>
      <c r="AP25"/>
      <c r="AQ25"/>
      <c r="AR25"/>
      <c r="AS25"/>
      <c r="AT25"/>
      <c r="AU25"/>
      <c r="AV25"/>
      <c r="AW25"/>
      <c r="AX25" t="inlineStr">
        <is>
          <t>Accumulation</t>
        </is>
      </c>
      <c r="AY25" t="inlineStr">
        <is>
          <t>Residue</t>
        </is>
      </c>
      <c r="AZ25" t="inlineStr">
        <is>
          <t>BCFD</t>
        </is>
      </c>
      <c r="BA25" t="inlineStr">
        <is>
          <t>Tissue</t>
        </is>
      </c>
      <c r="BB25"/>
      <c r="BC25" t="n">
        <v>1.0</v>
      </c>
      <c r="BD25"/>
      <c r="BE25"/>
      <c r="BF25"/>
      <c r="BG25"/>
      <c r="BH25" t="inlineStr">
        <is>
          <t>Day(s)</t>
        </is>
      </c>
      <c r="BI25"/>
      <c r="BJ25"/>
      <c r="BK25" t="inlineStr">
        <is>
          <t>&gt;</t>
        </is>
      </c>
      <c r="BL25" t="n">
        <v>0.0</v>
      </c>
      <c r="BM25" t="inlineStr">
        <is>
          <t>&lt;</t>
        </is>
      </c>
      <c r="BN25" t="n">
        <v>22.0</v>
      </c>
      <c r="BO25" t="inlineStr">
        <is>
          <t>L/kg</t>
        </is>
      </c>
      <c r="BP25"/>
      <c r="BQ25"/>
      <c r="BR25"/>
      <c r="BS25"/>
      <c r="BT25"/>
      <c r="BU25"/>
      <c r="BV25"/>
      <c r="BW25"/>
      <c r="BX25"/>
      <c r="BY25"/>
      <c r="BZ25"/>
      <c r="CA25"/>
      <c r="CB25"/>
      <c r="CC25"/>
      <c r="CD25" t="inlineStr">
        <is>
          <t>Liu,C., V.W.C. Chang, K.Y.H. Gin, and V.T. Nguyen</t>
        </is>
      </c>
      <c r="CE25" t="n">
        <v>175715.0</v>
      </c>
      <c r="CF25" t="inlineStr">
        <is>
          <t>Genotoxicity of Perfluorinated Chemicals (PFCs) to the Green Mussel (Perna viridis)</t>
        </is>
      </c>
      <c r="CG25" t="inlineStr">
        <is>
          <t>Sci. Total Environ.487:117-122</t>
        </is>
      </c>
      <c r="CH25" t="n">
        <v>2014.0</v>
      </c>
      <c r="CI25" t="inlineStr">
        <is>
          <t>Liu,C., V.W.C. Chang, K.Y.H. Gin, and V.T. Nguyen (2014). Genotoxicity of Perfluorinated Chemicals (PFCs) to the Green Mussel (Perna viridis). Sci. Total Environ., 487, 117-122. doi:10.1016/j.scitotenv.2014.04.017. ECOREF#:175715</t>
        </is>
      </c>
    </row>
    <row r="26">
      <c r="A26" t="n">
        <v>375951.0</v>
      </c>
      <c r="B26" t="inlineStr">
        <is>
          <t>2,2,3,3,4,4,5,5,6,6,7,7,8,8,9,9,9-Heptadecafluorononanoic acid</t>
        </is>
      </c>
      <c r="C26"/>
      <c r="D26" t="inlineStr">
        <is>
          <t>Measured</t>
        </is>
      </c>
      <c r="E26"/>
      <c r="F26" t="n">
        <v>97.0</v>
      </c>
      <c r="G26"/>
      <c r="H26"/>
      <c r="I26"/>
      <c r="J26"/>
      <c r="K26" t="inlineStr">
        <is>
          <t>Perna viridis</t>
        </is>
      </c>
      <c r="L26" t="inlineStr">
        <is>
          <t>Green Mussel</t>
        </is>
      </c>
      <c r="M26" t="inlineStr">
        <is>
          <t>Molluscs</t>
        </is>
      </c>
      <c r="N26"/>
      <c r="O26"/>
      <c r="P26"/>
      <c r="Q26"/>
      <c r="R26"/>
      <c r="S26"/>
      <c r="T26"/>
      <c r="U26"/>
      <c r="V26" t="inlineStr">
        <is>
          <t>Renewal</t>
        </is>
      </c>
      <c r="W26" t="inlineStr">
        <is>
          <t>Salt water</t>
        </is>
      </c>
      <c r="X26" t="inlineStr">
        <is>
          <t>Lab</t>
        </is>
      </c>
      <c r="Y26" t="n">
        <v>6.0</v>
      </c>
      <c r="Z26" t="inlineStr">
        <is>
          <t>Active ingredient</t>
        </is>
      </c>
      <c r="AA26"/>
      <c r="AB26" t="n">
        <v>0.097</v>
      </c>
      <c r="AC26"/>
      <c r="AD26"/>
      <c r="AE26"/>
      <c r="AF26"/>
      <c r="AG26" t="inlineStr">
        <is>
          <t>AI mg/L</t>
        </is>
      </c>
      <c r="AH26"/>
      <c r="AI26"/>
      <c r="AJ26"/>
      <c r="AK26"/>
      <c r="AL26"/>
      <c r="AM26"/>
      <c r="AN26"/>
      <c r="AO26"/>
      <c r="AP26"/>
      <c r="AQ26"/>
      <c r="AR26"/>
      <c r="AS26"/>
      <c r="AT26"/>
      <c r="AU26"/>
      <c r="AV26"/>
      <c r="AW26"/>
      <c r="AX26" t="inlineStr">
        <is>
          <t>Accumulation</t>
        </is>
      </c>
      <c r="AY26" t="inlineStr">
        <is>
          <t>Residue</t>
        </is>
      </c>
      <c r="AZ26" t="inlineStr">
        <is>
          <t>BCFD</t>
        </is>
      </c>
      <c r="BA26" t="inlineStr">
        <is>
          <t>Tissue</t>
        </is>
      </c>
      <c r="BB26"/>
      <c r="BC26" t="n">
        <v>3.0</v>
      </c>
      <c r="BD26"/>
      <c r="BE26"/>
      <c r="BF26"/>
      <c r="BG26"/>
      <c r="BH26" t="inlineStr">
        <is>
          <t>Day(s)</t>
        </is>
      </c>
      <c r="BI26"/>
      <c r="BJ26"/>
      <c r="BK26" t="inlineStr">
        <is>
          <t>&gt;</t>
        </is>
      </c>
      <c r="BL26" t="n">
        <v>20.0</v>
      </c>
      <c r="BM26" t="inlineStr">
        <is>
          <t>&lt;</t>
        </is>
      </c>
      <c r="BN26" t="n">
        <v>40.0</v>
      </c>
      <c r="BO26" t="inlineStr">
        <is>
          <t>L/kg</t>
        </is>
      </c>
      <c r="BP26"/>
      <c r="BQ26"/>
      <c r="BR26"/>
      <c r="BS26"/>
      <c r="BT26"/>
      <c r="BU26"/>
      <c r="BV26"/>
      <c r="BW26"/>
      <c r="BX26"/>
      <c r="BY26"/>
      <c r="BZ26"/>
      <c r="CA26"/>
      <c r="CB26"/>
      <c r="CC26"/>
      <c r="CD26" t="inlineStr">
        <is>
          <t>Liu,C., V.W.C. Chang, K.Y.H. Gin, and V.T. Nguyen</t>
        </is>
      </c>
      <c r="CE26" t="n">
        <v>175715.0</v>
      </c>
      <c r="CF26" t="inlineStr">
        <is>
          <t>Genotoxicity of Perfluorinated Chemicals (PFCs) to the Green Mussel (Perna viridis)</t>
        </is>
      </c>
      <c r="CG26" t="inlineStr">
        <is>
          <t>Sci. Total Environ.487:117-122</t>
        </is>
      </c>
      <c r="CH26" t="n">
        <v>2014.0</v>
      </c>
      <c r="CI26" t="inlineStr">
        <is>
          <t>Liu,C., V.W.C. Chang, K.Y.H. Gin, and V.T. Nguyen (2014). Genotoxicity of Perfluorinated Chemicals (PFCs) to the Green Mussel (Perna viridis). Sci. Total Environ., 487, 117-122. doi:10.1016/j.scitotenv.2014.04.017. ECOREF#:175715</t>
        </is>
      </c>
    </row>
    <row r="27">
      <c r="A27" t="n">
        <v>375951.0</v>
      </c>
      <c r="B27" t="inlineStr">
        <is>
          <t>2,2,3,3,4,4,5,5,6,6,7,7,8,8,9,9,9-Heptadecafluorononanoic acid</t>
        </is>
      </c>
      <c r="C27"/>
      <c r="D27" t="inlineStr">
        <is>
          <t>Measured</t>
        </is>
      </c>
      <c r="E27"/>
      <c r="F27" t="n">
        <v>97.0</v>
      </c>
      <c r="G27"/>
      <c r="H27"/>
      <c r="I27"/>
      <c r="J27"/>
      <c r="K27" t="inlineStr">
        <is>
          <t>Perna viridis</t>
        </is>
      </c>
      <c r="L27" t="inlineStr">
        <is>
          <t>Green Mussel</t>
        </is>
      </c>
      <c r="M27" t="inlineStr">
        <is>
          <t>Molluscs</t>
        </is>
      </c>
      <c r="N27"/>
      <c r="O27"/>
      <c r="P27"/>
      <c r="Q27"/>
      <c r="R27"/>
      <c r="S27"/>
      <c r="T27"/>
      <c r="U27"/>
      <c r="V27" t="inlineStr">
        <is>
          <t>Renewal</t>
        </is>
      </c>
      <c r="W27" t="inlineStr">
        <is>
          <t>Salt water</t>
        </is>
      </c>
      <c r="X27" t="inlineStr">
        <is>
          <t>Lab</t>
        </is>
      </c>
      <c r="Y27" t="n">
        <v>6.0</v>
      </c>
      <c r="Z27" t="inlineStr">
        <is>
          <t>Active ingredient</t>
        </is>
      </c>
      <c r="AA27"/>
      <c r="AB27" t="n">
        <v>0.097</v>
      </c>
      <c r="AC27"/>
      <c r="AD27"/>
      <c r="AE27"/>
      <c r="AF27"/>
      <c r="AG27" t="inlineStr">
        <is>
          <t>AI mg/L</t>
        </is>
      </c>
      <c r="AH27"/>
      <c r="AI27"/>
      <c r="AJ27"/>
      <c r="AK27"/>
      <c r="AL27"/>
      <c r="AM27"/>
      <c r="AN27"/>
      <c r="AO27"/>
      <c r="AP27"/>
      <c r="AQ27"/>
      <c r="AR27"/>
      <c r="AS27"/>
      <c r="AT27"/>
      <c r="AU27"/>
      <c r="AV27"/>
      <c r="AW27"/>
      <c r="AX27" t="inlineStr">
        <is>
          <t>Accumulation</t>
        </is>
      </c>
      <c r="AY27" t="inlineStr">
        <is>
          <t>Residue</t>
        </is>
      </c>
      <c r="AZ27" t="inlineStr">
        <is>
          <t>BCFD</t>
        </is>
      </c>
      <c r="BA27" t="inlineStr">
        <is>
          <t>Tissue</t>
        </is>
      </c>
      <c r="BB27"/>
      <c r="BC27" t="n">
        <v>2.0</v>
      </c>
      <c r="BD27"/>
      <c r="BE27"/>
      <c r="BF27"/>
      <c r="BG27"/>
      <c r="BH27" t="inlineStr">
        <is>
          <t>Day(s)</t>
        </is>
      </c>
      <c r="BI27" t="inlineStr">
        <is>
          <t>~</t>
        </is>
      </c>
      <c r="BJ27" t="n">
        <v>20.0</v>
      </c>
      <c r="BK27"/>
      <c r="BL27"/>
      <c r="BM27"/>
      <c r="BN27"/>
      <c r="BO27" t="inlineStr">
        <is>
          <t>L/kg</t>
        </is>
      </c>
      <c r="BP27"/>
      <c r="BQ27"/>
      <c r="BR27"/>
      <c r="BS27"/>
      <c r="BT27"/>
      <c r="BU27"/>
      <c r="BV27"/>
      <c r="BW27"/>
      <c r="BX27"/>
      <c r="BY27"/>
      <c r="BZ27"/>
      <c r="CA27"/>
      <c r="CB27"/>
      <c r="CC27"/>
      <c r="CD27" t="inlineStr">
        <is>
          <t>Liu,C., V.W.C. Chang, K.Y.H. Gin, and V.T. Nguyen</t>
        </is>
      </c>
      <c r="CE27" t="n">
        <v>175715.0</v>
      </c>
      <c r="CF27" t="inlineStr">
        <is>
          <t>Genotoxicity of Perfluorinated Chemicals (PFCs) to the Green Mussel (Perna viridis)</t>
        </is>
      </c>
      <c r="CG27" t="inlineStr">
        <is>
          <t>Sci. Total Environ.487:117-122</t>
        </is>
      </c>
      <c r="CH27" t="n">
        <v>2014.0</v>
      </c>
      <c r="CI27" t="inlineStr">
        <is>
          <t>Liu,C., V.W.C. Chang, K.Y.H. Gin, and V.T. Nguyen (2014). Genotoxicity of Perfluorinated Chemicals (PFCs) to the Green Mussel (Perna viridis). Sci. Total Environ., 487, 117-122. doi:10.1016/j.scitotenv.2014.04.017. ECOREF#:175715</t>
        </is>
      </c>
    </row>
    <row r="28">
      <c r="A28" t="n">
        <v>375951.0</v>
      </c>
      <c r="B28" t="inlineStr">
        <is>
          <t>2,2,3,3,4,4,5,5,6,6,7,7,8,8,9,9,9-Heptadecafluorononanoic acid</t>
        </is>
      </c>
      <c r="C28"/>
      <c r="D28" t="inlineStr">
        <is>
          <t>Measured</t>
        </is>
      </c>
      <c r="E28"/>
      <c r="F28" t="n">
        <v>97.0</v>
      </c>
      <c r="G28"/>
      <c r="H28"/>
      <c r="I28"/>
      <c r="J28"/>
      <c r="K28" t="inlineStr">
        <is>
          <t>Perna viridis</t>
        </is>
      </c>
      <c r="L28" t="inlineStr">
        <is>
          <t>Green Mussel</t>
        </is>
      </c>
      <c r="M28" t="inlineStr">
        <is>
          <t>Molluscs</t>
        </is>
      </c>
      <c r="N28"/>
      <c r="O28"/>
      <c r="P28"/>
      <c r="Q28"/>
      <c r="R28"/>
      <c r="S28"/>
      <c r="T28"/>
      <c r="U28"/>
      <c r="V28" t="inlineStr">
        <is>
          <t>Renewal</t>
        </is>
      </c>
      <c r="W28" t="inlineStr">
        <is>
          <t>Salt water</t>
        </is>
      </c>
      <c r="X28" t="inlineStr">
        <is>
          <t>Lab</t>
        </is>
      </c>
      <c r="Y28" t="n">
        <v>6.0</v>
      </c>
      <c r="Z28" t="inlineStr">
        <is>
          <t>Active ingredient</t>
        </is>
      </c>
      <c r="AA28"/>
      <c r="AB28" t="n">
        <v>0.097</v>
      </c>
      <c r="AC28"/>
      <c r="AD28"/>
      <c r="AE28"/>
      <c r="AF28"/>
      <c r="AG28" t="inlineStr">
        <is>
          <t>AI mg/L</t>
        </is>
      </c>
      <c r="AH28"/>
      <c r="AI28"/>
      <c r="AJ28"/>
      <c r="AK28"/>
      <c r="AL28"/>
      <c r="AM28"/>
      <c r="AN28"/>
      <c r="AO28"/>
      <c r="AP28"/>
      <c r="AQ28"/>
      <c r="AR28"/>
      <c r="AS28"/>
      <c r="AT28"/>
      <c r="AU28"/>
      <c r="AV28"/>
      <c r="AW28"/>
      <c r="AX28" t="inlineStr">
        <is>
          <t>Accumulation</t>
        </is>
      </c>
      <c r="AY28" t="inlineStr">
        <is>
          <t>Residue</t>
        </is>
      </c>
      <c r="AZ28" t="inlineStr">
        <is>
          <t>BCFD</t>
        </is>
      </c>
      <c r="BA28" t="inlineStr">
        <is>
          <t>Tissue</t>
        </is>
      </c>
      <c r="BB28"/>
      <c r="BC28" t="n">
        <v>7.0</v>
      </c>
      <c r="BD28"/>
      <c r="BE28"/>
      <c r="BF28"/>
      <c r="BG28"/>
      <c r="BH28" t="inlineStr">
        <is>
          <t>Day(s)</t>
        </is>
      </c>
      <c r="BI28"/>
      <c r="BJ28"/>
      <c r="BK28" t="inlineStr">
        <is>
          <t>&gt;</t>
        </is>
      </c>
      <c r="BL28" t="n">
        <v>20.0</v>
      </c>
      <c r="BM28" t="inlineStr">
        <is>
          <t>&lt;</t>
        </is>
      </c>
      <c r="BN28" t="n">
        <v>40.0</v>
      </c>
      <c r="BO28" t="inlineStr">
        <is>
          <t>L/kg</t>
        </is>
      </c>
      <c r="BP28"/>
      <c r="BQ28"/>
      <c r="BR28"/>
      <c r="BS28"/>
      <c r="BT28"/>
      <c r="BU28"/>
      <c r="BV28"/>
      <c r="BW28"/>
      <c r="BX28"/>
      <c r="BY28"/>
      <c r="BZ28"/>
      <c r="CA28"/>
      <c r="CB28"/>
      <c r="CC28"/>
      <c r="CD28" t="inlineStr">
        <is>
          <t>Liu,C., V.W.C. Chang, K.Y.H. Gin, and V.T. Nguyen</t>
        </is>
      </c>
      <c r="CE28" t="n">
        <v>175715.0</v>
      </c>
      <c r="CF28" t="inlineStr">
        <is>
          <t>Genotoxicity of Perfluorinated Chemicals (PFCs) to the Green Mussel (Perna viridis)</t>
        </is>
      </c>
      <c r="CG28" t="inlineStr">
        <is>
          <t>Sci. Total Environ.487:117-122</t>
        </is>
      </c>
      <c r="CH28" t="n">
        <v>2014.0</v>
      </c>
      <c r="CI28" t="inlineStr">
        <is>
          <t>Liu,C., V.W.C. Chang, K.Y.H. Gin, and V.T. Nguyen (2014). Genotoxicity of Perfluorinated Chemicals (PFCs) to the Green Mussel (Perna viridis). Sci. Total Environ., 487, 117-122. doi:10.1016/j.scitotenv.2014.04.017. ECOREF#:175715</t>
        </is>
      </c>
    </row>
    <row r="29">
      <c r="A29" t="n">
        <v>375951.0</v>
      </c>
      <c r="B29" t="inlineStr">
        <is>
          <t>2,2,3,3,4,4,5,5,6,6,7,7,8,8,9,9,9-Heptadecafluorononanoic acid</t>
        </is>
      </c>
      <c r="C29"/>
      <c r="D29" t="inlineStr">
        <is>
          <t>Measured</t>
        </is>
      </c>
      <c r="E29"/>
      <c r="F29" t="n">
        <v>97.0</v>
      </c>
      <c r="G29"/>
      <c r="H29"/>
      <c r="I29"/>
      <c r="J29"/>
      <c r="K29" t="inlineStr">
        <is>
          <t>Perna viridis</t>
        </is>
      </c>
      <c r="L29" t="inlineStr">
        <is>
          <t>Green Mussel</t>
        </is>
      </c>
      <c r="M29" t="inlineStr">
        <is>
          <t>Molluscs</t>
        </is>
      </c>
      <c r="N29"/>
      <c r="O29"/>
      <c r="P29"/>
      <c r="Q29"/>
      <c r="R29"/>
      <c r="S29"/>
      <c r="T29"/>
      <c r="U29"/>
      <c r="V29" t="inlineStr">
        <is>
          <t>Renewal</t>
        </is>
      </c>
      <c r="W29" t="inlineStr">
        <is>
          <t>Salt water</t>
        </is>
      </c>
      <c r="X29" t="inlineStr">
        <is>
          <t>Lab</t>
        </is>
      </c>
      <c r="Y29" t="n">
        <v>6.0</v>
      </c>
      <c r="Z29" t="inlineStr">
        <is>
          <t>Active ingredient</t>
        </is>
      </c>
      <c r="AA29"/>
      <c r="AB29" t="n">
        <v>0.097</v>
      </c>
      <c r="AC29"/>
      <c r="AD29"/>
      <c r="AE29"/>
      <c r="AF29"/>
      <c r="AG29" t="inlineStr">
        <is>
          <t>AI mg/L</t>
        </is>
      </c>
      <c r="AH29"/>
      <c r="AI29"/>
      <c r="AJ29"/>
      <c r="AK29"/>
      <c r="AL29"/>
      <c r="AM29"/>
      <c r="AN29"/>
      <c r="AO29"/>
      <c r="AP29"/>
      <c r="AQ29"/>
      <c r="AR29"/>
      <c r="AS29"/>
      <c r="AT29"/>
      <c r="AU29"/>
      <c r="AV29"/>
      <c r="AW29"/>
      <c r="AX29" t="inlineStr">
        <is>
          <t>Accumulation</t>
        </is>
      </c>
      <c r="AY29" t="inlineStr">
        <is>
          <t>Residue</t>
        </is>
      </c>
      <c r="AZ29" t="inlineStr">
        <is>
          <t>BCFD</t>
        </is>
      </c>
      <c r="BA29" t="inlineStr">
        <is>
          <t>Tissue</t>
        </is>
      </c>
      <c r="BB29"/>
      <c r="BC29" t="n">
        <v>5.0</v>
      </c>
      <c r="BD29"/>
      <c r="BE29"/>
      <c r="BF29"/>
      <c r="BG29"/>
      <c r="BH29" t="inlineStr">
        <is>
          <t>Day(s)</t>
        </is>
      </c>
      <c r="BI29"/>
      <c r="BJ29"/>
      <c r="BK29" t="inlineStr">
        <is>
          <t>&gt;</t>
        </is>
      </c>
      <c r="BL29" t="n">
        <v>20.0</v>
      </c>
      <c r="BM29" t="inlineStr">
        <is>
          <t>&lt;</t>
        </is>
      </c>
      <c r="BN29" t="n">
        <v>40.0</v>
      </c>
      <c r="BO29" t="inlineStr">
        <is>
          <t>L/kg</t>
        </is>
      </c>
      <c r="BP29"/>
      <c r="BQ29"/>
      <c r="BR29"/>
      <c r="BS29"/>
      <c r="BT29"/>
      <c r="BU29"/>
      <c r="BV29"/>
      <c r="BW29"/>
      <c r="BX29"/>
      <c r="BY29"/>
      <c r="BZ29"/>
      <c r="CA29"/>
      <c r="CB29"/>
      <c r="CC29"/>
      <c r="CD29" t="inlineStr">
        <is>
          <t>Liu,C., V.W.C. Chang, K.Y.H. Gin, and V.T. Nguyen</t>
        </is>
      </c>
      <c r="CE29" t="n">
        <v>175715.0</v>
      </c>
      <c r="CF29" t="inlineStr">
        <is>
          <t>Genotoxicity of Perfluorinated Chemicals (PFCs) to the Green Mussel (Perna viridis)</t>
        </is>
      </c>
      <c r="CG29" t="inlineStr">
        <is>
          <t>Sci. Total Environ.487:117-122</t>
        </is>
      </c>
      <c r="CH29" t="n">
        <v>2014.0</v>
      </c>
      <c r="CI29" t="inlineStr">
        <is>
          <t>Liu,C., V.W.C. Chang, K.Y.H. Gin, and V.T. Nguyen (2014). Genotoxicity of Perfluorinated Chemicals (PFCs) to the Green Mussel (Perna viridis). Sci. Total Environ., 487, 117-122. doi:10.1016/j.scitotenv.2014.04.017. ECOREF#:175715</t>
        </is>
      </c>
    </row>
    <row r="30">
      <c r="A30" t="n">
        <v>375951.0</v>
      </c>
      <c r="B30" t="inlineStr">
        <is>
          <t>2,2,3,3,4,4,5,5,6,6,7,7,8,8,9,9,9-Heptadecafluorononanoic acid</t>
        </is>
      </c>
      <c r="C30"/>
      <c r="D30" t="inlineStr">
        <is>
          <t>Measured</t>
        </is>
      </c>
      <c r="E30"/>
      <c r="F30" t="n">
        <v>97.0</v>
      </c>
      <c r="G30"/>
      <c r="H30"/>
      <c r="I30"/>
      <c r="J30"/>
      <c r="K30" t="inlineStr">
        <is>
          <t>Perna viridis</t>
        </is>
      </c>
      <c r="L30" t="inlineStr">
        <is>
          <t>Green Mussel</t>
        </is>
      </c>
      <c r="M30" t="inlineStr">
        <is>
          <t>Molluscs</t>
        </is>
      </c>
      <c r="N30"/>
      <c r="O30"/>
      <c r="P30"/>
      <c r="Q30"/>
      <c r="R30"/>
      <c r="S30"/>
      <c r="T30"/>
      <c r="U30"/>
      <c r="V30" t="inlineStr">
        <is>
          <t>Renewal</t>
        </is>
      </c>
      <c r="W30" t="inlineStr">
        <is>
          <t>Salt water</t>
        </is>
      </c>
      <c r="X30" t="inlineStr">
        <is>
          <t>Lab</t>
        </is>
      </c>
      <c r="Y30" t="n">
        <v>6.0</v>
      </c>
      <c r="Z30" t="inlineStr">
        <is>
          <t>Active ingredient</t>
        </is>
      </c>
      <c r="AA30"/>
      <c r="AB30" t="n">
        <v>0.097</v>
      </c>
      <c r="AC30"/>
      <c r="AD30"/>
      <c r="AE30"/>
      <c r="AF30"/>
      <c r="AG30" t="inlineStr">
        <is>
          <t>AI mg/L</t>
        </is>
      </c>
      <c r="AH30"/>
      <c r="AI30"/>
      <c r="AJ30"/>
      <c r="AK30"/>
      <c r="AL30"/>
      <c r="AM30"/>
      <c r="AN30"/>
      <c r="AO30"/>
      <c r="AP30"/>
      <c r="AQ30"/>
      <c r="AR30"/>
      <c r="AS30"/>
      <c r="AT30"/>
      <c r="AU30"/>
      <c r="AV30"/>
      <c r="AW30"/>
      <c r="AX30" t="inlineStr">
        <is>
          <t>Accumulation</t>
        </is>
      </c>
      <c r="AY30" t="inlineStr">
        <is>
          <t>Residue</t>
        </is>
      </c>
      <c r="AZ30" t="inlineStr">
        <is>
          <t>BCFD</t>
        </is>
      </c>
      <c r="BA30" t="inlineStr">
        <is>
          <t>Tissue</t>
        </is>
      </c>
      <c r="BB30"/>
      <c r="BC30" t="n">
        <v>6.0</v>
      </c>
      <c r="BD30"/>
      <c r="BE30"/>
      <c r="BF30"/>
      <c r="BG30"/>
      <c r="BH30" t="inlineStr">
        <is>
          <t>Day(s)</t>
        </is>
      </c>
      <c r="BI30"/>
      <c r="BJ30"/>
      <c r="BK30" t="inlineStr">
        <is>
          <t>&gt;</t>
        </is>
      </c>
      <c r="BL30" t="n">
        <v>20.0</v>
      </c>
      <c r="BM30" t="inlineStr">
        <is>
          <t>&lt;</t>
        </is>
      </c>
      <c r="BN30" t="n">
        <v>40.0</v>
      </c>
      <c r="BO30" t="inlineStr">
        <is>
          <t>L/kg</t>
        </is>
      </c>
      <c r="BP30"/>
      <c r="BQ30"/>
      <c r="BR30"/>
      <c r="BS30"/>
      <c r="BT30"/>
      <c r="BU30"/>
      <c r="BV30"/>
      <c r="BW30"/>
      <c r="BX30"/>
      <c r="BY30"/>
      <c r="BZ30"/>
      <c r="CA30"/>
      <c r="CB30"/>
      <c r="CC30"/>
      <c r="CD30" t="inlineStr">
        <is>
          <t>Liu,C., V.W.C. Chang, K.Y.H. Gin, and V.T. Nguyen</t>
        </is>
      </c>
      <c r="CE30" t="n">
        <v>175715.0</v>
      </c>
      <c r="CF30" t="inlineStr">
        <is>
          <t>Genotoxicity of Perfluorinated Chemicals (PFCs) to the Green Mussel (Perna viridis)</t>
        </is>
      </c>
      <c r="CG30" t="inlineStr">
        <is>
          <t>Sci. Total Environ.487:117-122</t>
        </is>
      </c>
      <c r="CH30" t="n">
        <v>2014.0</v>
      </c>
      <c r="CI30" t="inlineStr">
        <is>
          <t>Liu,C., V.W.C. Chang, K.Y.H. Gin, and V.T. Nguyen (2014). Genotoxicity of Perfluorinated Chemicals (PFCs) to the Green Mussel (Perna viridis). Sci. Total Environ., 487, 117-122. doi:10.1016/j.scitotenv.2014.04.017. ECOREF#:175715</t>
        </is>
      </c>
    </row>
    <row r="31">
      <c r="A31" t="n">
        <v>375951.0</v>
      </c>
      <c r="B31" t="inlineStr">
        <is>
          <t>2,2,3,3,4,4,5,5,6,6,7,7,8,8,9,9,9-Heptadecafluorononanoic acid</t>
        </is>
      </c>
      <c r="C31"/>
      <c r="D31" t="inlineStr">
        <is>
          <t>Measured</t>
        </is>
      </c>
      <c r="E31"/>
      <c r="F31" t="n">
        <v>97.0</v>
      </c>
      <c r="G31"/>
      <c r="H31"/>
      <c r="I31"/>
      <c r="J31"/>
      <c r="K31" t="inlineStr">
        <is>
          <t>Perna viridis</t>
        </is>
      </c>
      <c r="L31" t="inlineStr">
        <is>
          <t>Green Mussel</t>
        </is>
      </c>
      <c r="M31" t="inlineStr">
        <is>
          <t>Molluscs</t>
        </is>
      </c>
      <c r="N31"/>
      <c r="O31"/>
      <c r="P31"/>
      <c r="Q31"/>
      <c r="R31"/>
      <c r="S31"/>
      <c r="T31"/>
      <c r="U31"/>
      <c r="V31" t="inlineStr">
        <is>
          <t>Renewal</t>
        </is>
      </c>
      <c r="W31" t="inlineStr">
        <is>
          <t>Salt water</t>
        </is>
      </c>
      <c r="X31" t="inlineStr">
        <is>
          <t>Lab</t>
        </is>
      </c>
      <c r="Y31" t="n">
        <v>6.0</v>
      </c>
      <c r="Z31" t="inlineStr">
        <is>
          <t>Active ingredient</t>
        </is>
      </c>
      <c r="AA31"/>
      <c r="AB31" t="n">
        <v>0.097</v>
      </c>
      <c r="AC31"/>
      <c r="AD31"/>
      <c r="AE31"/>
      <c r="AF31"/>
      <c r="AG31" t="inlineStr">
        <is>
          <t>AI mg/L</t>
        </is>
      </c>
      <c r="AH31"/>
      <c r="AI31"/>
      <c r="AJ31"/>
      <c r="AK31"/>
      <c r="AL31"/>
      <c r="AM31"/>
      <c r="AN31"/>
      <c r="AO31"/>
      <c r="AP31"/>
      <c r="AQ31"/>
      <c r="AR31"/>
      <c r="AS31"/>
      <c r="AT31"/>
      <c r="AU31"/>
      <c r="AV31"/>
      <c r="AW31"/>
      <c r="AX31" t="inlineStr">
        <is>
          <t>Accumulation</t>
        </is>
      </c>
      <c r="AY31" t="inlineStr">
        <is>
          <t>Residue</t>
        </is>
      </c>
      <c r="AZ31" t="inlineStr">
        <is>
          <t>BCFD</t>
        </is>
      </c>
      <c r="BA31" t="inlineStr">
        <is>
          <t>Tissue</t>
        </is>
      </c>
      <c r="BB31"/>
      <c r="BC31" t="n">
        <v>4.0</v>
      </c>
      <c r="BD31"/>
      <c r="BE31"/>
      <c r="BF31"/>
      <c r="BG31"/>
      <c r="BH31" t="inlineStr">
        <is>
          <t>Day(s)</t>
        </is>
      </c>
      <c r="BI31"/>
      <c r="BJ31"/>
      <c r="BK31" t="inlineStr">
        <is>
          <t>&gt;</t>
        </is>
      </c>
      <c r="BL31" t="n">
        <v>20.0</v>
      </c>
      <c r="BM31" t="inlineStr">
        <is>
          <t>&lt;</t>
        </is>
      </c>
      <c r="BN31" t="n">
        <v>40.0</v>
      </c>
      <c r="BO31" t="inlineStr">
        <is>
          <t>L/kg</t>
        </is>
      </c>
      <c r="BP31"/>
      <c r="BQ31"/>
      <c r="BR31"/>
      <c r="BS31"/>
      <c r="BT31"/>
      <c r="BU31"/>
      <c r="BV31"/>
      <c r="BW31"/>
      <c r="BX31"/>
      <c r="BY31"/>
      <c r="BZ31"/>
      <c r="CA31"/>
      <c r="CB31"/>
      <c r="CC31"/>
      <c r="CD31" t="inlineStr">
        <is>
          <t>Liu,C., V.W.C. Chang, K.Y.H. Gin, and V.T. Nguyen</t>
        </is>
      </c>
      <c r="CE31" t="n">
        <v>175715.0</v>
      </c>
      <c r="CF31" t="inlineStr">
        <is>
          <t>Genotoxicity of Perfluorinated Chemicals (PFCs) to the Green Mussel (Perna viridis)</t>
        </is>
      </c>
      <c r="CG31" t="inlineStr">
        <is>
          <t>Sci. Total Environ.487:117-122</t>
        </is>
      </c>
      <c r="CH31" t="n">
        <v>2014.0</v>
      </c>
      <c r="CI31" t="inlineStr">
        <is>
          <t>Liu,C., V.W.C. Chang, K.Y.H. Gin, and V.T. Nguyen (2014). Genotoxicity of Perfluorinated Chemicals (PFCs) to the Green Mussel (Perna viridis). Sci. Total Environ., 487, 117-122. doi:10.1016/j.scitotenv.2014.04.017. ECOREF#:175715</t>
        </is>
      </c>
    </row>
    <row r="32">
      <c r="A32" t="n">
        <v>375951.0</v>
      </c>
      <c r="B32" t="inlineStr">
        <is>
          <t>2,2,3,3,4,4,5,5,6,6,7,7,8,8,9,9,9-Heptadecafluorononanoic acid</t>
        </is>
      </c>
      <c r="C32"/>
      <c r="D32" t="inlineStr">
        <is>
          <t>Unmeasured</t>
        </is>
      </c>
      <c r="E32"/>
      <c r="F32" t="n">
        <v>99.2</v>
      </c>
      <c r="G32"/>
      <c r="H32"/>
      <c r="I32"/>
      <c r="J32"/>
      <c r="K32" t="inlineStr">
        <is>
          <t>Mytilus californianus</t>
        </is>
      </c>
      <c r="L32" t="inlineStr">
        <is>
          <t>Mussel</t>
        </is>
      </c>
      <c r="M32" t="inlineStr">
        <is>
          <t>Molluscs</t>
        </is>
      </c>
      <c r="N32"/>
      <c r="O32"/>
      <c r="P32"/>
      <c r="Q32"/>
      <c r="R32"/>
      <c r="S32"/>
      <c r="T32"/>
      <c r="U32"/>
      <c r="V32" t="inlineStr">
        <is>
          <t>Static</t>
        </is>
      </c>
      <c r="W32" t="inlineStr">
        <is>
          <t>Salt water</t>
        </is>
      </c>
      <c r="X32" t="inlineStr">
        <is>
          <t>Lab</t>
        </is>
      </c>
      <c r="Y32" t="n">
        <v>2.0</v>
      </c>
      <c r="Z32" t="inlineStr">
        <is>
          <t>Active ingredient</t>
        </is>
      </c>
      <c r="AA32"/>
      <c r="AB32" t="n">
        <v>0.04640786</v>
      </c>
      <c r="AC32"/>
      <c r="AD32"/>
      <c r="AE32"/>
      <c r="AF32"/>
      <c r="AG32" t="inlineStr">
        <is>
          <t>AI mg/L</t>
        </is>
      </c>
      <c r="AH32"/>
      <c r="AI32"/>
      <c r="AJ32"/>
      <c r="AK32"/>
      <c r="AL32"/>
      <c r="AM32"/>
      <c r="AN32"/>
      <c r="AO32"/>
      <c r="AP32"/>
      <c r="AQ32"/>
      <c r="AR32"/>
      <c r="AS32"/>
      <c r="AT32"/>
      <c r="AU32"/>
      <c r="AV32"/>
      <c r="AW32"/>
      <c r="AX32" t="inlineStr">
        <is>
          <t>Accumulation</t>
        </is>
      </c>
      <c r="AY32" t="inlineStr">
        <is>
          <t>Residue</t>
        </is>
      </c>
      <c r="AZ32"/>
      <c r="BA32" t="inlineStr">
        <is>
          <t>Gill(s)</t>
        </is>
      </c>
      <c r="BB32"/>
      <c r="BC32" t="n">
        <v>0.0417</v>
      </c>
      <c r="BD32"/>
      <c r="BE32"/>
      <c r="BF32"/>
      <c r="BG32"/>
      <c r="BH32" t="inlineStr">
        <is>
          <t>Day(s)</t>
        </is>
      </c>
      <c r="BI32"/>
      <c r="BJ32"/>
      <c r="BK32"/>
      <c r="BL32"/>
      <c r="BM32"/>
      <c r="BN32"/>
      <c r="BO32" t="inlineStr">
        <is>
          <t>--</t>
        </is>
      </c>
      <c r="BP32"/>
      <c r="BQ32"/>
      <c r="BR32"/>
      <c r="BS32"/>
      <c r="BT32"/>
      <c r="BU32"/>
      <c r="BV32"/>
      <c r="BW32"/>
      <c r="BX32"/>
      <c r="BY32"/>
      <c r="BZ32"/>
      <c r="CA32"/>
      <c r="CB32"/>
      <c r="CC32"/>
      <c r="CD32" t="inlineStr">
        <is>
          <t>Stevenson,C.N., L.A. MacManus-Spencer, T. Luckenbach, R.G. Luthy, and D. Epel</t>
        </is>
      </c>
      <c r="CE32" t="n">
        <v>175712.0</v>
      </c>
      <c r="CF32" t="inlineStr">
        <is>
          <t>New Perspectives on Perfluorochemical Ecotoxicology: Inhibition and Induction of an Efflux Transporter in the Marine Mussel, Mytilus californianus</t>
        </is>
      </c>
      <c r="CG32" t="inlineStr">
        <is>
          <t>Environ. Sci. Technol.40(17): 5580-5585</t>
        </is>
      </c>
      <c r="CH32" t="n">
        <v>2006.0</v>
      </c>
      <c r="CI32"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33">
      <c r="A33" t="n">
        <v>375951.0</v>
      </c>
      <c r="B33" t="inlineStr">
        <is>
          <t>2,2,3,3,4,4,5,5,6,6,7,7,8,8,9,9,9-Heptadecafluorononanoic acid</t>
        </is>
      </c>
      <c r="C33"/>
      <c r="D33" t="inlineStr">
        <is>
          <t>Measured</t>
        </is>
      </c>
      <c r="E33"/>
      <c r="F33" t="n">
        <v>97.0</v>
      </c>
      <c r="G33"/>
      <c r="H33"/>
      <c r="I33"/>
      <c r="J33"/>
      <c r="K33" t="inlineStr">
        <is>
          <t>Perna viridis</t>
        </is>
      </c>
      <c r="L33" t="inlineStr">
        <is>
          <t>Green Mussel</t>
        </is>
      </c>
      <c r="M33" t="inlineStr">
        <is>
          <t>Molluscs</t>
        </is>
      </c>
      <c r="N33"/>
      <c r="O33"/>
      <c r="P33"/>
      <c r="Q33"/>
      <c r="R33"/>
      <c r="S33"/>
      <c r="T33"/>
      <c r="U33"/>
      <c r="V33" t="inlineStr">
        <is>
          <t>Renewal</t>
        </is>
      </c>
      <c r="W33" t="inlineStr">
        <is>
          <t>Salt water</t>
        </is>
      </c>
      <c r="X33" t="inlineStr">
        <is>
          <t>Lab</t>
        </is>
      </c>
      <c r="Y33" t="n">
        <v>7.0</v>
      </c>
      <c r="Z33" t="inlineStr">
        <is>
          <t>Active ingredient</t>
        </is>
      </c>
      <c r="AA33"/>
      <c r="AB33"/>
      <c r="AC33"/>
      <c r="AD33" t="n">
        <v>1.1E-4</v>
      </c>
      <c r="AE33"/>
      <c r="AF33" t="n">
        <v>9.777</v>
      </c>
      <c r="AG33" t="inlineStr">
        <is>
          <t>AI mg/L</t>
        </is>
      </c>
      <c r="AH33"/>
      <c r="AI33"/>
      <c r="AJ33"/>
      <c r="AK33"/>
      <c r="AL33"/>
      <c r="AM33"/>
      <c r="AN33"/>
      <c r="AO33"/>
      <c r="AP33"/>
      <c r="AQ33"/>
      <c r="AR33"/>
      <c r="AS33"/>
      <c r="AT33"/>
      <c r="AU33"/>
      <c r="AV33"/>
      <c r="AW33"/>
      <c r="AX33" t="inlineStr">
        <is>
          <t>Accumulation</t>
        </is>
      </c>
      <c r="AY33" t="inlineStr">
        <is>
          <t>Residue</t>
        </is>
      </c>
      <c r="AZ33"/>
      <c r="BA33" t="inlineStr">
        <is>
          <t>Soft tissue</t>
        </is>
      </c>
      <c r="BB33"/>
      <c r="BC33" t="n">
        <v>7.0</v>
      </c>
      <c r="BD33"/>
      <c r="BE33"/>
      <c r="BF33"/>
      <c r="BG33"/>
      <c r="BH33" t="inlineStr">
        <is>
          <t>Day(s)</t>
        </is>
      </c>
      <c r="BI33"/>
      <c r="BJ33"/>
      <c r="BK33"/>
      <c r="BL33"/>
      <c r="BM33"/>
      <c r="BN33"/>
      <c r="BO33" t="inlineStr">
        <is>
          <t>--</t>
        </is>
      </c>
      <c r="BP33"/>
      <c r="BQ33"/>
      <c r="BR33"/>
      <c r="BS33"/>
      <c r="BT33"/>
      <c r="BU33"/>
      <c r="BV33"/>
      <c r="BW33"/>
      <c r="BX33"/>
      <c r="BY33"/>
      <c r="BZ33"/>
      <c r="CA33"/>
      <c r="CB33"/>
      <c r="CC33"/>
      <c r="CD33" t="inlineStr">
        <is>
          <t>Liu,C., V.W.C. Chang, and K.Y.H. Gin</t>
        </is>
      </c>
      <c r="CE33" t="n">
        <v>175762.0</v>
      </c>
      <c r="CF33" t="inlineStr">
        <is>
          <t>Oxidative Toxicity of Perfluorinated Chemicals in Green Mussel and Bioaccumulation Factor Dependent Quantitative Structure-Activity Relationship</t>
        </is>
      </c>
      <c r="CG33" t="inlineStr">
        <is>
          <t>Environ. Toxicol. Chem.33(10): 2323-2332</t>
        </is>
      </c>
      <c r="CH33" t="n">
        <v>2014.0</v>
      </c>
      <c r="CI33" t="inlineStr">
        <is>
          <t>Liu,C., V.W.C. Chang, and K.Y.H. Gin (2014). Oxidative Toxicity of Perfluorinated Chemicals in Green Mussel and Bioaccumulation Factor Dependent Quantitative Structure-Activity Relationship. Environ. Toxicol. Chem., 33, (10), 2323-2332. doi:10.1002/etc.2679. ECOREF#:175762</t>
        </is>
      </c>
    </row>
    <row r="34">
      <c r="A34" t="n">
        <v>375951.0</v>
      </c>
      <c r="B34" t="inlineStr">
        <is>
          <t>2,2,3,3,4,4,5,5,6,6,7,7,8,8,9,9,9-Heptadecafluorononanoic acid</t>
        </is>
      </c>
      <c r="C34"/>
      <c r="D34" t="inlineStr">
        <is>
          <t>Measured</t>
        </is>
      </c>
      <c r="E34"/>
      <c r="F34" t="n">
        <v>97.0</v>
      </c>
      <c r="G34"/>
      <c r="H34"/>
      <c r="I34"/>
      <c r="J34"/>
      <c r="K34" t="inlineStr">
        <is>
          <t>Mytilus viridis</t>
        </is>
      </c>
      <c r="L34" t="inlineStr">
        <is>
          <t>Green Mussel</t>
        </is>
      </c>
      <c r="M34" t="inlineStr">
        <is>
          <t>Molluscs</t>
        </is>
      </c>
      <c r="N34"/>
      <c r="O34"/>
      <c r="P34"/>
      <c r="Q34"/>
      <c r="R34"/>
      <c r="S34"/>
      <c r="T34"/>
      <c r="U34"/>
      <c r="V34" t="inlineStr">
        <is>
          <t>Renewal</t>
        </is>
      </c>
      <c r="W34" t="inlineStr">
        <is>
          <t>Salt water</t>
        </is>
      </c>
      <c r="X34" t="inlineStr">
        <is>
          <t>Lab</t>
        </is>
      </c>
      <c r="Y34" t="n">
        <v>6.0</v>
      </c>
      <c r="Z34" t="inlineStr">
        <is>
          <t>Active ingredient</t>
        </is>
      </c>
      <c r="AA34"/>
      <c r="AB34"/>
      <c r="AC34"/>
      <c r="AD34" t="n">
        <v>1.1E-4</v>
      </c>
      <c r="AE34"/>
      <c r="AF34" t="n">
        <v>1.072</v>
      </c>
      <c r="AG34" t="inlineStr">
        <is>
          <t>AI mg/L</t>
        </is>
      </c>
      <c r="AH34"/>
      <c r="AI34"/>
      <c r="AJ34"/>
      <c r="AK34"/>
      <c r="AL34"/>
      <c r="AM34"/>
      <c r="AN34"/>
      <c r="AO34"/>
      <c r="AP34"/>
      <c r="AQ34"/>
      <c r="AR34"/>
      <c r="AS34"/>
      <c r="AT34"/>
      <c r="AU34"/>
      <c r="AV34"/>
      <c r="AW34"/>
      <c r="AX34" t="inlineStr">
        <is>
          <t>Accumulation</t>
        </is>
      </c>
      <c r="AY34" t="inlineStr">
        <is>
          <t>Residue</t>
        </is>
      </c>
      <c r="AZ34"/>
      <c r="BA34" t="inlineStr">
        <is>
          <t>Whole organism</t>
        </is>
      </c>
      <c r="BB34"/>
      <c r="BC34" t="n">
        <v>14.0</v>
      </c>
      <c r="BD34"/>
      <c r="BE34"/>
      <c r="BF34"/>
      <c r="BG34"/>
      <c r="BH34" t="inlineStr">
        <is>
          <t>Day(s)</t>
        </is>
      </c>
      <c r="BI34"/>
      <c r="BJ34"/>
      <c r="BK34"/>
      <c r="BL34"/>
      <c r="BM34"/>
      <c r="BN34"/>
      <c r="BO34" t="inlineStr">
        <is>
          <t>--</t>
        </is>
      </c>
      <c r="BP34"/>
      <c r="BQ34"/>
      <c r="BR34"/>
      <c r="BS34"/>
      <c r="BT34"/>
      <c r="BU34"/>
      <c r="BV34"/>
      <c r="BW34"/>
      <c r="BX34"/>
      <c r="BY34"/>
      <c r="BZ34"/>
      <c r="CA34"/>
      <c r="CB34"/>
      <c r="CC34"/>
      <c r="CD34" t="inlineStr">
        <is>
          <t>Liu,C., and K.Y. Gin</t>
        </is>
      </c>
      <c r="CE34" t="n">
        <v>177106.0</v>
      </c>
      <c r="CF34" t="inlineStr">
        <is>
          <t>Immunotoxicity in Green Mussels Under Perfluoroalkyl Substance (PFAS) Exposure: Reversible Response and Response Model Development</t>
        </is>
      </c>
      <c r="CG34" t="inlineStr">
        <is>
          <t>Environ. Toxicol. Chem.37(4): 1138-1145</t>
        </is>
      </c>
      <c r="CH34" t="n">
        <v>2018.0</v>
      </c>
      <c r="CI34" t="inlineStr">
        <is>
          <t>Liu,C., and K.Y. Gin (2018). Immunotoxicity in Green Mussels Under Perfluoroalkyl Substance (PFAS) Exposure: Reversible Response and Response Model Development. Environ. Toxicol. Chem., 37, (4), 1138-1145. doi:10.1002/etc.4060. ECOREF#:177106</t>
        </is>
      </c>
    </row>
    <row r="35">
      <c r="A35" t="n">
        <v>375951.0</v>
      </c>
      <c r="B35" t="inlineStr">
        <is>
          <t>2,2,3,3,4,4,5,5,6,6,7,7,8,8,9,9,9-Heptadecafluorononanoic acid</t>
        </is>
      </c>
      <c r="C35"/>
      <c r="D35" t="inlineStr">
        <is>
          <t>Unmeasured</t>
        </is>
      </c>
      <c r="E35"/>
      <c r="F35" t="n">
        <v>99.2</v>
      </c>
      <c r="G35"/>
      <c r="H35"/>
      <c r="I35"/>
      <c r="J35"/>
      <c r="K35" t="inlineStr">
        <is>
          <t>Mytilus californianus</t>
        </is>
      </c>
      <c r="L35" t="inlineStr">
        <is>
          <t>Mussel</t>
        </is>
      </c>
      <c r="M35" t="inlineStr">
        <is>
          <t>Molluscs</t>
        </is>
      </c>
      <c r="N35"/>
      <c r="O35"/>
      <c r="P35"/>
      <c r="Q35"/>
      <c r="R35"/>
      <c r="S35"/>
      <c r="T35"/>
      <c r="U35"/>
      <c r="V35" t="inlineStr">
        <is>
          <t>Static</t>
        </is>
      </c>
      <c r="W35" t="inlineStr">
        <is>
          <t>Salt water</t>
        </is>
      </c>
      <c r="X35" t="inlineStr">
        <is>
          <t>Lab</t>
        </is>
      </c>
      <c r="Y35" t="n">
        <v>1.0</v>
      </c>
      <c r="Z35" t="inlineStr">
        <is>
          <t>Active ingredient</t>
        </is>
      </c>
      <c r="AA35"/>
      <c r="AB35" t="n">
        <v>0.04640786</v>
      </c>
      <c r="AC35"/>
      <c r="AD35"/>
      <c r="AE35"/>
      <c r="AF35"/>
      <c r="AG35" t="inlineStr">
        <is>
          <t>AI mg/L</t>
        </is>
      </c>
      <c r="AH35"/>
      <c r="AI35"/>
      <c r="AJ35"/>
      <c r="AK35"/>
      <c r="AL35"/>
      <c r="AM35"/>
      <c r="AN35"/>
      <c r="AO35"/>
      <c r="AP35"/>
      <c r="AQ35"/>
      <c r="AR35"/>
      <c r="AS35"/>
      <c r="AT35"/>
      <c r="AU35"/>
      <c r="AV35"/>
      <c r="AW35"/>
      <c r="AX35" t="inlineStr">
        <is>
          <t>Accumulation</t>
        </is>
      </c>
      <c r="AY35" t="inlineStr">
        <is>
          <t>Residue</t>
        </is>
      </c>
      <c r="AZ35"/>
      <c r="BA35" t="inlineStr">
        <is>
          <t>Gill(s)</t>
        </is>
      </c>
      <c r="BB35"/>
      <c r="BC35" t="n">
        <v>0.0417</v>
      </c>
      <c r="BD35"/>
      <c r="BE35"/>
      <c r="BF35"/>
      <c r="BG35"/>
      <c r="BH35" t="inlineStr">
        <is>
          <t>Day(s)</t>
        </is>
      </c>
      <c r="BI35"/>
      <c r="BJ35"/>
      <c r="BK35"/>
      <c r="BL35"/>
      <c r="BM35"/>
      <c r="BN35"/>
      <c r="BO35" t="inlineStr">
        <is>
          <t>--</t>
        </is>
      </c>
      <c r="BP35"/>
      <c r="BQ35"/>
      <c r="BR35"/>
      <c r="BS35"/>
      <c r="BT35"/>
      <c r="BU35"/>
      <c r="BV35"/>
      <c r="BW35"/>
      <c r="BX35"/>
      <c r="BY35"/>
      <c r="BZ35"/>
      <c r="CA35"/>
      <c r="CB35"/>
      <c r="CC35"/>
      <c r="CD35" t="inlineStr">
        <is>
          <t>Stevenson,C.N., L.A. MacManus-Spencer, T. Luckenbach, R.G. Luthy, and D. Epel</t>
        </is>
      </c>
      <c r="CE35" t="n">
        <v>175712.0</v>
      </c>
      <c r="CF35" t="inlineStr">
        <is>
          <t>New Perspectives on Perfluorochemical Ecotoxicology: Inhibition and Induction of an Efflux Transporter in the Marine Mussel, Mytilus californianus</t>
        </is>
      </c>
      <c r="CG35" t="inlineStr">
        <is>
          <t>Environ. Sci. Technol.40(17): 5580-5585</t>
        </is>
      </c>
      <c r="CH35" t="n">
        <v>2006.0</v>
      </c>
      <c r="CI35"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36">
      <c r="A36" t="n">
        <v>375951.0</v>
      </c>
      <c r="B36" t="inlineStr">
        <is>
          <t>2,2,3,3,4,4,5,5,6,6,7,7,8,8,9,9,9-Heptadecafluorononanoic acid</t>
        </is>
      </c>
      <c r="C36"/>
      <c r="D36" t="inlineStr">
        <is>
          <t>Measured</t>
        </is>
      </c>
      <c r="E36"/>
      <c r="F36" t="n">
        <v>97.0</v>
      </c>
      <c r="G36"/>
      <c r="H36"/>
      <c r="I36"/>
      <c r="J36"/>
      <c r="K36" t="inlineStr">
        <is>
          <t>Perna viridis</t>
        </is>
      </c>
      <c r="L36" t="inlineStr">
        <is>
          <t>Green Mussel</t>
        </is>
      </c>
      <c r="M36" t="inlineStr">
        <is>
          <t>Molluscs</t>
        </is>
      </c>
      <c r="N36"/>
      <c r="O36"/>
      <c r="P36"/>
      <c r="Q36"/>
      <c r="R36"/>
      <c r="S36"/>
      <c r="T36"/>
      <c r="U36"/>
      <c r="V36" t="inlineStr">
        <is>
          <t>Renewal</t>
        </is>
      </c>
      <c r="W36" t="inlineStr">
        <is>
          <t>Salt water</t>
        </is>
      </c>
      <c r="X36" t="inlineStr">
        <is>
          <t>Lab</t>
        </is>
      </c>
      <c r="Y36" t="n">
        <v>6.0</v>
      </c>
      <c r="Z36" t="inlineStr">
        <is>
          <t>Active ingredient</t>
        </is>
      </c>
      <c r="AA36"/>
      <c r="AB36"/>
      <c r="AC36"/>
      <c r="AD36" t="n">
        <v>1.1E-4</v>
      </c>
      <c r="AE36"/>
      <c r="AF36" t="n">
        <v>1.072</v>
      </c>
      <c r="AG36" t="inlineStr">
        <is>
          <t>AI mg/L</t>
        </is>
      </c>
      <c r="AH36"/>
      <c r="AI36"/>
      <c r="AJ36"/>
      <c r="AK36"/>
      <c r="AL36"/>
      <c r="AM36"/>
      <c r="AN36"/>
      <c r="AO36"/>
      <c r="AP36"/>
      <c r="AQ36"/>
      <c r="AR36"/>
      <c r="AS36"/>
      <c r="AT36"/>
      <c r="AU36"/>
      <c r="AV36"/>
      <c r="AW36"/>
      <c r="AX36" t="inlineStr">
        <is>
          <t>Accumulation</t>
        </is>
      </c>
      <c r="AY36" t="inlineStr">
        <is>
          <t>Residue</t>
        </is>
      </c>
      <c r="AZ36"/>
      <c r="BA36" t="inlineStr">
        <is>
          <t>Tissue</t>
        </is>
      </c>
      <c r="BB36"/>
      <c r="BC36" t="n">
        <v>7.0</v>
      </c>
      <c r="BD36"/>
      <c r="BE36"/>
      <c r="BF36"/>
      <c r="BG36"/>
      <c r="BH36" t="inlineStr">
        <is>
          <t>Day(s)</t>
        </is>
      </c>
      <c r="BI36"/>
      <c r="BJ36"/>
      <c r="BK36"/>
      <c r="BL36"/>
      <c r="BM36"/>
      <c r="BN36"/>
      <c r="BO36" t="inlineStr">
        <is>
          <t>--</t>
        </is>
      </c>
      <c r="BP36"/>
      <c r="BQ36"/>
      <c r="BR36"/>
      <c r="BS36"/>
      <c r="BT36"/>
      <c r="BU36"/>
      <c r="BV36"/>
      <c r="BW36"/>
      <c r="BX36"/>
      <c r="BY36"/>
      <c r="BZ36"/>
      <c r="CA36"/>
      <c r="CB36"/>
      <c r="CC36"/>
      <c r="CD36" t="inlineStr">
        <is>
          <t>Liu,C., V.W. Chang, and K.Y. Gin</t>
        </is>
      </c>
      <c r="CE36" t="n">
        <v>182461.0</v>
      </c>
      <c r="CF36" t="inlineStr">
        <is>
          <t>Environmental Toxicity of PFCs: An Enhanced Integrated Biomarker Assessment and Structure-Activity Analysis</t>
        </is>
      </c>
      <c r="CG36" t="inlineStr">
        <is>
          <t>Environ. Toxicol. Chem.32(10): 2226-2233</t>
        </is>
      </c>
      <c r="CH36" t="n">
        <v>2013.0</v>
      </c>
      <c r="CI36" t="inlineStr">
        <is>
          <t>Liu,C., V.W. Chang, and K.Y. Gin (2013). Environmental Toxicity of PFCs: An Enhanced Integrated Biomarker Assessment and Structure-Activity Analysis. Environ. Toxicol. Chem., 32, (10), 2226-2233. doi:10.1002/etc.2306. ECOREF#:182461</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175197.0</v>
      </c>
      <c r="B2" t="inlineStr">
        <is>
          <t>Falk,S., K. Failing, S. Georgii, H. Brunn, and T. Stahl</t>
        </is>
      </c>
      <c r="C2" t="inlineStr">
        <is>
          <t>Tissue Specific Uptake and Elimination of Perfluoroalkyl Acids (PFAAS) in Adult Rainbow Trout (Oncorhynchus mykiss) After Dietary Exposure</t>
        </is>
      </c>
      <c r="D2" t="inlineStr">
        <is>
          <t>Chemosphere129:150-156</t>
        </is>
      </c>
      <c r="E2" t="n">
        <v>2015.0</v>
      </c>
      <c r="F2"/>
      <c r="G2" t="inlineStr">
        <is>
          <t>Falk,S., K. Failing, S. Georgii, H. Brunn, and T. Stahl (2015). Tissue Specific Uptake and Elimination of Perfluoroalkyl Acids (PFAAS) in Adult Rainbow Trout (Oncorhynchus mykiss) After Dietary Exposure. Chemosphere, 129, 150-156. doi:10.1016/j.chemosphere.2014.06.061. ECOREF#:175197</t>
        </is>
      </c>
      <c r="H2" s="1"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3">
      <c r="A3" t="n">
        <v>190831.0</v>
      </c>
      <c r="B3" t="inlineStr">
        <is>
          <t>Han,J., W. Gu, H. Barrett, D. Yang, S. Tang, J. Sun, J. Liu, H.M. Krause, K.A. Houck, and H. Peng</t>
        </is>
      </c>
      <c r="C3" t="inlineStr">
        <is>
          <t>A Roadmap to the Structure-Related Metabolism Pathways of Per- and Polyfluoroalkyl Substances in the Early Life Stages of Zebrafish (Danio rerio)</t>
        </is>
      </c>
      <c r="D3" t="inlineStr">
        <is>
          <t>Environ. Health Perspect.129(7): 15 p.</t>
        </is>
      </c>
      <c r="E3" t="n">
        <v>2021.0</v>
      </c>
      <c r="F3"/>
      <c r="G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3" s="2"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4">
      <c r="A4" t="n">
        <v>182461.0</v>
      </c>
      <c r="B4" t="inlineStr">
        <is>
          <t>Liu,C., V.W. Chang, and K.Y. Gin</t>
        </is>
      </c>
      <c r="C4" t="inlineStr">
        <is>
          <t>Environmental Toxicity of PFCs: An Enhanced Integrated Biomarker Assessment and Structure-Activity Analysis</t>
        </is>
      </c>
      <c r="D4" t="inlineStr">
        <is>
          <t>Environ. Toxicol. Chem.32(10): 2226-2233</t>
        </is>
      </c>
      <c r="E4" t="n">
        <v>2013.0</v>
      </c>
      <c r="F4"/>
      <c r="G4" t="inlineStr">
        <is>
          <t>Liu,C., V.W. Chang, and K.Y. Gin (2013). Environmental Toxicity of PFCs: An Enhanced Integrated Biomarker Assessment and Structure-Activity Analysis. Environ. Toxicol. Chem., 32, (10), 2226-2233. doi:10.1002/etc.2306. ECOREF#:182461</t>
        </is>
      </c>
      <c r="H4" s="3" t="n">
        <f>HYPERLINK("https://scholar.google.com/scholar?hl=en&amp;as_q=&amp;as_oq=&amp;as_eq=&amp;as_sauthors=&amp;as_publication=&amp;as_ylo=&amp;as_yhi=&amp;as_occt=title&amp;as_sdt=0%2C5&amp;as_epq=%22Environmental+Toxicity+of+PFCs%3A+An+Enhanced+Integrated+Biomarker+Assessment+and+Structure-Activity+Analysis", "Google Scholar")</f>
        <v>0.0</v>
      </c>
    </row>
    <row r="5">
      <c r="A5" t="n">
        <v>175715.0</v>
      </c>
      <c r="B5" t="inlineStr">
        <is>
          <t>Liu,C., V.W.C. Chang, K.Y.H. Gin, and V.T. Nguyen</t>
        </is>
      </c>
      <c r="C5" t="inlineStr">
        <is>
          <t>Genotoxicity of Perfluorinated Chemicals (PFCs) to the Green Mussel (Perna viridis)</t>
        </is>
      </c>
      <c r="D5" t="inlineStr">
        <is>
          <t>Sci. Total Environ.487:117-122</t>
        </is>
      </c>
      <c r="E5" t="n">
        <v>2014.0</v>
      </c>
      <c r="F5"/>
      <c r="G5" t="inlineStr">
        <is>
          <t>Liu,C., V.W.C. Chang, K.Y.H. Gin, and V.T. Nguyen (2014). Genotoxicity of Perfluorinated Chemicals (PFCs) to the Green Mussel (Perna viridis). Sci. Total Environ., 487, 117-122. doi:10.1016/j.scitotenv.2014.04.017. ECOREF#:175715</t>
        </is>
      </c>
      <c r="H5" s="4" t="n">
        <f>HYPERLINK("https://scholar.google.com/scholar?hl=en&amp;as_q=&amp;as_oq=&amp;as_eq=&amp;as_sauthors=&amp;as_publication=&amp;as_ylo=&amp;as_yhi=&amp;as_occt=title&amp;as_sdt=0%2C5&amp;as_epq=%22Genotoxicity+of+Perfluorinated+Chemicals+%28PFCs%29+to+the+Green+Mussel+%28Perna+viridis%29", "Google Scholar")</f>
        <v>0.0</v>
      </c>
    </row>
    <row r="6">
      <c r="A6" t="n">
        <v>175762.0</v>
      </c>
      <c r="B6" t="inlineStr">
        <is>
          <t>Liu,C., V.W.C. Chang, and K.Y.H. Gin</t>
        </is>
      </c>
      <c r="C6" t="inlineStr">
        <is>
          <t>Oxidative Toxicity of Perfluorinated Chemicals in Green Mussel and Bioaccumulation Factor Dependent Quantitative Structure-Activity Relationship</t>
        </is>
      </c>
      <c r="D6" t="inlineStr">
        <is>
          <t>Environ. Toxicol. Chem.33(10): 2323-2332</t>
        </is>
      </c>
      <c r="E6" t="n">
        <v>2014.0</v>
      </c>
      <c r="F6"/>
      <c r="G6" t="inlineStr">
        <is>
          <t>Liu,C., V.W.C. Chang, and K.Y.H. Gin (2014). Oxidative Toxicity of Perfluorinated Chemicals in Green Mussel and Bioaccumulation Factor Dependent Quantitative Structure-Activity Relationship. Environ. Toxicol. Chem., 33, (10), 2323-2332. doi:10.1002/etc.2679. ECOREF#:175762</t>
        </is>
      </c>
      <c r="H6" s="5" t="n">
        <f>HYPERLINK("https://scholar.google.com/scholar?hl=en&amp;as_q=&amp;as_oq=&amp;as_eq=&amp;as_sauthors=&amp;as_publication=&amp;as_ylo=&amp;as_yhi=&amp;as_occt=title&amp;as_sdt=0%2C5&amp;as_epq=%22Oxidative+Toxicity+of+Perfluorinated+Chemicals+in+Green+Mussel+and+Bioaccumulation+Factor+Dependent+Quantitative", "Google Scholar")</f>
        <v>0.0</v>
      </c>
    </row>
    <row r="7">
      <c r="A7" t="n">
        <v>177106.0</v>
      </c>
      <c r="B7" t="inlineStr">
        <is>
          <t>Liu,C., and K.Y. Gin</t>
        </is>
      </c>
      <c r="C7" t="inlineStr">
        <is>
          <t>Immunotoxicity in Green Mussels Under Perfluoroalkyl Substance (PFAS) Exposure: Reversible Response and Response Model Development</t>
        </is>
      </c>
      <c r="D7" t="inlineStr">
        <is>
          <t>Environ. Toxicol. Chem.37(4): 1138-1145</t>
        </is>
      </c>
      <c r="E7" t="n">
        <v>2018.0</v>
      </c>
      <c r="F7"/>
      <c r="G7" t="inlineStr">
        <is>
          <t>Liu,C., and K.Y. Gin (2018). Immunotoxicity in Green Mussels Under Perfluoroalkyl Substance (PFAS) Exposure: Reversible Response and Response Model Development. Environ. Toxicol. Chem., 37, (4), 1138-1145. doi:10.1002/etc.4060. ECOREF#:177106</t>
        </is>
      </c>
      <c r="H7" s="6" t="n">
        <f>HYPERLINK("https://scholar.google.com/scholar?hl=en&amp;as_q=&amp;as_oq=&amp;as_eq=&amp;as_sauthors=&amp;as_publication=&amp;as_ylo=&amp;as_yhi=&amp;as_occt=title&amp;as_sdt=0%2C5&amp;as_epq=%22Immunotoxicity+in+Green+Mussels+Under+Perfluoroalkyl+Substance+%28PFAS%29+Exposure%3A+Reversible+Response+and+Re", "Google Scholar")</f>
        <v>0.0</v>
      </c>
    </row>
    <row r="8">
      <c r="A8" t="n">
        <v>175712.0</v>
      </c>
      <c r="B8" t="inlineStr">
        <is>
          <t>Stevenson,C.N., L.A. MacManus-Spencer, T. Luckenbach, R.G. Luthy, and D. Epel</t>
        </is>
      </c>
      <c r="C8" t="inlineStr">
        <is>
          <t>New Perspectives on Perfluorochemical Ecotoxicology: Inhibition and Induction of an Efflux Transporter in the Marine Mussel, Mytilus californianus</t>
        </is>
      </c>
      <c r="D8" t="inlineStr">
        <is>
          <t>Environ. Sci. Technol.40(17): 5580-5585</t>
        </is>
      </c>
      <c r="E8" t="n">
        <v>2006.0</v>
      </c>
      <c r="F8"/>
      <c r="G8"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8" s="7"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9">
      <c r="A9" t="n">
        <v>191102.0</v>
      </c>
      <c r="B9" t="inlineStr">
        <is>
          <t>Suski,J.G., M.K. Chanov, C. Heron, J. Field, and C.J. Salice</t>
        </is>
      </c>
      <c r="C9" t="inlineStr">
        <is>
          <t>Ecotoxicity and Accumulation of Perfluorononanoic Acid  in the Fathead Minnow (Pimephales promelas) and an Approach to Developing Protective Thresholds in the Aquatic Environment Through Species Sensitivity Distribution</t>
        </is>
      </c>
      <c r="D9" t="inlineStr">
        <is>
          <t>Environ. Toxicol. Chem.:1-8</t>
        </is>
      </c>
      <c r="E9" t="n">
        <v>2023.0</v>
      </c>
      <c r="F9"/>
      <c r="G9" t="inlineStr">
        <is>
          <t>Suski,J.G., M.K. Chanov, C. Heron, J. Field, and C.J. Salice (2023). Ecotoxicity and Accumulation of Perfluorononanoic Acid  in the Fathead Minnow (Pimephales promelas) and an Approach to Developing Protective Thresholds in the Aquatic Environment Through Species Sensitivity Distribution. Environ. Toxicol. Chem., 1-8. doi:10.1002/etc.5692. ECOREF#:191102</t>
        </is>
      </c>
      <c r="H9" s="8" t="n">
        <f>HYPERLINK("https://scholar.google.com/scholar?hl=en&amp;as_q=&amp;as_oq=&amp;as_eq=&amp;as_sauthors=&amp;as_publication=&amp;as_ylo=&amp;as_yhi=&amp;as_occt=title&amp;as_sdt=0%2C5&amp;as_epq=%22Ecotoxicity+and+Accumulation+of+Perfluorononanoic+Acid++in+the+Fathead+Minnow+%28Pimephales+promelas%29+and+an+A", "Google Scholar")</f>
        <v>0.0</v>
      </c>
    </row>
    <row r="10">
      <c r="A10" t="n">
        <v>177074.0</v>
      </c>
      <c r="B10" t="inlineStr">
        <is>
          <t>Zhai,Y., X. Xia, X. Zhao, H. Dong, B. Zhu, N. Xia, and J. Dong</t>
        </is>
      </c>
      <c r="C10" t="inlineStr">
        <is>
          <t>Role of Ingestion Route in the Perfluoroalkyl Substance Bioaccumulation by Chironomus plumosus Larvae in Sediments Amended with Carbonaceous Materials</t>
        </is>
      </c>
      <c r="D10" t="inlineStr">
        <is>
          <t>J. Hazard. Mater.302:404-414</t>
        </is>
      </c>
      <c r="E10" t="n">
        <v>2016.0</v>
      </c>
      <c r="F10"/>
      <c r="G10"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H10" s="9" t="n">
        <f>HYPERLINK("https://scholar.google.com/scholar?hl=en&amp;as_q=&amp;as_oq=&amp;as_eq=&amp;as_sauthors=&amp;as_publication=&amp;as_ylo=&amp;as_yhi=&amp;as_occt=title&amp;as_sdt=0%2C5&amp;as_epq=%22Role+of+Ingestion+Route+in+the+Perfluoroalkyl+Substance+Bioaccumulation+by+Chironomus+plumosus+Larvae+in+Sedimen", "Google Scholar")</f>
        <v>0.0</v>
      </c>
    </row>
    <row r="11">
      <c r="A11" t="n">
        <v>175216.0</v>
      </c>
      <c r="B11" t="inlineStr">
        <is>
          <t>Zhang,W., N. Sheng, M. Wang, H. Zhang, and J. Dai</t>
        </is>
      </c>
      <c r="C11" t="inlineStr">
        <is>
          <t>Zebrafish Reproductive Toxicity Induced by Chronic Perfluorononanoate Exposure</t>
        </is>
      </c>
      <c r="D11" t="inlineStr">
        <is>
          <t>Aquat. Toxicol.175:269-276</t>
        </is>
      </c>
      <c r="E11" t="n">
        <v>2016.0</v>
      </c>
      <c r="F11"/>
      <c r="G11" t="inlineStr">
        <is>
          <t>Zhang,W., N. Sheng, M. Wang, H. Zhang, and J. Dai (2016). Zebrafish Reproductive Toxicity Induced by Chronic Perfluorononanoate Exposure. Aquat. Toxicol., 175, 269-276. doi:10.1016/j.aquatox.2016.04.005. ECOREF#:175216</t>
        </is>
      </c>
      <c r="H11" s="10" t="n">
        <f>HYPERLINK("https://scholar.google.com/scholar?hl=en&amp;as_q=&amp;as_oq=&amp;as_eq=&amp;as_sauthors=&amp;as_publication=&amp;as_ylo=&amp;as_yhi=&amp;as_occt=title&amp;as_sdt=0%2C5&amp;as_epq=%22Zebrafish+Reproductive+Toxicity+Induced+by+Chronic+Perfluorononanoate+Exposure", "Google Scholar")</f>
        <v>0.0</v>
      </c>
    </row>
    <row r="12">
      <c r="A12" t="n">
        <v>160553.0</v>
      </c>
      <c r="B12" t="inlineStr">
        <is>
          <t>Zhang,W., Y. Zhang, H. Zhang, J. Wang, R. Cui, and J. Dai</t>
        </is>
      </c>
      <c r="C12" t="inlineStr">
        <is>
          <t>Sex Differences in Transcriptional Expression of FABPs in Zebrafish Liver After Chronic Perfluorononanoic Acid Exposure</t>
        </is>
      </c>
      <c r="D12" t="inlineStr">
        <is>
          <t>Environ. Sci. Technol.46(9): 5175-5182</t>
        </is>
      </c>
      <c r="E12" t="n">
        <v>2012.0</v>
      </c>
      <c r="F12"/>
      <c r="G12" t="inlineStr">
        <is>
          <t>Zhang,W., Y. Zhang, H. Zhang, J. Wang, R. Cui, and J. Dai (2012). Sex Differences in Transcriptional Expression of FABPs in Zebrafish Liver After Chronic Perfluorononanoic Acid Exposure. Environ. Sci. Technol., 46, (9), 5175-5182. doi:10.1021/es300147w. ECOREF#:160553</t>
        </is>
      </c>
      <c r="H12" s="11" t="n">
        <f>HYPERLINK("https://scholar.google.com/scholar?hl=en&amp;as_q=&amp;as_oq=&amp;as_eq=&amp;as_sauthors=&amp;as_publication=&amp;as_ylo=&amp;as_yhi=&amp;as_occt=title&amp;as_sdt=0%2C5&amp;as_epq=%22Sex+Differences+in+Transcriptional+Expression+of+FABPs+in+Zebrafish+Liver+After+Chronic+Perfluorononanoic+Acid+E",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12" t="n">
        <v>46190.67170138889</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PFNA</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2026-06-17T20:07:14Z</dcterms:created>
  <dc:creator>Apache POI</dc:creator>
</cp:coreProperties>
</file>