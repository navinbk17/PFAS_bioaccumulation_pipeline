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43">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23">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375735.0</v>
      </c>
      <c r="B2" t="inlineStr">
        <is>
          <t>1,1,2,2,3,3,4,4,4-Nonafluoro-1-butanesulfonic acid</t>
        </is>
      </c>
      <c r="C2"/>
      <c r="D2" t="inlineStr">
        <is>
          <t>Measured</t>
        </is>
      </c>
      <c r="E2" t="inlineStr">
        <is>
          <t>&gt;</t>
        </is>
      </c>
      <c r="F2" t="n">
        <v>98.0</v>
      </c>
      <c r="G2"/>
      <c r="H2"/>
      <c r="I2"/>
      <c r="J2"/>
      <c r="K2" t="inlineStr">
        <is>
          <t>Aquarana catesbeiana</t>
        </is>
      </c>
      <c r="L2" t="inlineStr">
        <is>
          <t>American Bullfrog</t>
        </is>
      </c>
      <c r="M2" t="inlineStr">
        <is>
          <t>Amphibians; U.S. Invasive Species</t>
        </is>
      </c>
      <c r="N2" t="inlineStr">
        <is>
          <t>Tadpole</t>
        </is>
      </c>
      <c r="O2"/>
      <c r="P2" t="n">
        <v>26.0</v>
      </c>
      <c r="Q2"/>
      <c r="R2"/>
      <c r="S2"/>
      <c r="T2"/>
      <c r="U2" t="inlineStr">
        <is>
          <t>Gosner stage</t>
        </is>
      </c>
      <c r="V2" t="inlineStr">
        <is>
          <t>Renewal</t>
        </is>
      </c>
      <c r="W2" t="inlineStr">
        <is>
          <t>Fresh water</t>
        </is>
      </c>
      <c r="X2" t="inlineStr">
        <is>
          <t>Lab</t>
        </is>
      </c>
      <c r="Y2" t="n">
        <v>4.0</v>
      </c>
      <c r="Z2" t="inlineStr">
        <is>
          <t>Active ingredient</t>
        </is>
      </c>
      <c r="AA2"/>
      <c r="AB2" t="n">
        <v>0.001</v>
      </c>
      <c r="AC2"/>
      <c r="AD2"/>
      <c r="AE2"/>
      <c r="AF2"/>
      <c r="AG2" t="inlineStr">
        <is>
          <t>AI mg/L</t>
        </is>
      </c>
      <c r="AH2"/>
      <c r="AI2"/>
      <c r="AJ2"/>
      <c r="AK2"/>
      <c r="AL2"/>
      <c r="AM2"/>
      <c r="AN2"/>
      <c r="AO2"/>
      <c r="AP2"/>
      <c r="AQ2"/>
      <c r="AR2"/>
      <c r="AS2"/>
      <c r="AT2"/>
      <c r="AU2"/>
      <c r="AV2"/>
      <c r="AW2"/>
      <c r="AX2" t="inlineStr">
        <is>
          <t>Accumulation</t>
        </is>
      </c>
      <c r="AY2" t="inlineStr">
        <is>
          <t>Residue</t>
        </is>
      </c>
      <c r="AZ2" t="inlineStr">
        <is>
          <t>LOEC</t>
        </is>
      </c>
      <c r="BA2" t="inlineStr">
        <is>
          <t>Intestinal tract</t>
        </is>
      </c>
      <c r="BB2"/>
      <c r="BC2" t="n">
        <v>43.0</v>
      </c>
      <c r="BD2"/>
      <c r="BE2"/>
      <c r="BF2"/>
      <c r="BG2"/>
      <c r="BH2" t="inlineStr">
        <is>
          <t>Gosner stage</t>
        </is>
      </c>
      <c r="BI2"/>
      <c r="BJ2"/>
      <c r="BK2"/>
      <c r="BL2"/>
      <c r="BM2"/>
      <c r="BN2"/>
      <c r="BO2" t="inlineStr">
        <is>
          <t>--</t>
        </is>
      </c>
      <c r="BP2"/>
      <c r="BQ2"/>
      <c r="BR2"/>
      <c r="BS2"/>
      <c r="BT2"/>
      <c r="BU2"/>
      <c r="BV2"/>
      <c r="BW2"/>
      <c r="BX2"/>
      <c r="BY2"/>
      <c r="BZ2"/>
      <c r="CA2"/>
      <c r="CB2"/>
      <c r="CC2"/>
      <c r="CD2" t="inlineStr">
        <is>
          <t>Shu,Y., Q. Wang, J. He, H. Zhang, P. Hong, K.M.Y. Leung, L. Chen, and H. Wu</t>
        </is>
      </c>
      <c r="CE2" t="n">
        <v>195127.0</v>
      </c>
      <c r="CF2" t="inlineStr">
        <is>
          <t>Perfluorobutanesulfonate Interfering with the Intestinal Remodeling During Lithobates catesbeiana Metamorphosis via the Hypothalamic-Pituitary-Thyroid Axis</t>
        </is>
      </c>
      <c r="CG2" t="inlineStr">
        <is>
          <t>Environ. Sci. Technol.59(11): 5463-5473</t>
        </is>
      </c>
      <c r="CH2" t="n">
        <v>2025.0</v>
      </c>
      <c r="CI2"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3">
      <c r="A3" t="n">
        <v>375735.0</v>
      </c>
      <c r="B3" t="inlineStr">
        <is>
          <t>1,1,2,2,3,3,4,4,4-Nonafluoro-1-butanesulfonic acid</t>
        </is>
      </c>
      <c r="C3"/>
      <c r="D3" t="inlineStr">
        <is>
          <t>Measured</t>
        </is>
      </c>
      <c r="E3" t="inlineStr">
        <is>
          <t>&gt;</t>
        </is>
      </c>
      <c r="F3" t="n">
        <v>98.0</v>
      </c>
      <c r="G3"/>
      <c r="H3"/>
      <c r="I3"/>
      <c r="J3"/>
      <c r="K3" t="inlineStr">
        <is>
          <t>Aquarana catesbeiana</t>
        </is>
      </c>
      <c r="L3" t="inlineStr">
        <is>
          <t>American Bullfrog</t>
        </is>
      </c>
      <c r="M3" t="inlineStr">
        <is>
          <t>Amphibians; U.S. Invasive Species</t>
        </is>
      </c>
      <c r="N3" t="inlineStr">
        <is>
          <t>Tadpole</t>
        </is>
      </c>
      <c r="O3"/>
      <c r="P3" t="n">
        <v>26.0</v>
      </c>
      <c r="Q3"/>
      <c r="R3"/>
      <c r="S3"/>
      <c r="T3"/>
      <c r="U3" t="inlineStr">
        <is>
          <t>Gosner stage</t>
        </is>
      </c>
      <c r="V3" t="inlineStr">
        <is>
          <t>Renewal</t>
        </is>
      </c>
      <c r="W3" t="inlineStr">
        <is>
          <t>Fresh water</t>
        </is>
      </c>
      <c r="X3" t="inlineStr">
        <is>
          <t>Lab</t>
        </is>
      </c>
      <c r="Y3" t="n">
        <v>4.0</v>
      </c>
      <c r="Z3" t="inlineStr">
        <is>
          <t>Active ingredient</t>
        </is>
      </c>
      <c r="AA3"/>
      <c r="AB3" t="n">
        <v>0.001</v>
      </c>
      <c r="AC3"/>
      <c r="AD3"/>
      <c r="AE3"/>
      <c r="AF3"/>
      <c r="AG3" t="inlineStr">
        <is>
          <t>AI mg/L</t>
        </is>
      </c>
      <c r="AH3"/>
      <c r="AI3"/>
      <c r="AJ3"/>
      <c r="AK3"/>
      <c r="AL3"/>
      <c r="AM3"/>
      <c r="AN3"/>
      <c r="AO3"/>
      <c r="AP3"/>
      <c r="AQ3"/>
      <c r="AR3"/>
      <c r="AS3"/>
      <c r="AT3"/>
      <c r="AU3"/>
      <c r="AV3"/>
      <c r="AW3"/>
      <c r="AX3" t="inlineStr">
        <is>
          <t>Accumulation</t>
        </is>
      </c>
      <c r="AY3" t="inlineStr">
        <is>
          <t>Residue</t>
        </is>
      </c>
      <c r="AZ3" t="inlineStr">
        <is>
          <t>LOEC</t>
        </is>
      </c>
      <c r="BA3" t="inlineStr">
        <is>
          <t>Brain</t>
        </is>
      </c>
      <c r="BB3"/>
      <c r="BC3" t="n">
        <v>43.0</v>
      </c>
      <c r="BD3"/>
      <c r="BE3"/>
      <c r="BF3"/>
      <c r="BG3"/>
      <c r="BH3" t="inlineStr">
        <is>
          <t>Gosner stage</t>
        </is>
      </c>
      <c r="BI3"/>
      <c r="BJ3"/>
      <c r="BK3"/>
      <c r="BL3"/>
      <c r="BM3"/>
      <c r="BN3"/>
      <c r="BO3" t="inlineStr">
        <is>
          <t>--</t>
        </is>
      </c>
      <c r="BP3"/>
      <c r="BQ3"/>
      <c r="BR3"/>
      <c r="BS3"/>
      <c r="BT3"/>
      <c r="BU3"/>
      <c r="BV3"/>
      <c r="BW3"/>
      <c r="BX3"/>
      <c r="BY3"/>
      <c r="BZ3"/>
      <c r="CA3"/>
      <c r="CB3"/>
      <c r="CC3"/>
      <c r="CD3" t="inlineStr">
        <is>
          <t>Shu,Y., Q. Wang, J. He, H. Zhang, P. Hong, K.M.Y. Leung, L. Chen, and H. Wu</t>
        </is>
      </c>
      <c r="CE3" t="n">
        <v>195127.0</v>
      </c>
      <c r="CF3" t="inlineStr">
        <is>
          <t>Perfluorobutanesulfonate Interfering with the Intestinal Remodeling During Lithobates catesbeiana Metamorphosis via the Hypothalamic-Pituitary-Thyroid Axis</t>
        </is>
      </c>
      <c r="CG3" t="inlineStr">
        <is>
          <t>Environ. Sci. Technol.59(11): 5463-5473</t>
        </is>
      </c>
      <c r="CH3" t="n">
        <v>2025.0</v>
      </c>
      <c r="CI3"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4">
      <c r="A4" t="n">
        <v>375735.0</v>
      </c>
      <c r="B4" t="inlineStr">
        <is>
          <t>1,1,2,2,3,3,4,4,4-Nonafluoro-1-butanesulfonic acid</t>
        </is>
      </c>
      <c r="C4"/>
      <c r="D4" t="inlineStr">
        <is>
          <t>Measured</t>
        </is>
      </c>
      <c r="E4" t="inlineStr">
        <is>
          <t>&gt;</t>
        </is>
      </c>
      <c r="F4" t="n">
        <v>98.0</v>
      </c>
      <c r="G4"/>
      <c r="H4"/>
      <c r="I4"/>
      <c r="J4"/>
      <c r="K4" t="inlineStr">
        <is>
          <t>Aquarana catesbeiana</t>
        </is>
      </c>
      <c r="L4" t="inlineStr">
        <is>
          <t>American Bullfrog</t>
        </is>
      </c>
      <c r="M4" t="inlineStr">
        <is>
          <t>Amphibians; U.S. Invasive Species</t>
        </is>
      </c>
      <c r="N4" t="inlineStr">
        <is>
          <t>Tadpole</t>
        </is>
      </c>
      <c r="O4"/>
      <c r="P4" t="n">
        <v>26.0</v>
      </c>
      <c r="Q4"/>
      <c r="R4"/>
      <c r="S4"/>
      <c r="T4"/>
      <c r="U4" t="inlineStr">
        <is>
          <t>Gosner stage</t>
        </is>
      </c>
      <c r="V4" t="inlineStr">
        <is>
          <t>Renewal</t>
        </is>
      </c>
      <c r="W4" t="inlineStr">
        <is>
          <t>Fresh water</t>
        </is>
      </c>
      <c r="X4" t="inlineStr">
        <is>
          <t>Lab</t>
        </is>
      </c>
      <c r="Y4" t="n">
        <v>4.0</v>
      </c>
      <c r="Z4" t="inlineStr">
        <is>
          <t>Active ingredient</t>
        </is>
      </c>
      <c r="AA4"/>
      <c r="AB4" t="n">
        <v>0.001</v>
      </c>
      <c r="AC4"/>
      <c r="AD4"/>
      <c r="AE4"/>
      <c r="AF4"/>
      <c r="AG4" t="inlineStr">
        <is>
          <t>AI mg/L</t>
        </is>
      </c>
      <c r="AH4"/>
      <c r="AI4"/>
      <c r="AJ4"/>
      <c r="AK4"/>
      <c r="AL4"/>
      <c r="AM4"/>
      <c r="AN4"/>
      <c r="AO4"/>
      <c r="AP4"/>
      <c r="AQ4"/>
      <c r="AR4"/>
      <c r="AS4"/>
      <c r="AT4"/>
      <c r="AU4"/>
      <c r="AV4"/>
      <c r="AW4"/>
      <c r="AX4" t="inlineStr">
        <is>
          <t>Accumulation</t>
        </is>
      </c>
      <c r="AY4" t="inlineStr">
        <is>
          <t>Residue</t>
        </is>
      </c>
      <c r="AZ4" t="inlineStr">
        <is>
          <t>LOEC</t>
        </is>
      </c>
      <c r="BA4" t="inlineStr">
        <is>
          <t>Intestinal tract</t>
        </is>
      </c>
      <c r="BB4"/>
      <c r="BC4" t="n">
        <v>43.0</v>
      </c>
      <c r="BD4"/>
      <c r="BE4"/>
      <c r="BF4"/>
      <c r="BG4"/>
      <c r="BH4" t="inlineStr">
        <is>
          <t>Gosner stage</t>
        </is>
      </c>
      <c r="BI4"/>
      <c r="BJ4"/>
      <c r="BK4"/>
      <c r="BL4"/>
      <c r="BM4"/>
      <c r="BN4"/>
      <c r="BO4" t="inlineStr">
        <is>
          <t>--</t>
        </is>
      </c>
      <c r="BP4"/>
      <c r="BQ4"/>
      <c r="BR4"/>
      <c r="BS4"/>
      <c r="BT4"/>
      <c r="BU4"/>
      <c r="BV4"/>
      <c r="BW4"/>
      <c r="BX4"/>
      <c r="BY4"/>
      <c r="BZ4"/>
      <c r="CA4"/>
      <c r="CB4"/>
      <c r="CC4"/>
      <c r="CD4" t="inlineStr">
        <is>
          <t>Shu,Y., Q. Wang, J. He, H. Zhang, P. Hong, K.M.Y. Leung, L. Chen, and H. Wu</t>
        </is>
      </c>
      <c r="CE4" t="n">
        <v>195127.0</v>
      </c>
      <c r="CF4" t="inlineStr">
        <is>
          <t>Perfluorobutanesulfonate Interfering with the Intestinal Remodeling During Lithobates catesbeiana Metamorphosis via the Hypothalamic-Pituitary-Thyroid Axis</t>
        </is>
      </c>
      <c r="CG4" t="inlineStr">
        <is>
          <t>Environ. Sci. Technol.59(11): 5463-5473</t>
        </is>
      </c>
      <c r="CH4" t="n">
        <v>2025.0</v>
      </c>
      <c r="CI4"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5">
      <c r="A5" t="n">
        <v>375735.0</v>
      </c>
      <c r="B5" t="inlineStr">
        <is>
          <t>1,1,2,2,3,3,4,4,4-Nonafluoro-1-butanesulfonic acid</t>
        </is>
      </c>
      <c r="C5"/>
      <c r="D5" t="inlineStr">
        <is>
          <t>Measured</t>
        </is>
      </c>
      <c r="E5" t="inlineStr">
        <is>
          <t>&gt;</t>
        </is>
      </c>
      <c r="F5" t="n">
        <v>98.0</v>
      </c>
      <c r="G5"/>
      <c r="H5"/>
      <c r="I5"/>
      <c r="J5"/>
      <c r="K5" t="inlineStr">
        <is>
          <t>Aquarana catesbeiana</t>
        </is>
      </c>
      <c r="L5" t="inlineStr">
        <is>
          <t>American Bullfrog</t>
        </is>
      </c>
      <c r="M5" t="inlineStr">
        <is>
          <t>Amphibians; U.S. Invasive Species</t>
        </is>
      </c>
      <c r="N5" t="inlineStr">
        <is>
          <t>Tadpole</t>
        </is>
      </c>
      <c r="O5"/>
      <c r="P5" t="n">
        <v>26.0</v>
      </c>
      <c r="Q5"/>
      <c r="R5"/>
      <c r="S5"/>
      <c r="T5"/>
      <c r="U5" t="inlineStr">
        <is>
          <t>Gosner stage</t>
        </is>
      </c>
      <c r="V5" t="inlineStr">
        <is>
          <t>Renewal</t>
        </is>
      </c>
      <c r="W5" t="inlineStr">
        <is>
          <t>Fresh water</t>
        </is>
      </c>
      <c r="X5" t="inlineStr">
        <is>
          <t>Lab</t>
        </is>
      </c>
      <c r="Y5" t="n">
        <v>4.0</v>
      </c>
      <c r="Z5" t="inlineStr">
        <is>
          <t>Active ingredient</t>
        </is>
      </c>
      <c r="AA5"/>
      <c r="AB5" t="n">
        <v>0.001</v>
      </c>
      <c r="AC5"/>
      <c r="AD5"/>
      <c r="AE5"/>
      <c r="AF5"/>
      <c r="AG5" t="inlineStr">
        <is>
          <t>AI mg/L</t>
        </is>
      </c>
      <c r="AH5"/>
      <c r="AI5"/>
      <c r="AJ5"/>
      <c r="AK5"/>
      <c r="AL5"/>
      <c r="AM5"/>
      <c r="AN5"/>
      <c r="AO5"/>
      <c r="AP5"/>
      <c r="AQ5"/>
      <c r="AR5"/>
      <c r="AS5"/>
      <c r="AT5"/>
      <c r="AU5"/>
      <c r="AV5"/>
      <c r="AW5"/>
      <c r="AX5" t="inlineStr">
        <is>
          <t>Accumulation</t>
        </is>
      </c>
      <c r="AY5" t="inlineStr">
        <is>
          <t>Residue</t>
        </is>
      </c>
      <c r="AZ5" t="inlineStr">
        <is>
          <t>LOEC</t>
        </is>
      </c>
      <c r="BA5" t="inlineStr">
        <is>
          <t>Brain</t>
        </is>
      </c>
      <c r="BB5"/>
      <c r="BC5" t="n">
        <v>43.0</v>
      </c>
      <c r="BD5"/>
      <c r="BE5"/>
      <c r="BF5"/>
      <c r="BG5"/>
      <c r="BH5" t="inlineStr">
        <is>
          <t>Gosner stage</t>
        </is>
      </c>
      <c r="BI5"/>
      <c r="BJ5"/>
      <c r="BK5"/>
      <c r="BL5"/>
      <c r="BM5"/>
      <c r="BN5"/>
      <c r="BO5" t="inlineStr">
        <is>
          <t>--</t>
        </is>
      </c>
      <c r="BP5"/>
      <c r="BQ5"/>
      <c r="BR5"/>
      <c r="BS5"/>
      <c r="BT5"/>
      <c r="BU5"/>
      <c r="BV5"/>
      <c r="BW5"/>
      <c r="BX5"/>
      <c r="BY5"/>
      <c r="BZ5"/>
      <c r="CA5"/>
      <c r="CB5"/>
      <c r="CC5"/>
      <c r="CD5" t="inlineStr">
        <is>
          <t>Shu,Y., Q. Wang, J. He, H. Zhang, P. Hong, K.M.Y. Leung, L. Chen, and H. Wu</t>
        </is>
      </c>
      <c r="CE5" t="n">
        <v>195127.0</v>
      </c>
      <c r="CF5" t="inlineStr">
        <is>
          <t>Perfluorobutanesulfonate Interfering with the Intestinal Remodeling During Lithobates catesbeiana Metamorphosis via the Hypothalamic-Pituitary-Thyroid Axis</t>
        </is>
      </c>
      <c r="CG5" t="inlineStr">
        <is>
          <t>Environ. Sci. Technol.59(11): 5463-5473</t>
        </is>
      </c>
      <c r="CH5" t="n">
        <v>2025.0</v>
      </c>
      <c r="CI5"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6">
      <c r="A6" t="n">
        <v>375735.0</v>
      </c>
      <c r="B6" t="inlineStr">
        <is>
          <t>1,1,2,2,3,3,4,4,4-Nonafluoro-1-butanesulfonic acid</t>
        </is>
      </c>
      <c r="C6"/>
      <c r="D6" t="inlineStr">
        <is>
          <t>Measured</t>
        </is>
      </c>
      <c r="E6" t="inlineStr">
        <is>
          <t>&gt;</t>
        </is>
      </c>
      <c r="F6" t="n">
        <v>98.0</v>
      </c>
      <c r="G6"/>
      <c r="H6"/>
      <c r="I6"/>
      <c r="J6"/>
      <c r="K6" t="inlineStr">
        <is>
          <t>Aquarana catesbeiana</t>
        </is>
      </c>
      <c r="L6" t="inlineStr">
        <is>
          <t>American Bullfrog</t>
        </is>
      </c>
      <c r="M6" t="inlineStr">
        <is>
          <t>Amphibians; U.S. Invasive Species</t>
        </is>
      </c>
      <c r="N6" t="inlineStr">
        <is>
          <t>Tadpole</t>
        </is>
      </c>
      <c r="O6"/>
      <c r="P6" t="n">
        <v>26.0</v>
      </c>
      <c r="Q6"/>
      <c r="R6"/>
      <c r="S6"/>
      <c r="T6"/>
      <c r="U6" t="inlineStr">
        <is>
          <t>Gosner stage</t>
        </is>
      </c>
      <c r="V6" t="inlineStr">
        <is>
          <t>Renewal</t>
        </is>
      </c>
      <c r="W6" t="inlineStr">
        <is>
          <t>Fresh water</t>
        </is>
      </c>
      <c r="X6" t="inlineStr">
        <is>
          <t>Lab</t>
        </is>
      </c>
      <c r="Y6" t="n">
        <v>4.0</v>
      </c>
      <c r="Z6" t="inlineStr">
        <is>
          <t>Active ingredient</t>
        </is>
      </c>
      <c r="AA6"/>
      <c r="AB6"/>
      <c r="AC6"/>
      <c r="AD6" t="n">
        <v>0.001</v>
      </c>
      <c r="AE6"/>
      <c r="AF6" t="n">
        <v>0.0095</v>
      </c>
      <c r="AG6" t="inlineStr">
        <is>
          <t>AI mg/L</t>
        </is>
      </c>
      <c r="AH6"/>
      <c r="AI6"/>
      <c r="AJ6"/>
      <c r="AK6"/>
      <c r="AL6"/>
      <c r="AM6"/>
      <c r="AN6"/>
      <c r="AO6"/>
      <c r="AP6"/>
      <c r="AQ6"/>
      <c r="AR6"/>
      <c r="AS6"/>
      <c r="AT6"/>
      <c r="AU6"/>
      <c r="AV6"/>
      <c r="AW6"/>
      <c r="AX6" t="inlineStr">
        <is>
          <t>Accumulation</t>
        </is>
      </c>
      <c r="AY6" t="inlineStr">
        <is>
          <t>Residue</t>
        </is>
      </c>
      <c r="AZ6"/>
      <c r="BA6" t="inlineStr">
        <is>
          <t>Thyroid</t>
        </is>
      </c>
      <c r="BB6"/>
      <c r="BC6" t="n">
        <v>43.0</v>
      </c>
      <c r="BD6"/>
      <c r="BE6"/>
      <c r="BF6"/>
      <c r="BG6"/>
      <c r="BH6" t="inlineStr">
        <is>
          <t>Gosner stage</t>
        </is>
      </c>
      <c r="BI6"/>
      <c r="BJ6"/>
      <c r="BK6"/>
      <c r="BL6"/>
      <c r="BM6"/>
      <c r="BN6"/>
      <c r="BO6" t="inlineStr">
        <is>
          <t>--</t>
        </is>
      </c>
      <c r="BP6"/>
      <c r="BQ6"/>
      <c r="BR6"/>
      <c r="BS6"/>
      <c r="BT6"/>
      <c r="BU6"/>
      <c r="BV6"/>
      <c r="BW6"/>
      <c r="BX6"/>
      <c r="BY6"/>
      <c r="BZ6"/>
      <c r="CA6"/>
      <c r="CB6"/>
      <c r="CC6"/>
      <c r="CD6" t="inlineStr">
        <is>
          <t>Shu,Y., Q. Wang, J. He, H. Zhang, P. Hong, K.M.Y. Leung, L. Chen, and H. Wu</t>
        </is>
      </c>
      <c r="CE6" t="n">
        <v>195127.0</v>
      </c>
      <c r="CF6" t="inlineStr">
        <is>
          <t>Perfluorobutanesulfonate Interfering with the Intestinal Remodeling During Lithobates catesbeiana Metamorphosis via the Hypothalamic-Pituitary-Thyroid Axis</t>
        </is>
      </c>
      <c r="CG6" t="inlineStr">
        <is>
          <t>Environ. Sci. Technol.59(11): 5463-5473</t>
        </is>
      </c>
      <c r="CH6" t="n">
        <v>2025.0</v>
      </c>
      <c r="CI6"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7">
      <c r="A7" t="n">
        <v>375735.0</v>
      </c>
      <c r="B7" t="inlineStr">
        <is>
          <t>1,1,2,2,3,3,4,4,4-Nonafluoro-1-butanesulfonic acid</t>
        </is>
      </c>
      <c r="C7"/>
      <c r="D7" t="inlineStr">
        <is>
          <t>Measured</t>
        </is>
      </c>
      <c r="E7"/>
      <c r="F7" t="n">
        <v>97.0</v>
      </c>
      <c r="G7"/>
      <c r="H7"/>
      <c r="I7"/>
      <c r="J7"/>
      <c r="K7" t="inlineStr">
        <is>
          <t>Daphnia magna</t>
        </is>
      </c>
      <c r="L7" t="inlineStr">
        <is>
          <t>Water Flea</t>
        </is>
      </c>
      <c r="M7" t="inlineStr">
        <is>
          <t>Crustaceans; Standard Test Species</t>
        </is>
      </c>
      <c r="N7" t="inlineStr">
        <is>
          <t>Neonate</t>
        </is>
      </c>
      <c r="O7" t="inlineStr">
        <is>
          <t>&lt;</t>
        </is>
      </c>
      <c r="P7" t="n">
        <v>24.0</v>
      </c>
      <c r="Q7"/>
      <c r="R7"/>
      <c r="S7"/>
      <c r="T7"/>
      <c r="U7" t="inlineStr">
        <is>
          <t>Hour(s)</t>
        </is>
      </c>
      <c r="V7" t="inlineStr">
        <is>
          <t>Renewal</t>
        </is>
      </c>
      <c r="W7" t="inlineStr">
        <is>
          <t>Culture</t>
        </is>
      </c>
      <c r="X7" t="inlineStr">
        <is>
          <t>Lab</t>
        </is>
      </c>
      <c r="Y7" t="n">
        <v>7.0</v>
      </c>
      <c r="Z7" t="inlineStr">
        <is>
          <t>Active ingredient</t>
        </is>
      </c>
      <c r="AA7"/>
      <c r="AB7" t="n">
        <v>734.0</v>
      </c>
      <c r="AC7"/>
      <c r="AD7"/>
      <c r="AE7"/>
      <c r="AF7"/>
      <c r="AG7" t="inlineStr">
        <is>
          <t>AI mg/L</t>
        </is>
      </c>
      <c r="AH7"/>
      <c r="AI7"/>
      <c r="AJ7"/>
      <c r="AK7"/>
      <c r="AL7"/>
      <c r="AM7"/>
      <c r="AN7"/>
      <c r="AO7"/>
      <c r="AP7"/>
      <c r="AQ7"/>
      <c r="AR7"/>
      <c r="AS7"/>
      <c r="AT7"/>
      <c r="AU7"/>
      <c r="AV7"/>
      <c r="AW7"/>
      <c r="AX7" t="inlineStr">
        <is>
          <t>Accumulation</t>
        </is>
      </c>
      <c r="AY7" t="inlineStr">
        <is>
          <t>Residue</t>
        </is>
      </c>
      <c r="AZ7" t="inlineStr">
        <is>
          <t>BAF</t>
        </is>
      </c>
      <c r="BA7" t="inlineStr">
        <is>
          <t>Whole organism</t>
        </is>
      </c>
      <c r="BB7"/>
      <c r="BC7" t="n">
        <v>63.0</v>
      </c>
      <c r="BD7"/>
      <c r="BE7"/>
      <c r="BF7"/>
      <c r="BG7"/>
      <c r="BH7" t="inlineStr">
        <is>
          <t>Day(s)</t>
        </is>
      </c>
      <c r="BI7"/>
      <c r="BJ7" t="n">
        <v>4.62</v>
      </c>
      <c r="BK7"/>
      <c r="BL7"/>
      <c r="BM7"/>
      <c r="BN7"/>
      <c r="BO7" t="inlineStr">
        <is>
          <t>L/kg</t>
        </is>
      </c>
      <c r="BP7"/>
      <c r="BQ7"/>
      <c r="BR7"/>
      <c r="BS7"/>
      <c r="BT7"/>
      <c r="BU7"/>
      <c r="BV7"/>
      <c r="BW7"/>
      <c r="BX7"/>
      <c r="BY7"/>
      <c r="BZ7"/>
      <c r="CA7"/>
      <c r="CB7"/>
      <c r="CC7"/>
      <c r="CD7" t="inlineStr">
        <is>
          <t>Xie,G., C.A.M. Van Gestel, J.A. Vonk, and M.H.S. Kraak</t>
        </is>
      </c>
      <c r="CE7" t="n">
        <v>194419.0</v>
      </c>
      <c r="CF7" t="inlineStr">
        <is>
          <t>Multigeneration Responses of Daphnia magna to Short-Chain Per- and Polyfluorinated Substances (PFAS)</t>
        </is>
      </c>
      <c r="CG7" t="inlineStr">
        <is>
          <t>Ecotoxicol. Environ. Saf.294:11 p.</t>
        </is>
      </c>
      <c r="CH7" t="n">
        <v>2025.0</v>
      </c>
      <c r="CI7" t="inlineStr">
        <is>
          <t>Xie,G., C.A.M. Van Gestel, J.A. Vonk, and M.H.S. Kraak (2025). Multigeneration Responses of Daphnia magna to Short-Chain Per- and Polyfluorinated Substances (PFAS). Ecotoxicol. Environ. Saf., 294, 11 p. doi:10.1016/j.ecoenv.2025.118078. ECOREF#:194419</t>
        </is>
      </c>
    </row>
    <row r="8">
      <c r="A8" t="n">
        <v>375735.0</v>
      </c>
      <c r="B8" t="inlineStr">
        <is>
          <t>1,1,2,2,3,3,4,4,4-Nonafluoro-1-butanesulfonic acid</t>
        </is>
      </c>
      <c r="C8"/>
      <c r="D8" t="inlineStr">
        <is>
          <t>Measured</t>
        </is>
      </c>
      <c r="E8"/>
      <c r="F8" t="n">
        <v>97.0</v>
      </c>
      <c r="G8"/>
      <c r="H8"/>
      <c r="I8"/>
      <c r="J8"/>
      <c r="K8" t="inlineStr">
        <is>
          <t>Daphnia magna</t>
        </is>
      </c>
      <c r="L8" t="inlineStr">
        <is>
          <t>Water Flea</t>
        </is>
      </c>
      <c r="M8" t="inlineStr">
        <is>
          <t>Crustaceans; Standard Test Species</t>
        </is>
      </c>
      <c r="N8" t="inlineStr">
        <is>
          <t>Neonate</t>
        </is>
      </c>
      <c r="O8" t="inlineStr">
        <is>
          <t>&lt;</t>
        </is>
      </c>
      <c r="P8" t="n">
        <v>24.0</v>
      </c>
      <c r="Q8"/>
      <c r="R8"/>
      <c r="S8"/>
      <c r="T8"/>
      <c r="U8" t="inlineStr">
        <is>
          <t>Hour(s)</t>
        </is>
      </c>
      <c r="V8" t="inlineStr">
        <is>
          <t>Renewal</t>
        </is>
      </c>
      <c r="W8" t="inlineStr">
        <is>
          <t>Culture</t>
        </is>
      </c>
      <c r="X8" t="inlineStr">
        <is>
          <t>Lab</t>
        </is>
      </c>
      <c r="Y8" t="n">
        <v>7.0</v>
      </c>
      <c r="Z8" t="inlineStr">
        <is>
          <t>Active ingredient</t>
        </is>
      </c>
      <c r="AA8"/>
      <c r="AB8" t="n">
        <v>478.0</v>
      </c>
      <c r="AC8"/>
      <c r="AD8"/>
      <c r="AE8"/>
      <c r="AF8"/>
      <c r="AG8" t="inlineStr">
        <is>
          <t>AI mg/L</t>
        </is>
      </c>
      <c r="AH8"/>
      <c r="AI8"/>
      <c r="AJ8"/>
      <c r="AK8"/>
      <c r="AL8"/>
      <c r="AM8"/>
      <c r="AN8"/>
      <c r="AO8"/>
      <c r="AP8"/>
      <c r="AQ8"/>
      <c r="AR8"/>
      <c r="AS8"/>
      <c r="AT8"/>
      <c r="AU8"/>
      <c r="AV8"/>
      <c r="AW8"/>
      <c r="AX8" t="inlineStr">
        <is>
          <t>Accumulation</t>
        </is>
      </c>
      <c r="AY8" t="inlineStr">
        <is>
          <t>Residue</t>
        </is>
      </c>
      <c r="AZ8" t="inlineStr">
        <is>
          <t>BAF</t>
        </is>
      </c>
      <c r="BA8" t="inlineStr">
        <is>
          <t>Whole organism</t>
        </is>
      </c>
      <c r="BB8"/>
      <c r="BC8" t="n">
        <v>42.0</v>
      </c>
      <c r="BD8"/>
      <c r="BE8"/>
      <c r="BF8"/>
      <c r="BG8"/>
      <c r="BH8" t="inlineStr">
        <is>
          <t>Day(s)</t>
        </is>
      </c>
      <c r="BI8"/>
      <c r="BJ8" t="n">
        <v>4.92</v>
      </c>
      <c r="BK8"/>
      <c r="BL8"/>
      <c r="BM8"/>
      <c r="BN8"/>
      <c r="BO8" t="inlineStr">
        <is>
          <t>L/kg</t>
        </is>
      </c>
      <c r="BP8"/>
      <c r="BQ8"/>
      <c r="BR8"/>
      <c r="BS8"/>
      <c r="BT8"/>
      <c r="BU8"/>
      <c r="BV8"/>
      <c r="BW8"/>
      <c r="BX8"/>
      <c r="BY8"/>
      <c r="BZ8"/>
      <c r="CA8"/>
      <c r="CB8"/>
      <c r="CC8"/>
      <c r="CD8" t="inlineStr">
        <is>
          <t>Xie,G., C.A.M. Van Gestel, J.A. Vonk, and M.H.S. Kraak</t>
        </is>
      </c>
      <c r="CE8" t="n">
        <v>194419.0</v>
      </c>
      <c r="CF8" t="inlineStr">
        <is>
          <t>Multigeneration Responses of Daphnia magna to Short-Chain Per- and Polyfluorinated Substances (PFAS)</t>
        </is>
      </c>
      <c r="CG8" t="inlineStr">
        <is>
          <t>Ecotoxicol. Environ. Saf.294:11 p.</t>
        </is>
      </c>
      <c r="CH8" t="n">
        <v>2025.0</v>
      </c>
      <c r="CI8" t="inlineStr">
        <is>
          <t>Xie,G., C.A.M. Van Gestel, J.A. Vonk, and M.H.S. Kraak (2025). Multigeneration Responses of Daphnia magna to Short-Chain Per- and Polyfluorinated Substances (PFAS). Ecotoxicol. Environ. Saf., 294, 11 p. doi:10.1016/j.ecoenv.2025.118078. ECOREF#:194419</t>
        </is>
      </c>
    </row>
    <row r="9">
      <c r="A9" t="n">
        <v>375735.0</v>
      </c>
      <c r="B9" t="inlineStr">
        <is>
          <t>1,1,2,2,3,3,4,4,4-Nonafluoro-1-butanesulfonic acid</t>
        </is>
      </c>
      <c r="C9"/>
      <c r="D9" t="inlineStr">
        <is>
          <t>Measured</t>
        </is>
      </c>
      <c r="E9"/>
      <c r="F9" t="n">
        <v>97.0</v>
      </c>
      <c r="G9"/>
      <c r="H9"/>
      <c r="I9"/>
      <c r="J9"/>
      <c r="K9" t="inlineStr">
        <is>
          <t>Daphnia magna</t>
        </is>
      </c>
      <c r="L9" t="inlineStr">
        <is>
          <t>Water Flea</t>
        </is>
      </c>
      <c r="M9" t="inlineStr">
        <is>
          <t>Crustaceans; Standard Test Species</t>
        </is>
      </c>
      <c r="N9" t="inlineStr">
        <is>
          <t>Neonate</t>
        </is>
      </c>
      <c r="O9" t="inlineStr">
        <is>
          <t>&lt;</t>
        </is>
      </c>
      <c r="P9" t="n">
        <v>24.0</v>
      </c>
      <c r="Q9"/>
      <c r="R9"/>
      <c r="S9"/>
      <c r="T9"/>
      <c r="U9" t="inlineStr">
        <is>
          <t>Hour(s)</t>
        </is>
      </c>
      <c r="V9" t="inlineStr">
        <is>
          <t>Renewal</t>
        </is>
      </c>
      <c r="W9" t="inlineStr">
        <is>
          <t>Culture</t>
        </is>
      </c>
      <c r="X9" t="inlineStr">
        <is>
          <t>Lab</t>
        </is>
      </c>
      <c r="Y9" t="n">
        <v>7.0</v>
      </c>
      <c r="Z9" t="inlineStr">
        <is>
          <t>Active ingredient</t>
        </is>
      </c>
      <c r="AA9"/>
      <c r="AB9" t="n">
        <v>54.2</v>
      </c>
      <c r="AC9"/>
      <c r="AD9"/>
      <c r="AE9"/>
      <c r="AF9"/>
      <c r="AG9" t="inlineStr">
        <is>
          <t>AI mg/L</t>
        </is>
      </c>
      <c r="AH9"/>
      <c r="AI9"/>
      <c r="AJ9"/>
      <c r="AK9"/>
      <c r="AL9"/>
      <c r="AM9"/>
      <c r="AN9"/>
      <c r="AO9"/>
      <c r="AP9"/>
      <c r="AQ9"/>
      <c r="AR9"/>
      <c r="AS9"/>
      <c r="AT9"/>
      <c r="AU9"/>
      <c r="AV9"/>
      <c r="AW9"/>
      <c r="AX9" t="inlineStr">
        <is>
          <t>Accumulation</t>
        </is>
      </c>
      <c r="AY9" t="inlineStr">
        <is>
          <t>Residue</t>
        </is>
      </c>
      <c r="AZ9" t="inlineStr">
        <is>
          <t>BAF</t>
        </is>
      </c>
      <c r="BA9" t="inlineStr">
        <is>
          <t>Whole organism</t>
        </is>
      </c>
      <c r="BB9"/>
      <c r="BC9" t="n">
        <v>84.0</v>
      </c>
      <c r="BD9"/>
      <c r="BE9"/>
      <c r="BF9"/>
      <c r="BG9"/>
      <c r="BH9" t="inlineStr">
        <is>
          <t>Day(s)</t>
        </is>
      </c>
      <c r="BI9"/>
      <c r="BJ9" t="n">
        <v>5.63</v>
      </c>
      <c r="BK9"/>
      <c r="BL9"/>
      <c r="BM9"/>
      <c r="BN9"/>
      <c r="BO9" t="inlineStr">
        <is>
          <t>L/kg</t>
        </is>
      </c>
      <c r="BP9"/>
      <c r="BQ9"/>
      <c r="BR9"/>
      <c r="BS9"/>
      <c r="BT9"/>
      <c r="BU9"/>
      <c r="BV9"/>
      <c r="BW9"/>
      <c r="BX9"/>
      <c r="BY9"/>
      <c r="BZ9"/>
      <c r="CA9"/>
      <c r="CB9"/>
      <c r="CC9"/>
      <c r="CD9" t="inlineStr">
        <is>
          <t>Xie,G., C.A.M. Van Gestel, J.A. Vonk, and M.H.S. Kraak</t>
        </is>
      </c>
      <c r="CE9" t="n">
        <v>194419.0</v>
      </c>
      <c r="CF9" t="inlineStr">
        <is>
          <t>Multigeneration Responses of Daphnia magna to Short-Chain Per- and Polyfluorinated Substances (PFAS)</t>
        </is>
      </c>
      <c r="CG9" t="inlineStr">
        <is>
          <t>Ecotoxicol. Environ. Saf.294:11 p.</t>
        </is>
      </c>
      <c r="CH9" t="n">
        <v>2025.0</v>
      </c>
      <c r="CI9" t="inlineStr">
        <is>
          <t>Xie,G., C.A.M. Van Gestel, J.A. Vonk, and M.H.S. Kraak (2025). Multigeneration Responses of Daphnia magna to Short-Chain Per- and Polyfluorinated Substances (PFAS). Ecotoxicol. Environ. Saf., 294, 11 p. doi:10.1016/j.ecoenv.2025.118078. ECOREF#:194419</t>
        </is>
      </c>
    </row>
    <row r="10">
      <c r="A10" t="n">
        <v>375735.0</v>
      </c>
      <c r="B10" t="inlineStr">
        <is>
          <t>1,1,2,2,3,3,4,4,4-Nonafluoro-1-butanesulfonic acid</t>
        </is>
      </c>
      <c r="C10"/>
      <c r="D10" t="inlineStr">
        <is>
          <t>Measured</t>
        </is>
      </c>
      <c r="E10"/>
      <c r="F10" t="n">
        <v>97.0</v>
      </c>
      <c r="G10"/>
      <c r="H10"/>
      <c r="I10"/>
      <c r="J10"/>
      <c r="K10" t="inlineStr">
        <is>
          <t>Daphnia magna</t>
        </is>
      </c>
      <c r="L10" t="inlineStr">
        <is>
          <t>Water Flea</t>
        </is>
      </c>
      <c r="M10" t="inlineStr">
        <is>
          <t>Crustaceans; Standard Test Species</t>
        </is>
      </c>
      <c r="N10" t="inlineStr">
        <is>
          <t>Neonate</t>
        </is>
      </c>
      <c r="O10" t="inlineStr">
        <is>
          <t>&lt;</t>
        </is>
      </c>
      <c r="P10" t="n">
        <v>24.0</v>
      </c>
      <c r="Q10"/>
      <c r="R10"/>
      <c r="S10"/>
      <c r="T10"/>
      <c r="U10" t="inlineStr">
        <is>
          <t>Hour(s)</t>
        </is>
      </c>
      <c r="V10" t="inlineStr">
        <is>
          <t>Renewal</t>
        </is>
      </c>
      <c r="W10" t="inlineStr">
        <is>
          <t>Culture</t>
        </is>
      </c>
      <c r="X10" t="inlineStr">
        <is>
          <t>Lab</t>
        </is>
      </c>
      <c r="Y10" t="n">
        <v>7.0</v>
      </c>
      <c r="Z10" t="inlineStr">
        <is>
          <t>Active ingredient</t>
        </is>
      </c>
      <c r="AA10"/>
      <c r="AB10" t="n">
        <v>54.2</v>
      </c>
      <c r="AC10"/>
      <c r="AD10"/>
      <c r="AE10"/>
      <c r="AF10"/>
      <c r="AG10" t="inlineStr">
        <is>
          <t>AI mg/L</t>
        </is>
      </c>
      <c r="AH10"/>
      <c r="AI10"/>
      <c r="AJ10"/>
      <c r="AK10"/>
      <c r="AL10"/>
      <c r="AM10"/>
      <c r="AN10"/>
      <c r="AO10"/>
      <c r="AP10"/>
      <c r="AQ10"/>
      <c r="AR10"/>
      <c r="AS10"/>
      <c r="AT10"/>
      <c r="AU10"/>
      <c r="AV10"/>
      <c r="AW10"/>
      <c r="AX10" t="inlineStr">
        <is>
          <t>Accumulation</t>
        </is>
      </c>
      <c r="AY10" t="inlineStr">
        <is>
          <t>Residue</t>
        </is>
      </c>
      <c r="AZ10" t="inlineStr">
        <is>
          <t>BAF</t>
        </is>
      </c>
      <c r="BA10" t="inlineStr">
        <is>
          <t>Whole organism</t>
        </is>
      </c>
      <c r="BB10"/>
      <c r="BC10" t="n">
        <v>42.0</v>
      </c>
      <c r="BD10"/>
      <c r="BE10"/>
      <c r="BF10"/>
      <c r="BG10"/>
      <c r="BH10" t="inlineStr">
        <is>
          <t>Day(s)</t>
        </is>
      </c>
      <c r="BI10"/>
      <c r="BJ10" t="n">
        <v>6.31</v>
      </c>
      <c r="BK10"/>
      <c r="BL10"/>
      <c r="BM10"/>
      <c r="BN10"/>
      <c r="BO10" t="inlineStr">
        <is>
          <t>L/kg</t>
        </is>
      </c>
      <c r="BP10"/>
      <c r="BQ10"/>
      <c r="BR10"/>
      <c r="BS10"/>
      <c r="BT10"/>
      <c r="BU10"/>
      <c r="BV10"/>
      <c r="BW10"/>
      <c r="BX10"/>
      <c r="BY10"/>
      <c r="BZ10"/>
      <c r="CA10"/>
      <c r="CB10"/>
      <c r="CC10"/>
      <c r="CD10" t="inlineStr">
        <is>
          <t>Xie,G., C.A.M. Van Gestel, J.A. Vonk, and M.H.S. Kraak</t>
        </is>
      </c>
      <c r="CE10" t="n">
        <v>194419.0</v>
      </c>
      <c r="CF10" t="inlineStr">
        <is>
          <t>Multigeneration Responses of Daphnia magna to Short-Chain Per- and Polyfluorinated Substances (PFAS)</t>
        </is>
      </c>
      <c r="CG10" t="inlineStr">
        <is>
          <t>Ecotoxicol. Environ. Saf.294:11 p.</t>
        </is>
      </c>
      <c r="CH10" t="n">
        <v>2025.0</v>
      </c>
      <c r="CI10" t="inlineStr">
        <is>
          <t>Xie,G., C.A.M. Van Gestel, J.A. Vonk, and M.H.S. Kraak (2025). Multigeneration Responses of Daphnia magna to Short-Chain Per- and Polyfluorinated Substances (PFAS). Ecotoxicol. Environ. Saf., 294, 11 p. doi:10.1016/j.ecoenv.2025.118078. ECOREF#:194419</t>
        </is>
      </c>
    </row>
    <row r="11">
      <c r="A11" t="n">
        <v>375735.0</v>
      </c>
      <c r="B11" t="inlineStr">
        <is>
          <t>1,1,2,2,3,3,4,4,4-Nonafluoro-1-butanesulfonic acid</t>
        </is>
      </c>
      <c r="C11"/>
      <c r="D11" t="inlineStr">
        <is>
          <t>Measured</t>
        </is>
      </c>
      <c r="E11"/>
      <c r="F11" t="n">
        <v>97.0</v>
      </c>
      <c r="G11"/>
      <c r="H11"/>
      <c r="I11"/>
      <c r="J11"/>
      <c r="K11" t="inlineStr">
        <is>
          <t>Daphnia magna</t>
        </is>
      </c>
      <c r="L11" t="inlineStr">
        <is>
          <t>Water Flea</t>
        </is>
      </c>
      <c r="M11" t="inlineStr">
        <is>
          <t>Crustaceans; Standard Test Species</t>
        </is>
      </c>
      <c r="N11" t="inlineStr">
        <is>
          <t>Neonate</t>
        </is>
      </c>
      <c r="O11" t="inlineStr">
        <is>
          <t>&lt;</t>
        </is>
      </c>
      <c r="P11" t="n">
        <v>24.0</v>
      </c>
      <c r="Q11"/>
      <c r="R11"/>
      <c r="S11"/>
      <c r="T11"/>
      <c r="U11" t="inlineStr">
        <is>
          <t>Hour(s)</t>
        </is>
      </c>
      <c r="V11" t="inlineStr">
        <is>
          <t>Renewal</t>
        </is>
      </c>
      <c r="W11" t="inlineStr">
        <is>
          <t>Culture</t>
        </is>
      </c>
      <c r="X11" t="inlineStr">
        <is>
          <t>Lab</t>
        </is>
      </c>
      <c r="Y11" t="n">
        <v>7.0</v>
      </c>
      <c r="Z11" t="inlineStr">
        <is>
          <t>Active ingredient</t>
        </is>
      </c>
      <c r="AA11"/>
      <c r="AB11" t="n">
        <v>734.0</v>
      </c>
      <c r="AC11"/>
      <c r="AD11"/>
      <c r="AE11"/>
      <c r="AF11"/>
      <c r="AG11" t="inlineStr">
        <is>
          <t>AI mg/L</t>
        </is>
      </c>
      <c r="AH11"/>
      <c r="AI11"/>
      <c r="AJ11"/>
      <c r="AK11"/>
      <c r="AL11"/>
      <c r="AM11"/>
      <c r="AN11"/>
      <c r="AO11"/>
      <c r="AP11"/>
      <c r="AQ11"/>
      <c r="AR11"/>
      <c r="AS11"/>
      <c r="AT11"/>
      <c r="AU11"/>
      <c r="AV11"/>
      <c r="AW11"/>
      <c r="AX11" t="inlineStr">
        <is>
          <t>Accumulation</t>
        </is>
      </c>
      <c r="AY11" t="inlineStr">
        <is>
          <t>Residue</t>
        </is>
      </c>
      <c r="AZ11" t="inlineStr">
        <is>
          <t>BAF</t>
        </is>
      </c>
      <c r="BA11" t="inlineStr">
        <is>
          <t>Whole organism</t>
        </is>
      </c>
      <c r="BB11"/>
      <c r="BC11" t="n">
        <v>42.0</v>
      </c>
      <c r="BD11"/>
      <c r="BE11"/>
      <c r="BF11"/>
      <c r="BG11"/>
      <c r="BH11" t="inlineStr">
        <is>
          <t>Day(s)</t>
        </is>
      </c>
      <c r="BI11"/>
      <c r="BJ11" t="n">
        <v>6.32</v>
      </c>
      <c r="BK11"/>
      <c r="BL11"/>
      <c r="BM11"/>
      <c r="BN11"/>
      <c r="BO11" t="inlineStr">
        <is>
          <t>L/kg</t>
        </is>
      </c>
      <c r="BP11"/>
      <c r="BQ11"/>
      <c r="BR11"/>
      <c r="BS11"/>
      <c r="BT11"/>
      <c r="BU11"/>
      <c r="BV11"/>
      <c r="BW11"/>
      <c r="BX11"/>
      <c r="BY11"/>
      <c r="BZ11"/>
      <c r="CA11"/>
      <c r="CB11"/>
      <c r="CC11"/>
      <c r="CD11" t="inlineStr">
        <is>
          <t>Xie,G., C.A.M. Van Gestel, J.A. Vonk, and M.H.S. Kraak</t>
        </is>
      </c>
      <c r="CE11" t="n">
        <v>194419.0</v>
      </c>
      <c r="CF11" t="inlineStr">
        <is>
          <t>Multigeneration Responses of Daphnia magna to Short-Chain Per- and Polyfluorinated Substances (PFAS)</t>
        </is>
      </c>
      <c r="CG11" t="inlineStr">
        <is>
          <t>Ecotoxicol. Environ. Saf.294:11 p.</t>
        </is>
      </c>
      <c r="CH11" t="n">
        <v>2025.0</v>
      </c>
      <c r="CI11" t="inlineStr">
        <is>
          <t>Xie,G., C.A.M. Van Gestel, J.A. Vonk, and M.H.S. Kraak (2025). Multigeneration Responses of Daphnia magna to Short-Chain Per- and Polyfluorinated Substances (PFAS). Ecotoxicol. Environ. Saf., 294, 11 p. doi:10.1016/j.ecoenv.2025.118078. ECOREF#:194419</t>
        </is>
      </c>
    </row>
    <row r="12">
      <c r="A12" t="n">
        <v>375735.0</v>
      </c>
      <c r="B12" t="inlineStr">
        <is>
          <t>1,1,2,2,3,3,4,4,4-Nonafluoro-1-butanesulfonic acid</t>
        </is>
      </c>
      <c r="C12"/>
      <c r="D12" t="inlineStr">
        <is>
          <t>Measured</t>
        </is>
      </c>
      <c r="E12"/>
      <c r="F12" t="n">
        <v>97.0</v>
      </c>
      <c r="G12"/>
      <c r="H12"/>
      <c r="I12"/>
      <c r="J12"/>
      <c r="K12" t="inlineStr">
        <is>
          <t>Daphnia magna</t>
        </is>
      </c>
      <c r="L12" t="inlineStr">
        <is>
          <t>Water Flea</t>
        </is>
      </c>
      <c r="M12" t="inlineStr">
        <is>
          <t>Crustaceans; Standard Test Species</t>
        </is>
      </c>
      <c r="N12" t="inlineStr">
        <is>
          <t>Neonate</t>
        </is>
      </c>
      <c r="O12" t="inlineStr">
        <is>
          <t>&lt;</t>
        </is>
      </c>
      <c r="P12" t="n">
        <v>24.0</v>
      </c>
      <c r="Q12"/>
      <c r="R12"/>
      <c r="S12"/>
      <c r="T12"/>
      <c r="U12" t="inlineStr">
        <is>
          <t>Hour(s)</t>
        </is>
      </c>
      <c r="V12" t="inlineStr">
        <is>
          <t>Renewal</t>
        </is>
      </c>
      <c r="W12" t="inlineStr">
        <is>
          <t>Culture</t>
        </is>
      </c>
      <c r="X12" t="inlineStr">
        <is>
          <t>Lab</t>
        </is>
      </c>
      <c r="Y12" t="n">
        <v>7.0</v>
      </c>
      <c r="Z12" t="inlineStr">
        <is>
          <t>Active ingredient</t>
        </is>
      </c>
      <c r="AA12"/>
      <c r="AB12" t="n">
        <v>478.0</v>
      </c>
      <c r="AC12"/>
      <c r="AD12"/>
      <c r="AE12"/>
      <c r="AF12"/>
      <c r="AG12" t="inlineStr">
        <is>
          <t>AI mg/L</t>
        </is>
      </c>
      <c r="AH12"/>
      <c r="AI12"/>
      <c r="AJ12"/>
      <c r="AK12"/>
      <c r="AL12"/>
      <c r="AM12"/>
      <c r="AN12"/>
      <c r="AO12"/>
      <c r="AP12"/>
      <c r="AQ12"/>
      <c r="AR12"/>
      <c r="AS12"/>
      <c r="AT12"/>
      <c r="AU12"/>
      <c r="AV12"/>
      <c r="AW12"/>
      <c r="AX12" t="inlineStr">
        <is>
          <t>Accumulation</t>
        </is>
      </c>
      <c r="AY12" t="inlineStr">
        <is>
          <t>Residue</t>
        </is>
      </c>
      <c r="AZ12" t="inlineStr">
        <is>
          <t>BAF</t>
        </is>
      </c>
      <c r="BA12" t="inlineStr">
        <is>
          <t>Whole organism</t>
        </is>
      </c>
      <c r="BB12"/>
      <c r="BC12" t="n">
        <v>63.0</v>
      </c>
      <c r="BD12"/>
      <c r="BE12"/>
      <c r="BF12"/>
      <c r="BG12"/>
      <c r="BH12" t="inlineStr">
        <is>
          <t>Day(s)</t>
        </is>
      </c>
      <c r="BI12"/>
      <c r="BJ12" t="n">
        <v>6.37</v>
      </c>
      <c r="BK12"/>
      <c r="BL12"/>
      <c r="BM12"/>
      <c r="BN12"/>
      <c r="BO12" t="inlineStr">
        <is>
          <t>L/kg</t>
        </is>
      </c>
      <c r="BP12"/>
      <c r="BQ12"/>
      <c r="BR12"/>
      <c r="BS12"/>
      <c r="BT12"/>
      <c r="BU12"/>
      <c r="BV12"/>
      <c r="BW12"/>
      <c r="BX12"/>
      <c r="BY12"/>
      <c r="BZ12"/>
      <c r="CA12"/>
      <c r="CB12"/>
      <c r="CC12"/>
      <c r="CD12" t="inlineStr">
        <is>
          <t>Xie,G., C.A.M. Van Gestel, J.A. Vonk, and M.H.S. Kraak</t>
        </is>
      </c>
      <c r="CE12" t="n">
        <v>194419.0</v>
      </c>
      <c r="CF12" t="inlineStr">
        <is>
          <t>Multigeneration Responses of Daphnia magna to Short-Chain Per- and Polyfluorinated Substances (PFAS)</t>
        </is>
      </c>
      <c r="CG12" t="inlineStr">
        <is>
          <t>Ecotoxicol. Environ. Saf.294:11 p.</t>
        </is>
      </c>
      <c r="CH12" t="n">
        <v>2025.0</v>
      </c>
      <c r="CI12" t="inlineStr">
        <is>
          <t>Xie,G., C.A.M. Van Gestel, J.A. Vonk, and M.H.S. Kraak (2025). Multigeneration Responses of Daphnia magna to Short-Chain Per- and Polyfluorinated Substances (PFAS). Ecotoxicol. Environ. Saf., 294, 11 p. doi:10.1016/j.ecoenv.2025.118078. ECOREF#:194419</t>
        </is>
      </c>
    </row>
    <row r="13">
      <c r="A13" t="n">
        <v>375735.0</v>
      </c>
      <c r="B13" t="inlineStr">
        <is>
          <t>1,1,2,2,3,3,4,4,4-Nonafluoro-1-butanesulfonic acid</t>
        </is>
      </c>
      <c r="C13"/>
      <c r="D13" t="inlineStr">
        <is>
          <t>Measured</t>
        </is>
      </c>
      <c r="E13"/>
      <c r="F13" t="n">
        <v>97.0</v>
      </c>
      <c r="G13"/>
      <c r="H13"/>
      <c r="I13"/>
      <c r="J13"/>
      <c r="K13" t="inlineStr">
        <is>
          <t>Daphnia magna</t>
        </is>
      </c>
      <c r="L13" t="inlineStr">
        <is>
          <t>Water Flea</t>
        </is>
      </c>
      <c r="M13" t="inlineStr">
        <is>
          <t>Crustaceans; Standard Test Species</t>
        </is>
      </c>
      <c r="N13" t="inlineStr">
        <is>
          <t>Neonate</t>
        </is>
      </c>
      <c r="O13" t="inlineStr">
        <is>
          <t>&lt;</t>
        </is>
      </c>
      <c r="P13" t="n">
        <v>24.0</v>
      </c>
      <c r="Q13"/>
      <c r="R13"/>
      <c r="S13"/>
      <c r="T13"/>
      <c r="U13" t="inlineStr">
        <is>
          <t>Hour(s)</t>
        </is>
      </c>
      <c r="V13" t="inlineStr">
        <is>
          <t>Renewal</t>
        </is>
      </c>
      <c r="W13" t="inlineStr">
        <is>
          <t>Culture</t>
        </is>
      </c>
      <c r="X13" t="inlineStr">
        <is>
          <t>Lab</t>
        </is>
      </c>
      <c r="Y13" t="n">
        <v>7.0</v>
      </c>
      <c r="Z13" t="inlineStr">
        <is>
          <t>Active ingredient</t>
        </is>
      </c>
      <c r="AA13"/>
      <c r="AB13" t="n">
        <v>190.0</v>
      </c>
      <c r="AC13"/>
      <c r="AD13"/>
      <c r="AE13"/>
      <c r="AF13"/>
      <c r="AG13" t="inlineStr">
        <is>
          <t>AI mg/L</t>
        </is>
      </c>
      <c r="AH13"/>
      <c r="AI13"/>
      <c r="AJ13"/>
      <c r="AK13"/>
      <c r="AL13"/>
      <c r="AM13"/>
      <c r="AN13"/>
      <c r="AO13"/>
      <c r="AP13"/>
      <c r="AQ13"/>
      <c r="AR13"/>
      <c r="AS13"/>
      <c r="AT13"/>
      <c r="AU13"/>
      <c r="AV13"/>
      <c r="AW13"/>
      <c r="AX13" t="inlineStr">
        <is>
          <t>Accumulation</t>
        </is>
      </c>
      <c r="AY13" t="inlineStr">
        <is>
          <t>Residue</t>
        </is>
      </c>
      <c r="AZ13" t="inlineStr">
        <is>
          <t>BAF</t>
        </is>
      </c>
      <c r="BA13" t="inlineStr">
        <is>
          <t>Whole organism</t>
        </is>
      </c>
      <c r="BB13"/>
      <c r="BC13" t="n">
        <v>84.0</v>
      </c>
      <c r="BD13"/>
      <c r="BE13"/>
      <c r="BF13"/>
      <c r="BG13"/>
      <c r="BH13" t="inlineStr">
        <is>
          <t>Day(s)</t>
        </is>
      </c>
      <c r="BI13"/>
      <c r="BJ13" t="n">
        <v>6.65</v>
      </c>
      <c r="BK13"/>
      <c r="BL13"/>
      <c r="BM13"/>
      <c r="BN13"/>
      <c r="BO13" t="inlineStr">
        <is>
          <t>L/kg</t>
        </is>
      </c>
      <c r="BP13"/>
      <c r="BQ13"/>
      <c r="BR13"/>
      <c r="BS13"/>
      <c r="BT13"/>
      <c r="BU13"/>
      <c r="BV13"/>
      <c r="BW13"/>
      <c r="BX13"/>
      <c r="BY13"/>
      <c r="BZ13"/>
      <c r="CA13"/>
      <c r="CB13"/>
      <c r="CC13"/>
      <c r="CD13" t="inlineStr">
        <is>
          <t>Xie,G., C.A.M. Van Gestel, J.A. Vonk, and M.H.S. Kraak</t>
        </is>
      </c>
      <c r="CE13" t="n">
        <v>194419.0</v>
      </c>
      <c r="CF13" t="inlineStr">
        <is>
          <t>Multigeneration Responses of Daphnia magna to Short-Chain Per- and Polyfluorinated Substances (PFAS)</t>
        </is>
      </c>
      <c r="CG13" t="inlineStr">
        <is>
          <t>Ecotoxicol. Environ. Saf.294:11 p.</t>
        </is>
      </c>
      <c r="CH13" t="n">
        <v>2025.0</v>
      </c>
      <c r="CI13" t="inlineStr">
        <is>
          <t>Xie,G., C.A.M. Van Gestel, J.A. Vonk, and M.H.S. Kraak (2025). Multigeneration Responses of Daphnia magna to Short-Chain Per- and Polyfluorinated Substances (PFAS). Ecotoxicol. Environ. Saf., 294, 11 p. doi:10.1016/j.ecoenv.2025.118078. ECOREF#:194419</t>
        </is>
      </c>
    </row>
    <row r="14">
      <c r="A14" t="n">
        <v>375735.0</v>
      </c>
      <c r="B14" t="inlineStr">
        <is>
          <t>1,1,2,2,3,3,4,4,4-Nonafluoro-1-butanesulfonic acid</t>
        </is>
      </c>
      <c r="C14"/>
      <c r="D14" t="inlineStr">
        <is>
          <t>Measured</t>
        </is>
      </c>
      <c r="E14"/>
      <c r="F14" t="n">
        <v>97.0</v>
      </c>
      <c r="G14"/>
      <c r="H14"/>
      <c r="I14"/>
      <c r="J14"/>
      <c r="K14" t="inlineStr">
        <is>
          <t>Daphnia magna</t>
        </is>
      </c>
      <c r="L14" t="inlineStr">
        <is>
          <t>Water Flea</t>
        </is>
      </c>
      <c r="M14" t="inlineStr">
        <is>
          <t>Crustaceans; Standard Test Species</t>
        </is>
      </c>
      <c r="N14" t="inlineStr">
        <is>
          <t>Neonate</t>
        </is>
      </c>
      <c r="O14" t="inlineStr">
        <is>
          <t>&lt;</t>
        </is>
      </c>
      <c r="P14" t="n">
        <v>24.0</v>
      </c>
      <c r="Q14"/>
      <c r="R14"/>
      <c r="S14"/>
      <c r="T14"/>
      <c r="U14" t="inlineStr">
        <is>
          <t>Hour(s)</t>
        </is>
      </c>
      <c r="V14" t="inlineStr">
        <is>
          <t>Renewal</t>
        </is>
      </c>
      <c r="W14" t="inlineStr">
        <is>
          <t>Culture</t>
        </is>
      </c>
      <c r="X14" t="inlineStr">
        <is>
          <t>Lab</t>
        </is>
      </c>
      <c r="Y14" t="n">
        <v>7.0</v>
      </c>
      <c r="Z14" t="inlineStr">
        <is>
          <t>Active ingredient</t>
        </is>
      </c>
      <c r="AA14"/>
      <c r="AB14" t="n">
        <v>478.0</v>
      </c>
      <c r="AC14"/>
      <c r="AD14"/>
      <c r="AE14"/>
      <c r="AF14"/>
      <c r="AG14" t="inlineStr">
        <is>
          <t>AI mg/L</t>
        </is>
      </c>
      <c r="AH14"/>
      <c r="AI14"/>
      <c r="AJ14"/>
      <c r="AK14"/>
      <c r="AL14"/>
      <c r="AM14"/>
      <c r="AN14"/>
      <c r="AO14"/>
      <c r="AP14"/>
      <c r="AQ14"/>
      <c r="AR14"/>
      <c r="AS14"/>
      <c r="AT14"/>
      <c r="AU14"/>
      <c r="AV14"/>
      <c r="AW14"/>
      <c r="AX14" t="inlineStr">
        <is>
          <t>Accumulation</t>
        </is>
      </c>
      <c r="AY14" t="inlineStr">
        <is>
          <t>Residue</t>
        </is>
      </c>
      <c r="AZ14" t="inlineStr">
        <is>
          <t>BAF</t>
        </is>
      </c>
      <c r="BA14" t="inlineStr">
        <is>
          <t>Whole organism</t>
        </is>
      </c>
      <c r="BB14"/>
      <c r="BC14" t="n">
        <v>84.0</v>
      </c>
      <c r="BD14"/>
      <c r="BE14"/>
      <c r="BF14"/>
      <c r="BG14"/>
      <c r="BH14" t="inlineStr">
        <is>
          <t>Day(s)</t>
        </is>
      </c>
      <c r="BI14"/>
      <c r="BJ14" t="n">
        <v>6.7</v>
      </c>
      <c r="BK14"/>
      <c r="BL14"/>
      <c r="BM14"/>
      <c r="BN14"/>
      <c r="BO14" t="inlineStr">
        <is>
          <t>L/kg</t>
        </is>
      </c>
      <c r="BP14"/>
      <c r="BQ14"/>
      <c r="BR14"/>
      <c r="BS14"/>
      <c r="BT14"/>
      <c r="BU14"/>
      <c r="BV14"/>
      <c r="BW14"/>
      <c r="BX14"/>
      <c r="BY14"/>
      <c r="BZ14"/>
      <c r="CA14"/>
      <c r="CB14"/>
      <c r="CC14"/>
      <c r="CD14" t="inlineStr">
        <is>
          <t>Xie,G., C.A.M. Van Gestel, J.A. Vonk, and M.H.S. Kraak</t>
        </is>
      </c>
      <c r="CE14" t="n">
        <v>194419.0</v>
      </c>
      <c r="CF14" t="inlineStr">
        <is>
          <t>Multigeneration Responses of Daphnia magna to Short-Chain Per- and Polyfluorinated Substances (PFAS)</t>
        </is>
      </c>
      <c r="CG14" t="inlineStr">
        <is>
          <t>Ecotoxicol. Environ. Saf.294:11 p.</t>
        </is>
      </c>
      <c r="CH14" t="n">
        <v>2025.0</v>
      </c>
      <c r="CI14" t="inlineStr">
        <is>
          <t>Xie,G., C.A.M. Van Gestel, J.A. Vonk, and M.H.S. Kraak (2025). Multigeneration Responses of Daphnia magna to Short-Chain Per- and Polyfluorinated Substances (PFAS). Ecotoxicol. Environ. Saf., 294, 11 p. doi:10.1016/j.ecoenv.2025.118078. ECOREF#:194419</t>
        </is>
      </c>
    </row>
    <row r="15">
      <c r="A15" t="n">
        <v>375735.0</v>
      </c>
      <c r="B15" t="inlineStr">
        <is>
          <t>1,1,2,2,3,3,4,4,4-Nonafluoro-1-butanesulfonic acid</t>
        </is>
      </c>
      <c r="C15"/>
      <c r="D15" t="inlineStr">
        <is>
          <t>Measured</t>
        </is>
      </c>
      <c r="E15"/>
      <c r="F15" t="n">
        <v>97.0</v>
      </c>
      <c r="G15"/>
      <c r="H15"/>
      <c r="I15"/>
      <c r="J15"/>
      <c r="K15" t="inlineStr">
        <is>
          <t>Daphnia magna</t>
        </is>
      </c>
      <c r="L15" t="inlineStr">
        <is>
          <t>Water Flea</t>
        </is>
      </c>
      <c r="M15" t="inlineStr">
        <is>
          <t>Crustaceans; Standard Test Species</t>
        </is>
      </c>
      <c r="N15" t="inlineStr">
        <is>
          <t>Neonate</t>
        </is>
      </c>
      <c r="O15" t="inlineStr">
        <is>
          <t>&lt;</t>
        </is>
      </c>
      <c r="P15" t="n">
        <v>24.0</v>
      </c>
      <c r="Q15"/>
      <c r="R15"/>
      <c r="S15"/>
      <c r="T15"/>
      <c r="U15" t="inlineStr">
        <is>
          <t>Hour(s)</t>
        </is>
      </c>
      <c r="V15" t="inlineStr">
        <is>
          <t>Renewal</t>
        </is>
      </c>
      <c r="W15" t="inlineStr">
        <is>
          <t>Culture</t>
        </is>
      </c>
      <c r="X15" t="inlineStr">
        <is>
          <t>Lab</t>
        </is>
      </c>
      <c r="Y15" t="n">
        <v>7.0</v>
      </c>
      <c r="Z15" t="inlineStr">
        <is>
          <t>Active ingredient</t>
        </is>
      </c>
      <c r="AA15"/>
      <c r="AB15" t="n">
        <v>92.4</v>
      </c>
      <c r="AC15"/>
      <c r="AD15"/>
      <c r="AE15"/>
      <c r="AF15"/>
      <c r="AG15" t="inlineStr">
        <is>
          <t>AI mg/L</t>
        </is>
      </c>
      <c r="AH15"/>
      <c r="AI15"/>
      <c r="AJ15"/>
      <c r="AK15"/>
      <c r="AL15"/>
      <c r="AM15"/>
      <c r="AN15"/>
      <c r="AO15"/>
      <c r="AP15"/>
      <c r="AQ15"/>
      <c r="AR15"/>
      <c r="AS15"/>
      <c r="AT15"/>
      <c r="AU15"/>
      <c r="AV15"/>
      <c r="AW15"/>
      <c r="AX15" t="inlineStr">
        <is>
          <t>Accumulation</t>
        </is>
      </c>
      <c r="AY15" t="inlineStr">
        <is>
          <t>Residue</t>
        </is>
      </c>
      <c r="AZ15" t="inlineStr">
        <is>
          <t>BAF</t>
        </is>
      </c>
      <c r="BA15" t="inlineStr">
        <is>
          <t>Whole organism</t>
        </is>
      </c>
      <c r="BB15"/>
      <c r="BC15" t="n">
        <v>42.0</v>
      </c>
      <c r="BD15"/>
      <c r="BE15"/>
      <c r="BF15"/>
      <c r="BG15"/>
      <c r="BH15" t="inlineStr">
        <is>
          <t>Day(s)</t>
        </is>
      </c>
      <c r="BI15"/>
      <c r="BJ15" t="n">
        <v>7.32</v>
      </c>
      <c r="BK15"/>
      <c r="BL15"/>
      <c r="BM15"/>
      <c r="BN15"/>
      <c r="BO15" t="inlineStr">
        <is>
          <t>L/kg</t>
        </is>
      </c>
      <c r="BP15"/>
      <c r="BQ15"/>
      <c r="BR15"/>
      <c r="BS15"/>
      <c r="BT15"/>
      <c r="BU15"/>
      <c r="BV15"/>
      <c r="BW15"/>
      <c r="BX15"/>
      <c r="BY15"/>
      <c r="BZ15"/>
      <c r="CA15"/>
      <c r="CB15"/>
      <c r="CC15"/>
      <c r="CD15" t="inlineStr">
        <is>
          <t>Xie,G., C.A.M. Van Gestel, J.A. Vonk, and M.H.S. Kraak</t>
        </is>
      </c>
      <c r="CE15" t="n">
        <v>194419.0</v>
      </c>
      <c r="CF15" t="inlineStr">
        <is>
          <t>Multigeneration Responses of Daphnia magna to Short-Chain Per- and Polyfluorinated Substances (PFAS)</t>
        </is>
      </c>
      <c r="CG15" t="inlineStr">
        <is>
          <t>Ecotoxicol. Environ. Saf.294:11 p.</t>
        </is>
      </c>
      <c r="CH15" t="n">
        <v>2025.0</v>
      </c>
      <c r="CI15" t="inlineStr">
        <is>
          <t>Xie,G., C.A.M. Van Gestel, J.A. Vonk, and M.H.S. Kraak (2025). Multigeneration Responses of Daphnia magna to Short-Chain Per- and Polyfluorinated Substances (PFAS). Ecotoxicol. Environ. Saf., 294, 11 p. doi:10.1016/j.ecoenv.2025.118078. ECOREF#:194419</t>
        </is>
      </c>
    </row>
    <row r="16">
      <c r="A16" t="n">
        <v>375735.0</v>
      </c>
      <c r="B16" t="inlineStr">
        <is>
          <t>1,1,2,2,3,3,4,4,4-Nonafluoro-1-butanesulfonic acid</t>
        </is>
      </c>
      <c r="C16"/>
      <c r="D16" t="inlineStr">
        <is>
          <t>Measured</t>
        </is>
      </c>
      <c r="E16"/>
      <c r="F16" t="n">
        <v>97.0</v>
      </c>
      <c r="G16"/>
      <c r="H16"/>
      <c r="I16"/>
      <c r="J16"/>
      <c r="K16" t="inlineStr">
        <is>
          <t>Daphnia magna</t>
        </is>
      </c>
      <c r="L16" t="inlineStr">
        <is>
          <t>Water Flea</t>
        </is>
      </c>
      <c r="M16" t="inlineStr">
        <is>
          <t>Crustaceans; Standard Test Species</t>
        </is>
      </c>
      <c r="N16" t="inlineStr">
        <is>
          <t>Neonate</t>
        </is>
      </c>
      <c r="O16" t="inlineStr">
        <is>
          <t>&lt;</t>
        </is>
      </c>
      <c r="P16" t="n">
        <v>24.0</v>
      </c>
      <c r="Q16"/>
      <c r="R16"/>
      <c r="S16"/>
      <c r="T16"/>
      <c r="U16" t="inlineStr">
        <is>
          <t>Hour(s)</t>
        </is>
      </c>
      <c r="V16" t="inlineStr">
        <is>
          <t>Renewal</t>
        </is>
      </c>
      <c r="W16" t="inlineStr">
        <is>
          <t>Culture</t>
        </is>
      </c>
      <c r="X16" t="inlineStr">
        <is>
          <t>Lab</t>
        </is>
      </c>
      <c r="Y16" t="n">
        <v>7.0</v>
      </c>
      <c r="Z16" t="inlineStr">
        <is>
          <t>Active ingredient</t>
        </is>
      </c>
      <c r="AA16"/>
      <c r="AB16" t="n">
        <v>54.2</v>
      </c>
      <c r="AC16"/>
      <c r="AD16"/>
      <c r="AE16"/>
      <c r="AF16"/>
      <c r="AG16" t="inlineStr">
        <is>
          <t>AI mg/L</t>
        </is>
      </c>
      <c r="AH16"/>
      <c r="AI16"/>
      <c r="AJ16"/>
      <c r="AK16"/>
      <c r="AL16"/>
      <c r="AM16"/>
      <c r="AN16"/>
      <c r="AO16"/>
      <c r="AP16"/>
      <c r="AQ16"/>
      <c r="AR16"/>
      <c r="AS16"/>
      <c r="AT16"/>
      <c r="AU16"/>
      <c r="AV16"/>
      <c r="AW16"/>
      <c r="AX16" t="inlineStr">
        <is>
          <t>Accumulation</t>
        </is>
      </c>
      <c r="AY16" t="inlineStr">
        <is>
          <t>Residue</t>
        </is>
      </c>
      <c r="AZ16" t="inlineStr">
        <is>
          <t>BAF</t>
        </is>
      </c>
      <c r="BA16" t="inlineStr">
        <is>
          <t>Whole organism</t>
        </is>
      </c>
      <c r="BB16"/>
      <c r="BC16" t="n">
        <v>105.0</v>
      </c>
      <c r="BD16"/>
      <c r="BE16"/>
      <c r="BF16"/>
      <c r="BG16"/>
      <c r="BH16" t="inlineStr">
        <is>
          <t>Day(s)</t>
        </is>
      </c>
      <c r="BI16"/>
      <c r="BJ16" t="n">
        <v>7.49</v>
      </c>
      <c r="BK16"/>
      <c r="BL16"/>
      <c r="BM16"/>
      <c r="BN16"/>
      <c r="BO16" t="inlineStr">
        <is>
          <t>L/kg</t>
        </is>
      </c>
      <c r="BP16"/>
      <c r="BQ16"/>
      <c r="BR16"/>
      <c r="BS16"/>
      <c r="BT16"/>
      <c r="BU16"/>
      <c r="BV16"/>
      <c r="BW16"/>
      <c r="BX16"/>
      <c r="BY16"/>
      <c r="BZ16"/>
      <c r="CA16"/>
      <c r="CB16"/>
      <c r="CC16"/>
      <c r="CD16" t="inlineStr">
        <is>
          <t>Xie,G., C.A.M. Van Gestel, J.A. Vonk, and M.H.S. Kraak</t>
        </is>
      </c>
      <c r="CE16" t="n">
        <v>194419.0</v>
      </c>
      <c r="CF16" t="inlineStr">
        <is>
          <t>Multigeneration Responses of Daphnia magna to Short-Chain Per- and Polyfluorinated Substances (PFAS)</t>
        </is>
      </c>
      <c r="CG16" t="inlineStr">
        <is>
          <t>Ecotoxicol. Environ. Saf.294:11 p.</t>
        </is>
      </c>
      <c r="CH16" t="n">
        <v>2025.0</v>
      </c>
      <c r="CI16" t="inlineStr">
        <is>
          <t>Xie,G., C.A.M. Van Gestel, J.A. Vonk, and M.H.S. Kraak (2025). Multigeneration Responses of Daphnia magna to Short-Chain Per- and Polyfluorinated Substances (PFAS). Ecotoxicol. Environ. Saf., 294, 11 p. doi:10.1016/j.ecoenv.2025.118078. ECOREF#:194419</t>
        </is>
      </c>
    </row>
    <row r="17">
      <c r="A17" t="n">
        <v>375735.0</v>
      </c>
      <c r="B17" t="inlineStr">
        <is>
          <t>1,1,2,2,3,3,4,4,4-Nonafluoro-1-butanesulfonic acid</t>
        </is>
      </c>
      <c r="C17"/>
      <c r="D17" t="inlineStr">
        <is>
          <t>Measured</t>
        </is>
      </c>
      <c r="E17"/>
      <c r="F17" t="n">
        <v>97.0</v>
      </c>
      <c r="G17"/>
      <c r="H17"/>
      <c r="I17"/>
      <c r="J17"/>
      <c r="K17" t="inlineStr">
        <is>
          <t>Daphnia magna</t>
        </is>
      </c>
      <c r="L17" t="inlineStr">
        <is>
          <t>Water Flea</t>
        </is>
      </c>
      <c r="M17" t="inlineStr">
        <is>
          <t>Crustaceans; Standard Test Species</t>
        </is>
      </c>
      <c r="N17" t="inlineStr">
        <is>
          <t>Neonate</t>
        </is>
      </c>
      <c r="O17" t="inlineStr">
        <is>
          <t>&lt;</t>
        </is>
      </c>
      <c r="P17" t="n">
        <v>24.0</v>
      </c>
      <c r="Q17"/>
      <c r="R17"/>
      <c r="S17"/>
      <c r="T17"/>
      <c r="U17" t="inlineStr">
        <is>
          <t>Hour(s)</t>
        </is>
      </c>
      <c r="V17" t="inlineStr">
        <is>
          <t>Renewal</t>
        </is>
      </c>
      <c r="W17" t="inlineStr">
        <is>
          <t>Culture</t>
        </is>
      </c>
      <c r="X17" t="inlineStr">
        <is>
          <t>Lab</t>
        </is>
      </c>
      <c r="Y17" t="n">
        <v>7.0</v>
      </c>
      <c r="Z17" t="inlineStr">
        <is>
          <t>Active ingredient</t>
        </is>
      </c>
      <c r="AA17"/>
      <c r="AB17" t="n">
        <v>190.0</v>
      </c>
      <c r="AC17"/>
      <c r="AD17"/>
      <c r="AE17"/>
      <c r="AF17"/>
      <c r="AG17" t="inlineStr">
        <is>
          <t>AI mg/L</t>
        </is>
      </c>
      <c r="AH17"/>
      <c r="AI17"/>
      <c r="AJ17"/>
      <c r="AK17"/>
      <c r="AL17"/>
      <c r="AM17"/>
      <c r="AN17"/>
      <c r="AO17"/>
      <c r="AP17"/>
      <c r="AQ17"/>
      <c r="AR17"/>
      <c r="AS17"/>
      <c r="AT17"/>
      <c r="AU17"/>
      <c r="AV17"/>
      <c r="AW17"/>
      <c r="AX17" t="inlineStr">
        <is>
          <t>Accumulation</t>
        </is>
      </c>
      <c r="AY17" t="inlineStr">
        <is>
          <t>Residue</t>
        </is>
      </c>
      <c r="AZ17" t="inlineStr">
        <is>
          <t>BAF</t>
        </is>
      </c>
      <c r="BA17" t="inlineStr">
        <is>
          <t>Whole organism</t>
        </is>
      </c>
      <c r="BB17"/>
      <c r="BC17" t="n">
        <v>42.0</v>
      </c>
      <c r="BD17"/>
      <c r="BE17"/>
      <c r="BF17"/>
      <c r="BG17"/>
      <c r="BH17" t="inlineStr">
        <is>
          <t>Day(s)</t>
        </is>
      </c>
      <c r="BI17"/>
      <c r="BJ17" t="n">
        <v>7.72</v>
      </c>
      <c r="BK17"/>
      <c r="BL17"/>
      <c r="BM17"/>
      <c r="BN17"/>
      <c r="BO17" t="inlineStr">
        <is>
          <t>L/kg</t>
        </is>
      </c>
      <c r="BP17"/>
      <c r="BQ17"/>
      <c r="BR17"/>
      <c r="BS17"/>
      <c r="BT17"/>
      <c r="BU17"/>
      <c r="BV17"/>
      <c r="BW17"/>
      <c r="BX17"/>
      <c r="BY17"/>
      <c r="BZ17"/>
      <c r="CA17"/>
      <c r="CB17"/>
      <c r="CC17"/>
      <c r="CD17" t="inlineStr">
        <is>
          <t>Xie,G., C.A.M. Van Gestel, J.A. Vonk, and M.H.S. Kraak</t>
        </is>
      </c>
      <c r="CE17" t="n">
        <v>194419.0</v>
      </c>
      <c r="CF17" t="inlineStr">
        <is>
          <t>Multigeneration Responses of Daphnia magna to Short-Chain Per- and Polyfluorinated Substances (PFAS)</t>
        </is>
      </c>
      <c r="CG17" t="inlineStr">
        <is>
          <t>Ecotoxicol. Environ. Saf.294:11 p.</t>
        </is>
      </c>
      <c r="CH17" t="n">
        <v>2025.0</v>
      </c>
      <c r="CI17" t="inlineStr">
        <is>
          <t>Xie,G., C.A.M. Van Gestel, J.A. Vonk, and M.H.S. Kraak (2025). Multigeneration Responses of Daphnia magna to Short-Chain Per- and Polyfluorinated Substances (PFAS). Ecotoxicol. Environ. Saf., 294, 11 p. doi:10.1016/j.ecoenv.2025.118078. ECOREF#:194419</t>
        </is>
      </c>
    </row>
    <row r="18">
      <c r="A18" t="n">
        <v>375735.0</v>
      </c>
      <c r="B18" t="inlineStr">
        <is>
          <t>1,1,2,2,3,3,4,4,4-Nonafluoro-1-butanesulfonic acid</t>
        </is>
      </c>
      <c r="C18"/>
      <c r="D18" t="inlineStr">
        <is>
          <t>Measured</t>
        </is>
      </c>
      <c r="E18"/>
      <c r="F18" t="n">
        <v>97.0</v>
      </c>
      <c r="G18"/>
      <c r="H18"/>
      <c r="I18"/>
      <c r="J18"/>
      <c r="K18" t="inlineStr">
        <is>
          <t>Daphnia magna</t>
        </is>
      </c>
      <c r="L18" t="inlineStr">
        <is>
          <t>Water Flea</t>
        </is>
      </c>
      <c r="M18" t="inlineStr">
        <is>
          <t>Crustaceans; Standard Test Species</t>
        </is>
      </c>
      <c r="N18" t="inlineStr">
        <is>
          <t>Neonate</t>
        </is>
      </c>
      <c r="O18" t="inlineStr">
        <is>
          <t>&lt;</t>
        </is>
      </c>
      <c r="P18" t="n">
        <v>24.0</v>
      </c>
      <c r="Q18"/>
      <c r="R18"/>
      <c r="S18"/>
      <c r="T18"/>
      <c r="U18" t="inlineStr">
        <is>
          <t>Hour(s)</t>
        </is>
      </c>
      <c r="V18" t="inlineStr">
        <is>
          <t>Renewal</t>
        </is>
      </c>
      <c r="W18" t="inlineStr">
        <is>
          <t>Culture</t>
        </is>
      </c>
      <c r="X18" t="inlineStr">
        <is>
          <t>Lab</t>
        </is>
      </c>
      <c r="Y18" t="n">
        <v>7.0</v>
      </c>
      <c r="Z18" t="inlineStr">
        <is>
          <t>Active ingredient</t>
        </is>
      </c>
      <c r="AA18"/>
      <c r="AB18" t="n">
        <v>54.2</v>
      </c>
      <c r="AC18"/>
      <c r="AD18"/>
      <c r="AE18"/>
      <c r="AF18"/>
      <c r="AG18" t="inlineStr">
        <is>
          <t>AI mg/L</t>
        </is>
      </c>
      <c r="AH18"/>
      <c r="AI18"/>
      <c r="AJ18"/>
      <c r="AK18"/>
      <c r="AL18"/>
      <c r="AM18"/>
      <c r="AN18"/>
      <c r="AO18"/>
      <c r="AP18"/>
      <c r="AQ18"/>
      <c r="AR18"/>
      <c r="AS18"/>
      <c r="AT18"/>
      <c r="AU18"/>
      <c r="AV18"/>
      <c r="AW18"/>
      <c r="AX18" t="inlineStr">
        <is>
          <t>Accumulation</t>
        </is>
      </c>
      <c r="AY18" t="inlineStr">
        <is>
          <t>Residue</t>
        </is>
      </c>
      <c r="AZ18" t="inlineStr">
        <is>
          <t>BAF</t>
        </is>
      </c>
      <c r="BA18" t="inlineStr">
        <is>
          <t>Whole organism</t>
        </is>
      </c>
      <c r="BB18"/>
      <c r="BC18" t="n">
        <v>63.0</v>
      </c>
      <c r="BD18"/>
      <c r="BE18"/>
      <c r="BF18"/>
      <c r="BG18"/>
      <c r="BH18" t="inlineStr">
        <is>
          <t>Day(s)</t>
        </is>
      </c>
      <c r="BI18"/>
      <c r="BJ18" t="n">
        <v>7.87</v>
      </c>
      <c r="BK18"/>
      <c r="BL18"/>
      <c r="BM18"/>
      <c r="BN18"/>
      <c r="BO18" t="inlineStr">
        <is>
          <t>L/kg</t>
        </is>
      </c>
      <c r="BP18"/>
      <c r="BQ18"/>
      <c r="BR18"/>
      <c r="BS18"/>
      <c r="BT18"/>
      <c r="BU18"/>
      <c r="BV18"/>
      <c r="BW18"/>
      <c r="BX18"/>
      <c r="BY18"/>
      <c r="BZ18"/>
      <c r="CA18"/>
      <c r="CB18"/>
      <c r="CC18"/>
      <c r="CD18" t="inlineStr">
        <is>
          <t>Xie,G., C.A.M. Van Gestel, J.A. Vonk, and M.H.S. Kraak</t>
        </is>
      </c>
      <c r="CE18" t="n">
        <v>194419.0</v>
      </c>
      <c r="CF18" t="inlineStr">
        <is>
          <t>Multigeneration Responses of Daphnia magna to Short-Chain Per- and Polyfluorinated Substances (PFAS)</t>
        </is>
      </c>
      <c r="CG18" t="inlineStr">
        <is>
          <t>Ecotoxicol. Environ. Saf.294:11 p.</t>
        </is>
      </c>
      <c r="CH18" t="n">
        <v>2025.0</v>
      </c>
      <c r="CI18" t="inlineStr">
        <is>
          <t>Xie,G., C.A.M. Van Gestel, J.A. Vonk, and M.H.S. Kraak (2025). Multigeneration Responses of Daphnia magna to Short-Chain Per- and Polyfluorinated Substances (PFAS). Ecotoxicol. Environ. Saf., 294, 11 p. doi:10.1016/j.ecoenv.2025.118078. ECOREF#:194419</t>
        </is>
      </c>
    </row>
    <row r="19">
      <c r="A19" t="n">
        <v>375735.0</v>
      </c>
      <c r="B19" t="inlineStr">
        <is>
          <t>1,1,2,2,3,3,4,4,4-Nonafluoro-1-butanesulfonic acid</t>
        </is>
      </c>
      <c r="C19"/>
      <c r="D19" t="inlineStr">
        <is>
          <t>Measured</t>
        </is>
      </c>
      <c r="E19"/>
      <c r="F19" t="n">
        <v>97.0</v>
      </c>
      <c r="G19"/>
      <c r="H19"/>
      <c r="I19"/>
      <c r="J19"/>
      <c r="K19" t="inlineStr">
        <is>
          <t>Daphnia magna</t>
        </is>
      </c>
      <c r="L19" t="inlineStr">
        <is>
          <t>Water Flea</t>
        </is>
      </c>
      <c r="M19" t="inlineStr">
        <is>
          <t>Crustaceans; Standard Test Species</t>
        </is>
      </c>
      <c r="N19" t="inlineStr">
        <is>
          <t>Neonate</t>
        </is>
      </c>
      <c r="O19" t="inlineStr">
        <is>
          <t>&lt;</t>
        </is>
      </c>
      <c r="P19" t="n">
        <v>24.0</v>
      </c>
      <c r="Q19"/>
      <c r="R19"/>
      <c r="S19"/>
      <c r="T19"/>
      <c r="U19" t="inlineStr">
        <is>
          <t>Hour(s)</t>
        </is>
      </c>
      <c r="V19" t="inlineStr">
        <is>
          <t>Renewal</t>
        </is>
      </c>
      <c r="W19" t="inlineStr">
        <is>
          <t>Culture</t>
        </is>
      </c>
      <c r="X19" t="inlineStr">
        <is>
          <t>Lab</t>
        </is>
      </c>
      <c r="Y19" t="n">
        <v>7.0</v>
      </c>
      <c r="Z19" t="inlineStr">
        <is>
          <t>Active ingredient</t>
        </is>
      </c>
      <c r="AA19"/>
      <c r="AB19" t="n">
        <v>92.4</v>
      </c>
      <c r="AC19"/>
      <c r="AD19"/>
      <c r="AE19"/>
      <c r="AF19"/>
      <c r="AG19" t="inlineStr">
        <is>
          <t>AI mg/L</t>
        </is>
      </c>
      <c r="AH19"/>
      <c r="AI19"/>
      <c r="AJ19"/>
      <c r="AK19"/>
      <c r="AL19"/>
      <c r="AM19"/>
      <c r="AN19"/>
      <c r="AO19"/>
      <c r="AP19"/>
      <c r="AQ19"/>
      <c r="AR19"/>
      <c r="AS19"/>
      <c r="AT19"/>
      <c r="AU19"/>
      <c r="AV19"/>
      <c r="AW19"/>
      <c r="AX19" t="inlineStr">
        <is>
          <t>Accumulation</t>
        </is>
      </c>
      <c r="AY19" t="inlineStr">
        <is>
          <t>Residue</t>
        </is>
      </c>
      <c r="AZ19" t="inlineStr">
        <is>
          <t>BAF</t>
        </is>
      </c>
      <c r="BA19" t="inlineStr">
        <is>
          <t>Whole organism</t>
        </is>
      </c>
      <c r="BB19"/>
      <c r="BC19" t="n">
        <v>84.0</v>
      </c>
      <c r="BD19"/>
      <c r="BE19"/>
      <c r="BF19"/>
      <c r="BG19"/>
      <c r="BH19" t="inlineStr">
        <is>
          <t>Day(s)</t>
        </is>
      </c>
      <c r="BI19"/>
      <c r="BJ19" t="n">
        <v>8.17</v>
      </c>
      <c r="BK19"/>
      <c r="BL19"/>
      <c r="BM19"/>
      <c r="BN19"/>
      <c r="BO19" t="inlineStr">
        <is>
          <t>L/kg</t>
        </is>
      </c>
      <c r="BP19"/>
      <c r="BQ19"/>
      <c r="BR19"/>
      <c r="BS19"/>
      <c r="BT19"/>
      <c r="BU19"/>
      <c r="BV19"/>
      <c r="BW19"/>
      <c r="BX19"/>
      <c r="BY19"/>
      <c r="BZ19"/>
      <c r="CA19"/>
      <c r="CB19"/>
      <c r="CC19"/>
      <c r="CD19" t="inlineStr">
        <is>
          <t>Xie,G., C.A.M. Van Gestel, J.A. Vonk, and M.H.S. Kraak</t>
        </is>
      </c>
      <c r="CE19" t="n">
        <v>194419.0</v>
      </c>
      <c r="CF19" t="inlineStr">
        <is>
          <t>Multigeneration Responses of Daphnia magna to Short-Chain Per- and Polyfluorinated Substances (PFAS)</t>
        </is>
      </c>
      <c r="CG19" t="inlineStr">
        <is>
          <t>Ecotoxicol. Environ. Saf.294:11 p.</t>
        </is>
      </c>
      <c r="CH19" t="n">
        <v>2025.0</v>
      </c>
      <c r="CI19" t="inlineStr">
        <is>
          <t>Xie,G., C.A.M. Van Gestel, J.A. Vonk, and M.H.S. Kraak (2025). Multigeneration Responses of Daphnia magna to Short-Chain Per- and Polyfluorinated Substances (PFAS). Ecotoxicol. Environ. Saf., 294, 11 p. doi:10.1016/j.ecoenv.2025.118078. ECOREF#:194419</t>
        </is>
      </c>
    </row>
    <row r="20">
      <c r="A20" t="n">
        <v>375735.0</v>
      </c>
      <c r="B20" t="inlineStr">
        <is>
          <t>1,1,2,2,3,3,4,4,4-Nonafluoro-1-butanesulfonic acid</t>
        </is>
      </c>
      <c r="C20"/>
      <c r="D20" t="inlineStr">
        <is>
          <t>Measured</t>
        </is>
      </c>
      <c r="E20"/>
      <c r="F20" t="n">
        <v>97.0</v>
      </c>
      <c r="G20"/>
      <c r="H20"/>
      <c r="I20"/>
      <c r="J20"/>
      <c r="K20" t="inlineStr">
        <is>
          <t>Daphnia magna</t>
        </is>
      </c>
      <c r="L20" t="inlineStr">
        <is>
          <t>Water Flea</t>
        </is>
      </c>
      <c r="M20" t="inlineStr">
        <is>
          <t>Crustaceans; Standard Test Species</t>
        </is>
      </c>
      <c r="N20" t="inlineStr">
        <is>
          <t>Neonate</t>
        </is>
      </c>
      <c r="O20" t="inlineStr">
        <is>
          <t>&lt;</t>
        </is>
      </c>
      <c r="P20" t="n">
        <v>24.0</v>
      </c>
      <c r="Q20"/>
      <c r="R20"/>
      <c r="S20"/>
      <c r="T20"/>
      <c r="U20" t="inlineStr">
        <is>
          <t>Hour(s)</t>
        </is>
      </c>
      <c r="V20" t="inlineStr">
        <is>
          <t>Renewal</t>
        </is>
      </c>
      <c r="W20" t="inlineStr">
        <is>
          <t>Culture</t>
        </is>
      </c>
      <c r="X20" t="inlineStr">
        <is>
          <t>Lab</t>
        </is>
      </c>
      <c r="Y20" t="n">
        <v>7.0</v>
      </c>
      <c r="Z20" t="inlineStr">
        <is>
          <t>Active ingredient</t>
        </is>
      </c>
      <c r="AA20"/>
      <c r="AB20" t="n">
        <v>92.4</v>
      </c>
      <c r="AC20"/>
      <c r="AD20"/>
      <c r="AE20"/>
      <c r="AF20"/>
      <c r="AG20" t="inlineStr">
        <is>
          <t>AI mg/L</t>
        </is>
      </c>
      <c r="AH20"/>
      <c r="AI20"/>
      <c r="AJ20"/>
      <c r="AK20"/>
      <c r="AL20"/>
      <c r="AM20"/>
      <c r="AN20"/>
      <c r="AO20"/>
      <c r="AP20"/>
      <c r="AQ20"/>
      <c r="AR20"/>
      <c r="AS20"/>
      <c r="AT20"/>
      <c r="AU20"/>
      <c r="AV20"/>
      <c r="AW20"/>
      <c r="AX20" t="inlineStr">
        <is>
          <t>Accumulation</t>
        </is>
      </c>
      <c r="AY20" t="inlineStr">
        <is>
          <t>Residue</t>
        </is>
      </c>
      <c r="AZ20" t="inlineStr">
        <is>
          <t>BAF</t>
        </is>
      </c>
      <c r="BA20" t="inlineStr">
        <is>
          <t>Whole organism</t>
        </is>
      </c>
      <c r="BB20"/>
      <c r="BC20" t="n">
        <v>63.0</v>
      </c>
      <c r="BD20"/>
      <c r="BE20"/>
      <c r="BF20"/>
      <c r="BG20"/>
      <c r="BH20" t="inlineStr">
        <is>
          <t>Day(s)</t>
        </is>
      </c>
      <c r="BI20"/>
      <c r="BJ20" t="n">
        <v>8.61</v>
      </c>
      <c r="BK20"/>
      <c r="BL20"/>
      <c r="BM20"/>
      <c r="BN20"/>
      <c r="BO20" t="inlineStr">
        <is>
          <t>L/kg</t>
        </is>
      </c>
      <c r="BP20"/>
      <c r="BQ20"/>
      <c r="BR20"/>
      <c r="BS20"/>
      <c r="BT20"/>
      <c r="BU20"/>
      <c r="BV20"/>
      <c r="BW20"/>
      <c r="BX20"/>
      <c r="BY20"/>
      <c r="BZ20"/>
      <c r="CA20"/>
      <c r="CB20"/>
      <c r="CC20"/>
      <c r="CD20" t="inlineStr">
        <is>
          <t>Xie,G., C.A.M. Van Gestel, J.A. Vonk, and M.H.S. Kraak</t>
        </is>
      </c>
      <c r="CE20" t="n">
        <v>194419.0</v>
      </c>
      <c r="CF20" t="inlineStr">
        <is>
          <t>Multigeneration Responses of Daphnia magna to Short-Chain Per- and Polyfluorinated Substances (PFAS)</t>
        </is>
      </c>
      <c r="CG20" t="inlineStr">
        <is>
          <t>Ecotoxicol. Environ. Saf.294:11 p.</t>
        </is>
      </c>
      <c r="CH20" t="n">
        <v>2025.0</v>
      </c>
      <c r="CI20" t="inlineStr">
        <is>
          <t>Xie,G., C.A.M. Van Gestel, J.A. Vonk, and M.H.S. Kraak (2025). Multigeneration Responses of Daphnia magna to Short-Chain Per- and Polyfluorinated Substances (PFAS). Ecotoxicol. Environ. Saf., 294, 11 p. doi:10.1016/j.ecoenv.2025.118078. ECOREF#:194419</t>
        </is>
      </c>
    </row>
    <row r="21">
      <c r="A21" t="n">
        <v>375735.0</v>
      </c>
      <c r="B21" t="inlineStr">
        <is>
          <t>1,1,2,2,3,3,4,4,4-Nonafluoro-1-butanesulfonic acid</t>
        </is>
      </c>
      <c r="C21"/>
      <c r="D21" t="inlineStr">
        <is>
          <t>Measured</t>
        </is>
      </c>
      <c r="E21"/>
      <c r="F21" t="n">
        <v>97.0</v>
      </c>
      <c r="G21"/>
      <c r="H21"/>
      <c r="I21"/>
      <c r="J21"/>
      <c r="K21" t="inlineStr">
        <is>
          <t>Daphnia magna</t>
        </is>
      </c>
      <c r="L21" t="inlineStr">
        <is>
          <t>Water Flea</t>
        </is>
      </c>
      <c r="M21" t="inlineStr">
        <is>
          <t>Crustaceans; Standard Test Species</t>
        </is>
      </c>
      <c r="N21" t="inlineStr">
        <is>
          <t>Neonate</t>
        </is>
      </c>
      <c r="O21" t="inlineStr">
        <is>
          <t>&lt;</t>
        </is>
      </c>
      <c r="P21" t="n">
        <v>24.0</v>
      </c>
      <c r="Q21"/>
      <c r="R21"/>
      <c r="S21"/>
      <c r="T21"/>
      <c r="U21" t="inlineStr">
        <is>
          <t>Hour(s)</t>
        </is>
      </c>
      <c r="V21" t="inlineStr">
        <is>
          <t>Renewal</t>
        </is>
      </c>
      <c r="W21" t="inlineStr">
        <is>
          <t>Culture</t>
        </is>
      </c>
      <c r="X21" t="inlineStr">
        <is>
          <t>Lab</t>
        </is>
      </c>
      <c r="Y21" t="n">
        <v>7.0</v>
      </c>
      <c r="Z21" t="inlineStr">
        <is>
          <t>Active ingredient</t>
        </is>
      </c>
      <c r="AA21"/>
      <c r="AB21" t="n">
        <v>190.0</v>
      </c>
      <c r="AC21"/>
      <c r="AD21"/>
      <c r="AE21"/>
      <c r="AF21"/>
      <c r="AG21" t="inlineStr">
        <is>
          <t>AI mg/L</t>
        </is>
      </c>
      <c r="AH21"/>
      <c r="AI21"/>
      <c r="AJ21"/>
      <c r="AK21"/>
      <c r="AL21"/>
      <c r="AM21"/>
      <c r="AN21"/>
      <c r="AO21"/>
      <c r="AP21"/>
      <c r="AQ21"/>
      <c r="AR21"/>
      <c r="AS21"/>
      <c r="AT21"/>
      <c r="AU21"/>
      <c r="AV21"/>
      <c r="AW21"/>
      <c r="AX21" t="inlineStr">
        <is>
          <t>Accumulation</t>
        </is>
      </c>
      <c r="AY21" t="inlineStr">
        <is>
          <t>Residue</t>
        </is>
      </c>
      <c r="AZ21" t="inlineStr">
        <is>
          <t>BAF</t>
        </is>
      </c>
      <c r="BA21" t="inlineStr">
        <is>
          <t>Whole organism</t>
        </is>
      </c>
      <c r="BB21"/>
      <c r="BC21" t="n">
        <v>105.0</v>
      </c>
      <c r="BD21"/>
      <c r="BE21"/>
      <c r="BF21"/>
      <c r="BG21"/>
      <c r="BH21" t="inlineStr">
        <is>
          <t>Day(s)</t>
        </is>
      </c>
      <c r="BI21"/>
      <c r="BJ21" t="n">
        <v>9.25</v>
      </c>
      <c r="BK21"/>
      <c r="BL21"/>
      <c r="BM21"/>
      <c r="BN21"/>
      <c r="BO21" t="inlineStr">
        <is>
          <t>L/kg</t>
        </is>
      </c>
      <c r="BP21"/>
      <c r="BQ21"/>
      <c r="BR21"/>
      <c r="BS21"/>
      <c r="BT21"/>
      <c r="BU21"/>
      <c r="BV21"/>
      <c r="BW21"/>
      <c r="BX21"/>
      <c r="BY21"/>
      <c r="BZ21"/>
      <c r="CA21"/>
      <c r="CB21"/>
      <c r="CC21"/>
      <c r="CD21" t="inlineStr">
        <is>
          <t>Xie,G., C.A.M. Van Gestel, J.A. Vonk, and M.H.S. Kraak</t>
        </is>
      </c>
      <c r="CE21" t="n">
        <v>194419.0</v>
      </c>
      <c r="CF21" t="inlineStr">
        <is>
          <t>Multigeneration Responses of Daphnia magna to Short-Chain Per- and Polyfluorinated Substances (PFAS)</t>
        </is>
      </c>
      <c r="CG21" t="inlineStr">
        <is>
          <t>Ecotoxicol. Environ. Saf.294:11 p.</t>
        </is>
      </c>
      <c r="CH21" t="n">
        <v>2025.0</v>
      </c>
      <c r="CI21" t="inlineStr">
        <is>
          <t>Xie,G., C.A.M. Van Gestel, J.A. Vonk, and M.H.S. Kraak (2025). Multigeneration Responses of Daphnia magna to Short-Chain Per- and Polyfluorinated Substances (PFAS). Ecotoxicol. Environ. Saf., 294, 11 p. doi:10.1016/j.ecoenv.2025.118078. ECOREF#:194419</t>
        </is>
      </c>
    </row>
    <row r="22">
      <c r="A22" t="n">
        <v>375735.0</v>
      </c>
      <c r="B22" t="inlineStr">
        <is>
          <t>1,1,2,2,3,3,4,4,4-Nonafluoro-1-butanesulfonic acid</t>
        </is>
      </c>
      <c r="C22"/>
      <c r="D22" t="inlineStr">
        <is>
          <t>Measured</t>
        </is>
      </c>
      <c r="E22"/>
      <c r="F22" t="n">
        <v>97.0</v>
      </c>
      <c r="G22"/>
      <c r="H22"/>
      <c r="I22"/>
      <c r="J22"/>
      <c r="K22" t="inlineStr">
        <is>
          <t>Daphnia magna</t>
        </is>
      </c>
      <c r="L22" t="inlineStr">
        <is>
          <t>Water Flea</t>
        </is>
      </c>
      <c r="M22" t="inlineStr">
        <is>
          <t>Crustaceans; Standard Test Species</t>
        </is>
      </c>
      <c r="N22" t="inlineStr">
        <is>
          <t>Neonate</t>
        </is>
      </c>
      <c r="O22" t="inlineStr">
        <is>
          <t>&lt;</t>
        </is>
      </c>
      <c r="P22" t="n">
        <v>24.0</v>
      </c>
      <c r="Q22"/>
      <c r="R22"/>
      <c r="S22"/>
      <c r="T22"/>
      <c r="U22" t="inlineStr">
        <is>
          <t>Hour(s)</t>
        </is>
      </c>
      <c r="V22" t="inlineStr">
        <is>
          <t>Renewal</t>
        </is>
      </c>
      <c r="W22" t="inlineStr">
        <is>
          <t>Culture</t>
        </is>
      </c>
      <c r="X22" t="inlineStr">
        <is>
          <t>Lab</t>
        </is>
      </c>
      <c r="Y22" t="n">
        <v>7.0</v>
      </c>
      <c r="Z22" t="inlineStr">
        <is>
          <t>Active ingredient</t>
        </is>
      </c>
      <c r="AA22"/>
      <c r="AB22" t="n">
        <v>190.0</v>
      </c>
      <c r="AC22"/>
      <c r="AD22"/>
      <c r="AE22"/>
      <c r="AF22"/>
      <c r="AG22" t="inlineStr">
        <is>
          <t>AI mg/L</t>
        </is>
      </c>
      <c r="AH22"/>
      <c r="AI22"/>
      <c r="AJ22"/>
      <c r="AK22"/>
      <c r="AL22"/>
      <c r="AM22"/>
      <c r="AN22"/>
      <c r="AO22"/>
      <c r="AP22"/>
      <c r="AQ22"/>
      <c r="AR22"/>
      <c r="AS22"/>
      <c r="AT22"/>
      <c r="AU22"/>
      <c r="AV22"/>
      <c r="AW22"/>
      <c r="AX22" t="inlineStr">
        <is>
          <t>Accumulation</t>
        </is>
      </c>
      <c r="AY22" t="inlineStr">
        <is>
          <t>Residue</t>
        </is>
      </c>
      <c r="AZ22" t="inlineStr">
        <is>
          <t>BAF</t>
        </is>
      </c>
      <c r="BA22" t="inlineStr">
        <is>
          <t>Whole organism</t>
        </is>
      </c>
      <c r="BB22"/>
      <c r="BC22" t="n">
        <v>63.0</v>
      </c>
      <c r="BD22"/>
      <c r="BE22"/>
      <c r="BF22"/>
      <c r="BG22"/>
      <c r="BH22" t="inlineStr">
        <is>
          <t>Day(s)</t>
        </is>
      </c>
      <c r="BI22"/>
      <c r="BJ22" t="n">
        <v>10.8</v>
      </c>
      <c r="BK22"/>
      <c r="BL22"/>
      <c r="BM22"/>
      <c r="BN22"/>
      <c r="BO22" t="inlineStr">
        <is>
          <t>L/kg</t>
        </is>
      </c>
      <c r="BP22"/>
      <c r="BQ22"/>
      <c r="BR22"/>
      <c r="BS22"/>
      <c r="BT22"/>
      <c r="BU22"/>
      <c r="BV22"/>
      <c r="BW22"/>
      <c r="BX22"/>
      <c r="BY22"/>
      <c r="BZ22"/>
      <c r="CA22"/>
      <c r="CB22"/>
      <c r="CC22"/>
      <c r="CD22" t="inlineStr">
        <is>
          <t>Xie,G., C.A.M. Van Gestel, J.A. Vonk, and M.H.S. Kraak</t>
        </is>
      </c>
      <c r="CE22" t="n">
        <v>194419.0</v>
      </c>
      <c r="CF22" t="inlineStr">
        <is>
          <t>Multigeneration Responses of Daphnia magna to Short-Chain Per- and Polyfluorinated Substances (PFAS)</t>
        </is>
      </c>
      <c r="CG22" t="inlineStr">
        <is>
          <t>Ecotoxicol. Environ. Saf.294:11 p.</t>
        </is>
      </c>
      <c r="CH22" t="n">
        <v>2025.0</v>
      </c>
      <c r="CI22" t="inlineStr">
        <is>
          <t>Xie,G., C.A.M. Van Gestel, J.A. Vonk, and M.H.S. Kraak (2025). Multigeneration Responses of Daphnia magna to Short-Chain Per- and Polyfluorinated Substances (PFAS). Ecotoxicol. Environ. Saf., 294, 11 p. doi:10.1016/j.ecoenv.2025.118078. ECOREF#:194419</t>
        </is>
      </c>
    </row>
    <row r="23">
      <c r="A23" t="n">
        <v>375735.0</v>
      </c>
      <c r="B23" t="inlineStr">
        <is>
          <t>1,1,2,2,3,3,4,4,4-Nonafluoro-1-butanesulfonic acid</t>
        </is>
      </c>
      <c r="C23"/>
      <c r="D23" t="inlineStr">
        <is>
          <t>Measured</t>
        </is>
      </c>
      <c r="E23"/>
      <c r="F23" t="n">
        <v>97.0</v>
      </c>
      <c r="G23"/>
      <c r="H23"/>
      <c r="I23"/>
      <c r="J23"/>
      <c r="K23" t="inlineStr">
        <is>
          <t>Daphnia magna</t>
        </is>
      </c>
      <c r="L23" t="inlineStr">
        <is>
          <t>Water Flea</t>
        </is>
      </c>
      <c r="M23" t="inlineStr">
        <is>
          <t>Crustaceans; Standard Test Species</t>
        </is>
      </c>
      <c r="N23" t="inlineStr">
        <is>
          <t>Neonate</t>
        </is>
      </c>
      <c r="O23" t="inlineStr">
        <is>
          <t>&lt;</t>
        </is>
      </c>
      <c r="P23" t="n">
        <v>24.0</v>
      </c>
      <c r="Q23"/>
      <c r="R23"/>
      <c r="S23"/>
      <c r="T23"/>
      <c r="U23" t="inlineStr">
        <is>
          <t>Hour(s)</t>
        </is>
      </c>
      <c r="V23" t="inlineStr">
        <is>
          <t>Renewal</t>
        </is>
      </c>
      <c r="W23" t="inlineStr">
        <is>
          <t>Culture</t>
        </is>
      </c>
      <c r="X23" t="inlineStr">
        <is>
          <t>Lab</t>
        </is>
      </c>
      <c r="Y23" t="n">
        <v>7.0</v>
      </c>
      <c r="Z23" t="inlineStr">
        <is>
          <t>Active ingredient</t>
        </is>
      </c>
      <c r="AA23"/>
      <c r="AB23" t="n">
        <v>92.4</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t="inlineStr">
        <is>
          <t>BAF</t>
        </is>
      </c>
      <c r="BA23" t="inlineStr">
        <is>
          <t>Whole organism</t>
        </is>
      </c>
      <c r="BB23"/>
      <c r="BC23" t="n">
        <v>105.0</v>
      </c>
      <c r="BD23"/>
      <c r="BE23"/>
      <c r="BF23"/>
      <c r="BG23"/>
      <c r="BH23" t="inlineStr">
        <is>
          <t>Day(s)</t>
        </is>
      </c>
      <c r="BI23"/>
      <c r="BJ23" t="n">
        <v>12.4</v>
      </c>
      <c r="BK23"/>
      <c r="BL23"/>
      <c r="BM23"/>
      <c r="BN23"/>
      <c r="BO23" t="inlineStr">
        <is>
          <t>L/kg</t>
        </is>
      </c>
      <c r="BP23"/>
      <c r="BQ23"/>
      <c r="BR23"/>
      <c r="BS23"/>
      <c r="BT23"/>
      <c r="BU23"/>
      <c r="BV23"/>
      <c r="BW23"/>
      <c r="BX23"/>
      <c r="BY23"/>
      <c r="BZ23"/>
      <c r="CA23"/>
      <c r="CB23"/>
      <c r="CC23"/>
      <c r="CD23" t="inlineStr">
        <is>
          <t>Xie,G., C.A.M. Van Gestel, J.A. Vonk, and M.H.S. Kraak</t>
        </is>
      </c>
      <c r="CE23" t="n">
        <v>194419.0</v>
      </c>
      <c r="CF23" t="inlineStr">
        <is>
          <t>Multigeneration Responses of Daphnia magna to Short-Chain Per- and Polyfluorinated Substances (PFAS)</t>
        </is>
      </c>
      <c r="CG23" t="inlineStr">
        <is>
          <t>Ecotoxicol. Environ. Saf.294:11 p.</t>
        </is>
      </c>
      <c r="CH23" t="n">
        <v>2025.0</v>
      </c>
      <c r="CI23" t="inlineStr">
        <is>
          <t>Xie,G., C.A.M. Van Gestel, J.A. Vonk, and M.H.S. Kraak (2025). Multigeneration Responses of Daphnia magna to Short-Chain Per- and Polyfluorinated Substances (PFAS). Ecotoxicol. Environ. Saf., 294, 11 p. doi:10.1016/j.ecoenv.2025.118078. ECOREF#:194419</t>
        </is>
      </c>
    </row>
    <row r="24">
      <c r="A24" t="n">
        <v>375735.0</v>
      </c>
      <c r="B24" t="inlineStr">
        <is>
          <t>1,1,2,2,3,3,4,4,4-Nonafluoro-1-butanesulfonic acid</t>
        </is>
      </c>
      <c r="C24"/>
      <c r="D24" t="inlineStr">
        <is>
          <t>Measured</t>
        </is>
      </c>
      <c r="E24"/>
      <c r="F24" t="n">
        <v>97.0</v>
      </c>
      <c r="G24"/>
      <c r="H24"/>
      <c r="I24"/>
      <c r="J24"/>
      <c r="K24" t="inlineStr">
        <is>
          <t>Daphnia magna</t>
        </is>
      </c>
      <c r="L24" t="inlineStr">
        <is>
          <t>Water Flea</t>
        </is>
      </c>
      <c r="M24" t="inlineStr">
        <is>
          <t>Crustaceans; Standard Test Species</t>
        </is>
      </c>
      <c r="N24" t="inlineStr">
        <is>
          <t>Neonate</t>
        </is>
      </c>
      <c r="O24" t="inlineStr">
        <is>
          <t>&lt;</t>
        </is>
      </c>
      <c r="P24" t="n">
        <v>24.0</v>
      </c>
      <c r="Q24"/>
      <c r="R24"/>
      <c r="S24"/>
      <c r="T24"/>
      <c r="U24" t="inlineStr">
        <is>
          <t>Hour(s)</t>
        </is>
      </c>
      <c r="V24" t="inlineStr">
        <is>
          <t>Renewal</t>
        </is>
      </c>
      <c r="W24" t="inlineStr">
        <is>
          <t>Culture</t>
        </is>
      </c>
      <c r="X24" t="inlineStr">
        <is>
          <t>Lab</t>
        </is>
      </c>
      <c r="Y24" t="n">
        <v>7.0</v>
      </c>
      <c r="Z24" t="inlineStr">
        <is>
          <t>Active ingredient</t>
        </is>
      </c>
      <c r="AA24"/>
      <c r="AB24" t="n">
        <v>478.0</v>
      </c>
      <c r="AC24"/>
      <c r="AD24"/>
      <c r="AE24"/>
      <c r="AF24"/>
      <c r="AG24" t="inlineStr">
        <is>
          <t>AI mg/L</t>
        </is>
      </c>
      <c r="AH24"/>
      <c r="AI24"/>
      <c r="AJ24"/>
      <c r="AK24"/>
      <c r="AL24"/>
      <c r="AM24"/>
      <c r="AN24"/>
      <c r="AO24"/>
      <c r="AP24"/>
      <c r="AQ24"/>
      <c r="AR24"/>
      <c r="AS24"/>
      <c r="AT24"/>
      <c r="AU24"/>
      <c r="AV24"/>
      <c r="AW24"/>
      <c r="AX24" t="inlineStr">
        <is>
          <t>Accumulation</t>
        </is>
      </c>
      <c r="AY24" t="inlineStr">
        <is>
          <t>Residue</t>
        </is>
      </c>
      <c r="AZ24" t="inlineStr">
        <is>
          <t>BAF</t>
        </is>
      </c>
      <c r="BA24" t="inlineStr">
        <is>
          <t>Whole organism</t>
        </is>
      </c>
      <c r="BB24"/>
      <c r="BC24" t="n">
        <v>105.0</v>
      </c>
      <c r="BD24"/>
      <c r="BE24"/>
      <c r="BF24"/>
      <c r="BG24"/>
      <c r="BH24" t="inlineStr">
        <is>
          <t>Day(s)</t>
        </is>
      </c>
      <c r="BI24"/>
      <c r="BJ24" t="n">
        <v>14.1</v>
      </c>
      <c r="BK24"/>
      <c r="BL24"/>
      <c r="BM24"/>
      <c r="BN24"/>
      <c r="BO24" t="inlineStr">
        <is>
          <t>L/kg</t>
        </is>
      </c>
      <c r="BP24"/>
      <c r="BQ24"/>
      <c r="BR24"/>
      <c r="BS24"/>
      <c r="BT24"/>
      <c r="BU24"/>
      <c r="BV24"/>
      <c r="BW24"/>
      <c r="BX24"/>
      <c r="BY24"/>
      <c r="BZ24"/>
      <c r="CA24"/>
      <c r="CB24"/>
      <c r="CC24"/>
      <c r="CD24" t="inlineStr">
        <is>
          <t>Xie,G., C.A.M. Van Gestel, J.A. Vonk, and M.H.S. Kraak</t>
        </is>
      </c>
      <c r="CE24" t="n">
        <v>194419.0</v>
      </c>
      <c r="CF24" t="inlineStr">
        <is>
          <t>Multigeneration Responses of Daphnia magna to Short-Chain Per- and Polyfluorinated Substances (PFAS)</t>
        </is>
      </c>
      <c r="CG24" t="inlineStr">
        <is>
          <t>Ecotoxicol. Environ. Saf.294:11 p.</t>
        </is>
      </c>
      <c r="CH24" t="n">
        <v>2025.0</v>
      </c>
      <c r="CI24" t="inlineStr">
        <is>
          <t>Xie,G., C.A.M. Van Gestel, J.A. Vonk, and M.H.S. Kraak (2025). Multigeneration Responses of Daphnia magna to Short-Chain Per- and Polyfluorinated Substances (PFAS). Ecotoxicol. Environ. Saf., 294, 11 p. doi:10.1016/j.ecoenv.2025.118078. ECOREF#:194419</t>
        </is>
      </c>
    </row>
    <row r="25">
      <c r="A25" t="n">
        <v>375735.0</v>
      </c>
      <c r="B25" t="inlineStr">
        <is>
          <t>1,1,2,2,3,3,4,4,4-Nonafluoro-1-butanesulfonic acid</t>
        </is>
      </c>
      <c r="C25"/>
      <c r="D25" t="inlineStr">
        <is>
          <t>Unmeasured</t>
        </is>
      </c>
      <c r="E25"/>
      <c r="F25" t="n">
        <v>97.0</v>
      </c>
      <c r="G25"/>
      <c r="H25"/>
      <c r="I25"/>
      <c r="J25"/>
      <c r="K25" t="inlineStr">
        <is>
          <t>Salvelinus alpinus</t>
        </is>
      </c>
      <c r="L25" t="inlineStr">
        <is>
          <t>Arctic Char</t>
        </is>
      </c>
      <c r="M25" t="inlineStr">
        <is>
          <t>Fish</t>
        </is>
      </c>
      <c r="N25" t="inlineStr">
        <is>
          <t>Oocyte, ova</t>
        </is>
      </c>
      <c r="O25"/>
      <c r="P25"/>
      <c r="Q25"/>
      <c r="R25"/>
      <c r="S25"/>
      <c r="T25"/>
      <c r="U25"/>
      <c r="V25" t="inlineStr">
        <is>
          <t>Static</t>
        </is>
      </c>
      <c r="W25" t="inlineStr">
        <is>
          <t>Culture</t>
        </is>
      </c>
      <c r="X25" t="inlineStr">
        <is>
          <t>Lab</t>
        </is>
      </c>
      <c r="Y25" t="n">
        <v>5.0</v>
      </c>
      <c r="Z25" t="inlineStr">
        <is>
          <t>Active ingredient</t>
        </is>
      </c>
      <c r="AA25"/>
      <c r="AB25"/>
      <c r="AC25"/>
      <c r="AD25" t="n">
        <v>1.0</v>
      </c>
      <c r="AE25"/>
      <c r="AF25" t="n">
        <v>1000.0</v>
      </c>
      <c r="AG25" t="inlineStr">
        <is>
          <t>AI mg/L</t>
        </is>
      </c>
      <c r="AH25"/>
      <c r="AI25"/>
      <c r="AJ25"/>
      <c r="AK25"/>
      <c r="AL25"/>
      <c r="AM25"/>
      <c r="AN25"/>
      <c r="AO25"/>
      <c r="AP25"/>
      <c r="AQ25"/>
      <c r="AR25"/>
      <c r="AS25"/>
      <c r="AT25"/>
      <c r="AU25"/>
      <c r="AV25"/>
      <c r="AW25"/>
      <c r="AX25" t="inlineStr">
        <is>
          <t>Accumulation</t>
        </is>
      </c>
      <c r="AY25" t="inlineStr">
        <is>
          <t>Residue</t>
        </is>
      </c>
      <c r="AZ25"/>
      <c r="BA25" t="inlineStr">
        <is>
          <t>Multiple entries</t>
        </is>
      </c>
      <c r="BB25"/>
      <c r="BC25" t="n">
        <v>0.125</v>
      </c>
      <c r="BD25"/>
      <c r="BE25"/>
      <c r="BF25"/>
      <c r="BG25"/>
      <c r="BH25" t="inlineStr">
        <is>
          <t>Day(s)</t>
        </is>
      </c>
      <c r="BI25"/>
      <c r="BJ25"/>
      <c r="BK25"/>
      <c r="BL25"/>
      <c r="BM25"/>
      <c r="BN25"/>
      <c r="BO25" t="inlineStr">
        <is>
          <t>--</t>
        </is>
      </c>
      <c r="BP25"/>
      <c r="BQ25"/>
      <c r="BR25"/>
      <c r="BS25"/>
      <c r="BT25"/>
      <c r="BU25"/>
      <c r="BV25"/>
      <c r="BW25"/>
      <c r="BX25"/>
      <c r="BY25"/>
      <c r="BZ25"/>
      <c r="CA25"/>
      <c r="CB25"/>
      <c r="CC25"/>
      <c r="CD25" t="inlineStr">
        <is>
          <t>Su,S., Z. Yang, Y. Gong, Y. Xie, J. Tang, C. Wang, X. Zhao, J.C. Raine, J.P. Giesy, and P.D. Jones</t>
        </is>
      </c>
      <c r="CE25" t="n">
        <v>194792.0</v>
      </c>
      <c r="CF25" t="inlineStr">
        <is>
          <t>Apical Effects of Simulated Maternal Exposure of Salmonid Fishes to Novel and Typical Per- and Polyfluoroalkyl Substances</t>
        </is>
      </c>
      <c r="CG25" t="inlineStr">
        <is>
          <t>Environ. Toxicol. Chem.44(7): 1883-1890</t>
        </is>
      </c>
      <c r="CH25" t="n">
        <v>2025.0</v>
      </c>
      <c r="CI25"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26">
      <c r="A26" t="n">
        <v>375735.0</v>
      </c>
      <c r="B26" t="inlineStr">
        <is>
          <t>1,1,2,2,3,3,4,4,4-Nonafluoro-1-butanesulfonic acid</t>
        </is>
      </c>
      <c r="C26"/>
      <c r="D26" t="inlineStr">
        <is>
          <t>Measured</t>
        </is>
      </c>
      <c r="E26"/>
      <c r="F26"/>
      <c r="G26"/>
      <c r="H26"/>
      <c r="I26"/>
      <c r="J26"/>
      <c r="K26" t="inlineStr">
        <is>
          <t>Oryzias melastigma</t>
        </is>
      </c>
      <c r="L26" t="inlineStr">
        <is>
          <t>Indian Medaka</t>
        </is>
      </c>
      <c r="M26" t="inlineStr">
        <is>
          <t>Fish</t>
        </is>
      </c>
      <c r="N26"/>
      <c r="O26"/>
      <c r="P26" t="n">
        <v>3.0</v>
      </c>
      <c r="Q26"/>
      <c r="R26"/>
      <c r="S26"/>
      <c r="T26"/>
      <c r="U26" t="inlineStr">
        <is>
          <t>Month(s)</t>
        </is>
      </c>
      <c r="V26" t="inlineStr">
        <is>
          <t>Renewal</t>
        </is>
      </c>
      <c r="W26" t="inlineStr">
        <is>
          <t>Fresh water</t>
        </is>
      </c>
      <c r="X26" t="inlineStr">
        <is>
          <t>Lab</t>
        </is>
      </c>
      <c r="Y26" t="n">
        <v>2.0</v>
      </c>
      <c r="Z26" t="inlineStr">
        <is>
          <t>Active ingredient</t>
        </is>
      </c>
      <c r="AA26"/>
      <c r="AB26" t="n">
        <v>0.1054</v>
      </c>
      <c r="AC26"/>
      <c r="AD26"/>
      <c r="AE26"/>
      <c r="AF26"/>
      <c r="AG26" t="inlineStr">
        <is>
          <t>AI mg/L</t>
        </is>
      </c>
      <c r="AH26"/>
      <c r="AI26"/>
      <c r="AJ26"/>
      <c r="AK26"/>
      <c r="AL26"/>
      <c r="AM26"/>
      <c r="AN26"/>
      <c r="AO26"/>
      <c r="AP26"/>
      <c r="AQ26"/>
      <c r="AR26"/>
      <c r="AS26"/>
      <c r="AT26"/>
      <c r="AU26"/>
      <c r="AV26"/>
      <c r="AW26"/>
      <c r="AX26" t="inlineStr">
        <is>
          <t>Accumulation</t>
        </is>
      </c>
      <c r="AY26" t="inlineStr">
        <is>
          <t>Multiple measurement terms entered</t>
        </is>
      </c>
      <c r="AZ26"/>
      <c r="BA26" t="inlineStr">
        <is>
          <t>Multiple entries</t>
        </is>
      </c>
      <c r="BB26"/>
      <c r="BC26"/>
      <c r="BD26"/>
      <c r="BE26" t="n">
        <v>0.0208</v>
      </c>
      <c r="BF26"/>
      <c r="BG26" t="n">
        <v>28.0</v>
      </c>
      <c r="BH26" t="inlineStr">
        <is>
          <t>Day(s)</t>
        </is>
      </c>
      <c r="BI26"/>
      <c r="BJ26"/>
      <c r="BK26"/>
      <c r="BL26"/>
      <c r="BM26"/>
      <c r="BN26"/>
      <c r="BO26" t="inlineStr">
        <is>
          <t>--</t>
        </is>
      </c>
      <c r="BP26"/>
      <c r="BQ26"/>
      <c r="BR26"/>
      <c r="BS26"/>
      <c r="BT26"/>
      <c r="BU26"/>
      <c r="BV26"/>
      <c r="BW26"/>
      <c r="BX26"/>
      <c r="BY26"/>
      <c r="BZ26"/>
      <c r="CA26"/>
      <c r="CB26"/>
      <c r="CC26"/>
      <c r="CD26" t="inlineStr">
        <is>
          <t>Avellan-Llaguno,R.D., X. Liu, L. Liu, S. Dong, and Q. Huang</t>
        </is>
      </c>
      <c r="CE26" t="n">
        <v>184739.0</v>
      </c>
      <c r="CF26" t="inlineStr">
        <is>
          <t>Elevated Bioaccumulation of PFAAs in Oryzias melastigma Following the Increase of Salinity Is Associated with the up-Regulated Expression of PFAA-Binding Proteins</t>
        </is>
      </c>
      <c r="CG26" t="inlineStr">
        <is>
          <t>Sci. Total Environ.725:10 p.</t>
        </is>
      </c>
      <c r="CH26" t="n">
        <v>2020.0</v>
      </c>
      <c r="CI26"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27">
      <c r="A27" t="n">
        <v>375735.0</v>
      </c>
      <c r="B27" t="inlineStr">
        <is>
          <t>1,1,2,2,3,3,4,4,4-Nonafluoro-1-butanesulfonic acid</t>
        </is>
      </c>
      <c r="C27"/>
      <c r="D27" t="inlineStr">
        <is>
          <t>Measured</t>
        </is>
      </c>
      <c r="E27"/>
      <c r="F27"/>
      <c r="G27"/>
      <c r="H27"/>
      <c r="I27"/>
      <c r="J27"/>
      <c r="K27" t="inlineStr">
        <is>
          <t>Oryzias melastigma</t>
        </is>
      </c>
      <c r="L27" t="inlineStr">
        <is>
          <t>Indian Medaka</t>
        </is>
      </c>
      <c r="M27" t="inlineStr">
        <is>
          <t>Fish</t>
        </is>
      </c>
      <c r="N27"/>
      <c r="O27"/>
      <c r="P27" t="n">
        <v>3.0</v>
      </c>
      <c r="Q27"/>
      <c r="R27"/>
      <c r="S27"/>
      <c r="T27"/>
      <c r="U27" t="inlineStr">
        <is>
          <t>Month(s)</t>
        </is>
      </c>
      <c r="V27" t="inlineStr">
        <is>
          <t>Renewal</t>
        </is>
      </c>
      <c r="W27" t="inlineStr">
        <is>
          <t>Salt water</t>
        </is>
      </c>
      <c r="X27" t="inlineStr">
        <is>
          <t>Lab</t>
        </is>
      </c>
      <c r="Y27" t="n">
        <v>2.0</v>
      </c>
      <c r="Z27" t="inlineStr">
        <is>
          <t>Active ingredient</t>
        </is>
      </c>
      <c r="AA27"/>
      <c r="AB27" t="n">
        <v>0.1036</v>
      </c>
      <c r="AC27"/>
      <c r="AD27"/>
      <c r="AE27"/>
      <c r="AF27"/>
      <c r="AG27" t="inlineStr">
        <is>
          <t>AI mg/L</t>
        </is>
      </c>
      <c r="AH27"/>
      <c r="AI27"/>
      <c r="AJ27"/>
      <c r="AK27"/>
      <c r="AL27"/>
      <c r="AM27"/>
      <c r="AN27"/>
      <c r="AO27"/>
      <c r="AP27"/>
      <c r="AQ27"/>
      <c r="AR27"/>
      <c r="AS27"/>
      <c r="AT27"/>
      <c r="AU27"/>
      <c r="AV27"/>
      <c r="AW27"/>
      <c r="AX27" t="inlineStr">
        <is>
          <t>Accumulation</t>
        </is>
      </c>
      <c r="AY27" t="inlineStr">
        <is>
          <t>Multiple measurement terms entered</t>
        </is>
      </c>
      <c r="AZ27"/>
      <c r="BA27" t="inlineStr">
        <is>
          <t>Multiple entries</t>
        </is>
      </c>
      <c r="BB27"/>
      <c r="BC27"/>
      <c r="BD27"/>
      <c r="BE27" t="n">
        <v>0.0208</v>
      </c>
      <c r="BF27"/>
      <c r="BG27" t="n">
        <v>28.0</v>
      </c>
      <c r="BH27" t="inlineStr">
        <is>
          <t>Day(s)</t>
        </is>
      </c>
      <c r="BI27"/>
      <c r="BJ27"/>
      <c r="BK27"/>
      <c r="BL27"/>
      <c r="BM27"/>
      <c r="BN27"/>
      <c r="BO27" t="inlineStr">
        <is>
          <t>--</t>
        </is>
      </c>
      <c r="BP27"/>
      <c r="BQ27"/>
      <c r="BR27"/>
      <c r="BS27"/>
      <c r="BT27"/>
      <c r="BU27"/>
      <c r="BV27"/>
      <c r="BW27"/>
      <c r="BX27"/>
      <c r="BY27"/>
      <c r="BZ27"/>
      <c r="CA27"/>
      <c r="CB27"/>
      <c r="CC27"/>
      <c r="CD27" t="inlineStr">
        <is>
          <t>Avellan-Llaguno,R.D., X. Liu, L. Liu, S. Dong, and Q. Huang</t>
        </is>
      </c>
      <c r="CE27" t="n">
        <v>184739.0</v>
      </c>
      <c r="CF27" t="inlineStr">
        <is>
          <t>Elevated Bioaccumulation of PFAAs in Oryzias melastigma Following the Increase of Salinity Is Associated with the up-Regulated Expression of PFAA-Binding Proteins</t>
        </is>
      </c>
      <c r="CG27" t="inlineStr">
        <is>
          <t>Sci. Total Environ.725:10 p.</t>
        </is>
      </c>
      <c r="CH27" t="n">
        <v>2020.0</v>
      </c>
      <c r="CI27"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28">
      <c r="A28" t="n">
        <v>375735.0</v>
      </c>
      <c r="B28" t="inlineStr">
        <is>
          <t>1,1,2,2,3,3,4,4,4-Nonafluoro-1-butanesulfonic acid</t>
        </is>
      </c>
      <c r="C28"/>
      <c r="D28" t="inlineStr">
        <is>
          <t>Measured</t>
        </is>
      </c>
      <c r="E28" t="inlineStr">
        <is>
          <t>&gt;</t>
        </is>
      </c>
      <c r="F28" t="n">
        <v>98.0</v>
      </c>
      <c r="G28"/>
      <c r="H28"/>
      <c r="I28"/>
      <c r="J28"/>
      <c r="K28" t="inlineStr">
        <is>
          <t>Oryzias melastigma</t>
        </is>
      </c>
      <c r="L28" t="inlineStr">
        <is>
          <t>Indian Medaka</t>
        </is>
      </c>
      <c r="M28" t="inlineStr">
        <is>
          <t>Fish</t>
        </is>
      </c>
      <c r="N28" t="inlineStr">
        <is>
          <t>Egg</t>
        </is>
      </c>
      <c r="O28"/>
      <c r="P28"/>
      <c r="Q28"/>
      <c r="R28"/>
      <c r="S28"/>
      <c r="T28"/>
      <c r="U28"/>
      <c r="V28" t="inlineStr">
        <is>
          <t>Renewal</t>
        </is>
      </c>
      <c r="W28" t="inlineStr">
        <is>
          <t>Salt water</t>
        </is>
      </c>
      <c r="X28" t="inlineStr">
        <is>
          <t>Lab</t>
        </is>
      </c>
      <c r="Y28" t="n">
        <v>4.0</v>
      </c>
      <c r="Z28" t="inlineStr">
        <is>
          <t>Active ingredient</t>
        </is>
      </c>
      <c r="AA28"/>
      <c r="AB28"/>
      <c r="AC28"/>
      <c r="AD28" t="n">
        <v>0.001</v>
      </c>
      <c r="AE28"/>
      <c r="AF28" t="n">
        <v>0.0095</v>
      </c>
      <c r="AG28" t="inlineStr">
        <is>
          <t>AI mg/L</t>
        </is>
      </c>
      <c r="AH28"/>
      <c r="AI28"/>
      <c r="AJ28"/>
      <c r="AK28"/>
      <c r="AL28"/>
      <c r="AM28"/>
      <c r="AN28"/>
      <c r="AO28"/>
      <c r="AP28"/>
      <c r="AQ28"/>
      <c r="AR28"/>
      <c r="AS28"/>
      <c r="AT28"/>
      <c r="AU28"/>
      <c r="AV28"/>
      <c r="AW28"/>
      <c r="AX28" t="inlineStr">
        <is>
          <t>Accumulation</t>
        </is>
      </c>
      <c r="AY28" t="inlineStr">
        <is>
          <t>Residue</t>
        </is>
      </c>
      <c r="AZ28"/>
      <c r="BA28" t="inlineStr">
        <is>
          <t>Gut</t>
        </is>
      </c>
      <c r="BB28"/>
      <c r="BC28"/>
      <c r="BD28"/>
      <c r="BE28"/>
      <c r="BF28"/>
      <c r="BG28"/>
      <c r="BH28" t="inlineStr">
        <is>
          <t>Egg to adult</t>
        </is>
      </c>
      <c r="BI28"/>
      <c r="BJ28"/>
      <c r="BK28"/>
      <c r="BL28"/>
      <c r="BM28"/>
      <c r="BN28"/>
      <c r="BO28" t="inlineStr">
        <is>
          <t>--</t>
        </is>
      </c>
      <c r="BP28"/>
      <c r="BQ28"/>
      <c r="BR28"/>
      <c r="BS28"/>
      <c r="BT28"/>
      <c r="BU28"/>
      <c r="BV28"/>
      <c r="BW28"/>
      <c r="BX28"/>
      <c r="BY28"/>
      <c r="BZ28"/>
      <c r="CA28"/>
      <c r="CB28"/>
      <c r="CC28"/>
      <c r="CD28" t="inlineStr">
        <is>
          <t>Chen,L., J.C.W. Lam, C. Hu, M.M.P. Tsui, Q. Wang, J.P. Giesy, and P.K.S. Lam</t>
        </is>
      </c>
      <c r="CE28" t="n">
        <v>181479.0</v>
      </c>
      <c r="CF28" t="inlineStr">
        <is>
          <t>Perfluorobutanesulfonate Exposure Causes Durable and Transgenerational Dysbiosis of Gut Microbiota in Marine Medaka</t>
        </is>
      </c>
      <c r="CG28" t="inlineStr">
        <is>
          <t>Environ. Sci. Technol. Lett.5(12): 731-738</t>
        </is>
      </c>
      <c r="CH28" t="n">
        <v>2018.0</v>
      </c>
      <c r="CI28" t="inlineStr">
        <is>
          <t>Chen,L., J.C.W. Lam, C. Hu, M.M.P. Tsui, Q. Wang, J.P. Giesy, and P.K.S. Lam (2018). Perfluorobutanesulfonate Exposure Causes Durable and Transgenerational Dysbiosis of Gut Microbiota in Marine Medaka. Environ. Sci. Technol. Lett., 5, (12), 731-738. doi:10.1021/acs.estlett.8b00597. ECOREF#:181479</t>
        </is>
      </c>
    </row>
    <row r="29">
      <c r="A29" t="n">
        <v>375735.0</v>
      </c>
      <c r="B29" t="inlineStr">
        <is>
          <t>1,1,2,2,3,3,4,4,4-Nonafluoro-1-butanesulfonic acid</t>
        </is>
      </c>
      <c r="C29"/>
      <c r="D29" t="inlineStr">
        <is>
          <t>Measured</t>
        </is>
      </c>
      <c r="E29" t="inlineStr">
        <is>
          <t>&gt;</t>
        </is>
      </c>
      <c r="F29" t="n">
        <v>98.0</v>
      </c>
      <c r="G29"/>
      <c r="H29"/>
      <c r="I29"/>
      <c r="J29"/>
      <c r="K29" t="inlineStr">
        <is>
          <t>Oryzias melastigma</t>
        </is>
      </c>
      <c r="L29" t="inlineStr">
        <is>
          <t>Indian Medaka</t>
        </is>
      </c>
      <c r="M29" t="inlineStr">
        <is>
          <t>Fish</t>
        </is>
      </c>
      <c r="N29" t="inlineStr">
        <is>
          <t>Embryo</t>
        </is>
      </c>
      <c r="O29"/>
      <c r="P29"/>
      <c r="Q29"/>
      <c r="R29"/>
      <c r="S29"/>
      <c r="T29"/>
      <c r="U29"/>
      <c r="V29" t="inlineStr">
        <is>
          <t>Renewal</t>
        </is>
      </c>
      <c r="W29" t="inlineStr">
        <is>
          <t>Salt water</t>
        </is>
      </c>
      <c r="X29" t="inlineStr">
        <is>
          <t>Lab</t>
        </is>
      </c>
      <c r="Y29" t="n">
        <v>4.0</v>
      </c>
      <c r="Z29" t="inlineStr">
        <is>
          <t>Active ingredient</t>
        </is>
      </c>
      <c r="AA29"/>
      <c r="AB29"/>
      <c r="AC29"/>
      <c r="AD29" t="n">
        <v>0.001</v>
      </c>
      <c r="AE29"/>
      <c r="AF29" t="n">
        <v>0.0095</v>
      </c>
      <c r="AG29" t="inlineStr">
        <is>
          <t>AI mg/L</t>
        </is>
      </c>
      <c r="AH29"/>
      <c r="AI29"/>
      <c r="AJ29"/>
      <c r="AK29"/>
      <c r="AL29"/>
      <c r="AM29"/>
      <c r="AN29"/>
      <c r="AO29"/>
      <c r="AP29"/>
      <c r="AQ29"/>
      <c r="AR29"/>
      <c r="AS29"/>
      <c r="AT29"/>
      <c r="AU29"/>
      <c r="AV29"/>
      <c r="AW29"/>
      <c r="AX29" t="inlineStr">
        <is>
          <t>Accumulation</t>
        </is>
      </c>
      <c r="AY29" t="inlineStr">
        <is>
          <t>Residue</t>
        </is>
      </c>
      <c r="AZ29"/>
      <c r="BA29" t="inlineStr">
        <is>
          <t>Eye</t>
        </is>
      </c>
      <c r="BB29"/>
      <c r="BC29" t="n">
        <v>182.64</v>
      </c>
      <c r="BD29"/>
      <c r="BE29"/>
      <c r="BF29"/>
      <c r="BG29"/>
      <c r="BH29" t="inlineStr">
        <is>
          <t>Day(s)</t>
        </is>
      </c>
      <c r="BI29"/>
      <c r="BJ29"/>
      <c r="BK29"/>
      <c r="BL29"/>
      <c r="BM29"/>
      <c r="BN29"/>
      <c r="BO29" t="inlineStr">
        <is>
          <t>--</t>
        </is>
      </c>
      <c r="BP29"/>
      <c r="BQ29"/>
      <c r="BR29"/>
      <c r="BS29"/>
      <c r="BT29"/>
      <c r="BU29"/>
      <c r="BV29"/>
      <c r="BW29"/>
      <c r="BX29"/>
      <c r="BY29"/>
      <c r="BZ29"/>
      <c r="CA29"/>
      <c r="CB29"/>
      <c r="CC29"/>
      <c r="CD29" t="inlineStr">
        <is>
          <t>Chen,L., M.M.P. Tsui, Q. Shi, C. Hu, Q. Wang, B. Zhou, P.K.S. Lam, and J.C.W. Lam</t>
        </is>
      </c>
      <c r="CE29" t="n">
        <v>178024.0</v>
      </c>
      <c r="CF29" t="inlineStr">
        <is>
          <t>Accumulation of Perfluorobutane Sulfonate (PFBS) and Impairment of Visual Function in the Eyes of Marine Medaka After a Life-Cycle Exposure</t>
        </is>
      </c>
      <c r="CG29" t="inlineStr">
        <is>
          <t>Aquat. Toxicol.201:1-10</t>
        </is>
      </c>
      <c r="CH29" t="n">
        <v>2018.0</v>
      </c>
      <c r="CI29"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0">
      <c r="A30" t="n">
        <v>375735.0</v>
      </c>
      <c r="B30" t="inlineStr">
        <is>
          <t>1,1,2,2,3,3,4,4,4-Nonafluoro-1-butanesulfonic acid</t>
        </is>
      </c>
      <c r="C30"/>
      <c r="D30" t="inlineStr">
        <is>
          <t>Measured</t>
        </is>
      </c>
      <c r="E30" t="inlineStr">
        <is>
          <t>&gt;</t>
        </is>
      </c>
      <c r="F30" t="n">
        <v>98.0</v>
      </c>
      <c r="G30"/>
      <c r="H30"/>
      <c r="I30"/>
      <c r="J30"/>
      <c r="K30" t="inlineStr">
        <is>
          <t>Oryzias melastigma</t>
        </is>
      </c>
      <c r="L30" t="inlineStr">
        <is>
          <t>Indian Medaka</t>
        </is>
      </c>
      <c r="M30" t="inlineStr">
        <is>
          <t>Fish</t>
        </is>
      </c>
      <c r="N30" t="inlineStr">
        <is>
          <t>Embryo</t>
        </is>
      </c>
      <c r="O30"/>
      <c r="P30"/>
      <c r="Q30"/>
      <c r="R30"/>
      <c r="S30"/>
      <c r="T30"/>
      <c r="U30"/>
      <c r="V30" t="inlineStr">
        <is>
          <t>Renewal</t>
        </is>
      </c>
      <c r="W30" t="inlineStr">
        <is>
          <t>Salt water</t>
        </is>
      </c>
      <c r="X30" t="inlineStr">
        <is>
          <t>Lab</t>
        </is>
      </c>
      <c r="Y30" t="n">
        <v>4.0</v>
      </c>
      <c r="Z30" t="inlineStr">
        <is>
          <t>Active ingredient</t>
        </is>
      </c>
      <c r="AA30"/>
      <c r="AB30"/>
      <c r="AC30"/>
      <c r="AD30" t="n">
        <v>0.001</v>
      </c>
      <c r="AE30"/>
      <c r="AF30" t="n">
        <v>0.0095</v>
      </c>
      <c r="AG30" t="inlineStr">
        <is>
          <t>AI mg/L</t>
        </is>
      </c>
      <c r="AH30"/>
      <c r="AI30"/>
      <c r="AJ30"/>
      <c r="AK30"/>
      <c r="AL30"/>
      <c r="AM30"/>
      <c r="AN30"/>
      <c r="AO30"/>
      <c r="AP30"/>
      <c r="AQ30"/>
      <c r="AR30"/>
      <c r="AS30"/>
      <c r="AT30"/>
      <c r="AU30"/>
      <c r="AV30"/>
      <c r="AW30"/>
      <c r="AX30" t="inlineStr">
        <is>
          <t>Accumulation</t>
        </is>
      </c>
      <c r="AY30" t="inlineStr">
        <is>
          <t>Residue</t>
        </is>
      </c>
      <c r="AZ30"/>
      <c r="BA30" t="inlineStr">
        <is>
          <t>Eye</t>
        </is>
      </c>
      <c r="BB30"/>
      <c r="BC30" t="n">
        <v>182.64</v>
      </c>
      <c r="BD30"/>
      <c r="BE30"/>
      <c r="BF30"/>
      <c r="BG30"/>
      <c r="BH30" t="inlineStr">
        <is>
          <t>Day(s)</t>
        </is>
      </c>
      <c r="BI30"/>
      <c r="BJ30"/>
      <c r="BK30"/>
      <c r="BL30"/>
      <c r="BM30"/>
      <c r="BN30"/>
      <c r="BO30" t="inlineStr">
        <is>
          <t>--</t>
        </is>
      </c>
      <c r="BP30"/>
      <c r="BQ30"/>
      <c r="BR30"/>
      <c r="BS30"/>
      <c r="BT30"/>
      <c r="BU30"/>
      <c r="BV30"/>
      <c r="BW30"/>
      <c r="BX30"/>
      <c r="BY30"/>
      <c r="BZ30"/>
      <c r="CA30"/>
      <c r="CB30"/>
      <c r="CC30"/>
      <c r="CD30" t="inlineStr">
        <is>
          <t>Chen,L., M.M.P. Tsui, Q. Shi, C. Hu, Q. Wang, B. Zhou, P.K.S. Lam, and J.C.W. Lam</t>
        </is>
      </c>
      <c r="CE30" t="n">
        <v>178024.0</v>
      </c>
      <c r="CF30" t="inlineStr">
        <is>
          <t>Accumulation of Perfluorobutane Sulfonate (PFBS) and Impairment of Visual Function in the Eyes of Marine Medaka After a Life-Cycle Exposure</t>
        </is>
      </c>
      <c r="CG30" t="inlineStr">
        <is>
          <t>Aquat. Toxicol.201:1-10</t>
        </is>
      </c>
      <c r="CH30" t="n">
        <v>2018.0</v>
      </c>
      <c r="CI30"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1">
      <c r="A31" t="n">
        <v>375735.0</v>
      </c>
      <c r="B31" t="inlineStr">
        <is>
          <t>1,1,2,2,3,3,4,4,4-Nonafluoro-1-butanesulfonic acid</t>
        </is>
      </c>
      <c r="C31"/>
      <c r="D31" t="inlineStr">
        <is>
          <t>Measured</t>
        </is>
      </c>
      <c r="E31" t="inlineStr">
        <is>
          <t>&gt;</t>
        </is>
      </c>
      <c r="F31" t="n">
        <v>98.0</v>
      </c>
      <c r="G31"/>
      <c r="H31"/>
      <c r="I31"/>
      <c r="J31"/>
      <c r="K31" t="inlineStr">
        <is>
          <t>Oryzias melastigma</t>
        </is>
      </c>
      <c r="L31" t="inlineStr">
        <is>
          <t>Indian Medaka</t>
        </is>
      </c>
      <c r="M31" t="inlineStr">
        <is>
          <t>Fish</t>
        </is>
      </c>
      <c r="N31" t="inlineStr">
        <is>
          <t>Embryo</t>
        </is>
      </c>
      <c r="O31"/>
      <c r="P31"/>
      <c r="Q31"/>
      <c r="R31"/>
      <c r="S31"/>
      <c r="T31"/>
      <c r="U31"/>
      <c r="V31" t="inlineStr">
        <is>
          <t>Renewal</t>
        </is>
      </c>
      <c r="W31" t="inlineStr">
        <is>
          <t>Salt water</t>
        </is>
      </c>
      <c r="X31" t="inlineStr">
        <is>
          <t>Lab</t>
        </is>
      </c>
      <c r="Y31" t="n">
        <v>4.0</v>
      </c>
      <c r="Z31" t="inlineStr">
        <is>
          <t>Active ingredient</t>
        </is>
      </c>
      <c r="AA31"/>
      <c r="AB31"/>
      <c r="AC31"/>
      <c r="AD31" t="n">
        <v>0.001</v>
      </c>
      <c r="AE31"/>
      <c r="AF31" t="n">
        <v>0.0095</v>
      </c>
      <c r="AG31" t="inlineStr">
        <is>
          <t>AI mg/L</t>
        </is>
      </c>
      <c r="AH31"/>
      <c r="AI31"/>
      <c r="AJ31"/>
      <c r="AK31"/>
      <c r="AL31"/>
      <c r="AM31"/>
      <c r="AN31"/>
      <c r="AO31"/>
      <c r="AP31"/>
      <c r="AQ31"/>
      <c r="AR31"/>
      <c r="AS31"/>
      <c r="AT31"/>
      <c r="AU31"/>
      <c r="AV31"/>
      <c r="AW31"/>
      <c r="AX31" t="inlineStr">
        <is>
          <t>Accumulation</t>
        </is>
      </c>
      <c r="AY31" t="inlineStr">
        <is>
          <t>Residue</t>
        </is>
      </c>
      <c r="AZ31"/>
      <c r="BA31"/>
      <c r="BB31"/>
      <c r="BC31"/>
      <c r="BD31"/>
      <c r="BE31" t="n">
        <v>121.76</v>
      </c>
      <c r="BF31"/>
      <c r="BG31" t="n">
        <v>243.52</v>
      </c>
      <c r="BH31" t="inlineStr">
        <is>
          <t>Day(s)</t>
        </is>
      </c>
      <c r="BI31"/>
      <c r="BJ31"/>
      <c r="BK31"/>
      <c r="BL31"/>
      <c r="BM31"/>
      <c r="BN31"/>
      <c r="BO31" t="inlineStr">
        <is>
          <t>--</t>
        </is>
      </c>
      <c r="BP31"/>
      <c r="BQ31"/>
      <c r="BR31"/>
      <c r="BS31"/>
      <c r="BT31"/>
      <c r="BU31"/>
      <c r="BV31"/>
      <c r="BW31"/>
      <c r="BX31"/>
      <c r="BY31"/>
      <c r="BZ31"/>
      <c r="CA31"/>
      <c r="CB31"/>
      <c r="CC31"/>
      <c r="CD31" t="inlineStr">
        <is>
          <t>Chen,L., J.C.W. Lam, C. Hu, M.M.P. Tsui, P.K.S. Lam, and B. Zhou</t>
        </is>
      </c>
      <c r="CE31" t="n">
        <v>181478.0</v>
      </c>
      <c r="CF31" t="inlineStr">
        <is>
          <t>Perfluorobutanesulfonate Exposure Skews Sex Ratio in Fish and Transgenerationally Impairs Reproduction</t>
        </is>
      </c>
      <c r="CG31" t="inlineStr">
        <is>
          <t>Environ. Sci. Technol.53(14): 8389-8397</t>
        </is>
      </c>
      <c r="CH31" t="n">
        <v>2019.0</v>
      </c>
      <c r="CI31" t="inlineStr">
        <is>
          <t>Chen,L., J.C.W. Lam, C. Hu, M.M.P. Tsui, P.K.S. Lam, and B. Zhou (2019). Perfluorobutanesulfonate Exposure Skews Sex Ratio in Fish and Transgenerationally Impairs Reproduction. Environ. Sci. Technol., 53, (14), 8389-8397. doi:10.1021/acs.est.9b01711. ECOREF#:181478</t>
        </is>
      </c>
    </row>
    <row r="32">
      <c r="A32" t="n">
        <v>375735.0</v>
      </c>
      <c r="B32" t="inlineStr">
        <is>
          <t>1,1,2,2,3,3,4,4,4-Nonafluoro-1-butanesulfonic acid</t>
        </is>
      </c>
      <c r="C32"/>
      <c r="D32" t="inlineStr">
        <is>
          <t>Measured</t>
        </is>
      </c>
      <c r="E32" t="inlineStr">
        <is>
          <t>&gt;</t>
        </is>
      </c>
      <c r="F32" t="n">
        <v>98.0</v>
      </c>
      <c r="G32"/>
      <c r="H32"/>
      <c r="I32"/>
      <c r="J32"/>
      <c r="K32" t="inlineStr">
        <is>
          <t>Oryzias melastigma</t>
        </is>
      </c>
      <c r="L32" t="inlineStr">
        <is>
          <t>Indian Medaka</t>
        </is>
      </c>
      <c r="M32" t="inlineStr">
        <is>
          <t>Fish</t>
        </is>
      </c>
      <c r="N32" t="inlineStr">
        <is>
          <t>Embryo</t>
        </is>
      </c>
      <c r="O32"/>
      <c r="P32"/>
      <c r="Q32"/>
      <c r="R32"/>
      <c r="S32"/>
      <c r="T32"/>
      <c r="U32"/>
      <c r="V32" t="inlineStr">
        <is>
          <t>Renewal</t>
        </is>
      </c>
      <c r="W32" t="inlineStr">
        <is>
          <t>Salt water</t>
        </is>
      </c>
      <c r="X32" t="inlineStr">
        <is>
          <t>Lab</t>
        </is>
      </c>
      <c r="Y32" t="n">
        <v>4.0</v>
      </c>
      <c r="Z32" t="inlineStr">
        <is>
          <t>Active ingredient</t>
        </is>
      </c>
      <c r="AA32"/>
      <c r="AB32"/>
      <c r="AC32"/>
      <c r="AD32" t="n">
        <v>0.001</v>
      </c>
      <c r="AE32"/>
      <c r="AF32" t="n">
        <v>0.0095</v>
      </c>
      <c r="AG32" t="inlineStr">
        <is>
          <t>AI mg/L</t>
        </is>
      </c>
      <c r="AH32"/>
      <c r="AI32"/>
      <c r="AJ32"/>
      <c r="AK32"/>
      <c r="AL32"/>
      <c r="AM32"/>
      <c r="AN32"/>
      <c r="AO32"/>
      <c r="AP32"/>
      <c r="AQ32"/>
      <c r="AR32"/>
      <c r="AS32"/>
      <c r="AT32"/>
      <c r="AU32"/>
      <c r="AV32"/>
      <c r="AW32"/>
      <c r="AX32" t="inlineStr">
        <is>
          <t>Accumulation</t>
        </is>
      </c>
      <c r="AY32" t="inlineStr">
        <is>
          <t>Residue</t>
        </is>
      </c>
      <c r="AZ32"/>
      <c r="BA32" t="inlineStr">
        <is>
          <t>Ovaries</t>
        </is>
      </c>
      <c r="BB32"/>
      <c r="BC32" t="n">
        <v>182.64</v>
      </c>
      <c r="BD32"/>
      <c r="BE32"/>
      <c r="BF32"/>
      <c r="BG32"/>
      <c r="BH32" t="inlineStr">
        <is>
          <t>Day(s)</t>
        </is>
      </c>
      <c r="BI32"/>
      <c r="BJ32"/>
      <c r="BK32"/>
      <c r="BL32"/>
      <c r="BM32"/>
      <c r="BN32"/>
      <c r="BO32" t="inlineStr">
        <is>
          <t>--</t>
        </is>
      </c>
      <c r="BP32"/>
      <c r="BQ32"/>
      <c r="BR32"/>
      <c r="BS32"/>
      <c r="BT32"/>
      <c r="BU32"/>
      <c r="BV32"/>
      <c r="BW32"/>
      <c r="BX32"/>
      <c r="BY32"/>
      <c r="BZ32"/>
      <c r="CA32"/>
      <c r="CB32"/>
      <c r="CC32"/>
      <c r="CD32" t="inlineStr">
        <is>
          <t>Chen,L., J.C.W. Lam, C. Hu, M.M.P. Tsui, P.K.S. Lam, and B. Zhou</t>
        </is>
      </c>
      <c r="CE32" t="n">
        <v>181478.0</v>
      </c>
      <c r="CF32" t="inlineStr">
        <is>
          <t>Perfluorobutanesulfonate Exposure Skews Sex Ratio in Fish and Transgenerationally Impairs Reproduction</t>
        </is>
      </c>
      <c r="CG32" t="inlineStr">
        <is>
          <t>Environ. Sci. Technol.53(14): 8389-8397</t>
        </is>
      </c>
      <c r="CH32" t="n">
        <v>2019.0</v>
      </c>
      <c r="CI32" t="inlineStr">
        <is>
          <t>Chen,L., J.C.W. Lam, C. Hu, M.M.P. Tsui, P.K.S. Lam, and B. Zhou (2019). Perfluorobutanesulfonate Exposure Skews Sex Ratio in Fish and Transgenerationally Impairs Reproduction. Environ. Sci. Technol., 53, (14), 8389-8397. doi:10.1021/acs.est.9b01711. ECOREF#:181478</t>
        </is>
      </c>
    </row>
    <row r="33">
      <c r="A33" t="n">
        <v>375735.0</v>
      </c>
      <c r="B33" t="inlineStr">
        <is>
          <t>1,1,2,2,3,3,4,4,4-Nonafluoro-1-butanesulfonic acid</t>
        </is>
      </c>
      <c r="C33"/>
      <c r="D33" t="inlineStr">
        <is>
          <t>Measured</t>
        </is>
      </c>
      <c r="E33"/>
      <c r="F33"/>
      <c r="G33"/>
      <c r="H33"/>
      <c r="I33"/>
      <c r="J33"/>
      <c r="K33" t="inlineStr">
        <is>
          <t>Oryzias melastigma</t>
        </is>
      </c>
      <c r="L33" t="inlineStr">
        <is>
          <t>Indian Medaka</t>
        </is>
      </c>
      <c r="M33" t="inlineStr">
        <is>
          <t>Fish</t>
        </is>
      </c>
      <c r="N33"/>
      <c r="O33"/>
      <c r="P33" t="n">
        <v>3.0</v>
      </c>
      <c r="Q33"/>
      <c r="R33"/>
      <c r="S33"/>
      <c r="T33"/>
      <c r="U33" t="inlineStr">
        <is>
          <t>Month(s)</t>
        </is>
      </c>
      <c r="V33" t="inlineStr">
        <is>
          <t>Renewal</t>
        </is>
      </c>
      <c r="W33" t="inlineStr">
        <is>
          <t>Salt water</t>
        </is>
      </c>
      <c r="X33" t="inlineStr">
        <is>
          <t>Lab</t>
        </is>
      </c>
      <c r="Y33" t="n">
        <v>2.0</v>
      </c>
      <c r="Z33" t="inlineStr">
        <is>
          <t>Active ingredient</t>
        </is>
      </c>
      <c r="AA33"/>
      <c r="AB33" t="n">
        <v>0.1088</v>
      </c>
      <c r="AC33"/>
      <c r="AD33"/>
      <c r="AE33"/>
      <c r="AF33"/>
      <c r="AG33" t="inlineStr">
        <is>
          <t>AI mg/L</t>
        </is>
      </c>
      <c r="AH33"/>
      <c r="AI33"/>
      <c r="AJ33"/>
      <c r="AK33"/>
      <c r="AL33"/>
      <c r="AM33"/>
      <c r="AN33"/>
      <c r="AO33"/>
      <c r="AP33"/>
      <c r="AQ33"/>
      <c r="AR33"/>
      <c r="AS33"/>
      <c r="AT33"/>
      <c r="AU33"/>
      <c r="AV33"/>
      <c r="AW33"/>
      <c r="AX33" t="inlineStr">
        <is>
          <t>Accumulation</t>
        </is>
      </c>
      <c r="AY33" t="inlineStr">
        <is>
          <t>Multiple measurement terms entered</t>
        </is>
      </c>
      <c r="AZ33"/>
      <c r="BA33" t="inlineStr">
        <is>
          <t>Multiple entries</t>
        </is>
      </c>
      <c r="BB33"/>
      <c r="BC33"/>
      <c r="BD33"/>
      <c r="BE33" t="n">
        <v>0.0208</v>
      </c>
      <c r="BF33"/>
      <c r="BG33" t="n">
        <v>28.0</v>
      </c>
      <c r="BH33" t="inlineStr">
        <is>
          <t>Day(s)</t>
        </is>
      </c>
      <c r="BI33"/>
      <c r="BJ33"/>
      <c r="BK33"/>
      <c r="BL33"/>
      <c r="BM33"/>
      <c r="BN33"/>
      <c r="BO33" t="inlineStr">
        <is>
          <t>--</t>
        </is>
      </c>
      <c r="BP33"/>
      <c r="BQ33"/>
      <c r="BR33"/>
      <c r="BS33"/>
      <c r="BT33"/>
      <c r="BU33"/>
      <c r="BV33"/>
      <c r="BW33"/>
      <c r="BX33"/>
      <c r="BY33"/>
      <c r="BZ33"/>
      <c r="CA33"/>
      <c r="CB33"/>
      <c r="CC33"/>
      <c r="CD33" t="inlineStr">
        <is>
          <t>Avellan-Llaguno,R.D., X. Liu, L. Liu, S. Dong, and Q. Huang</t>
        </is>
      </c>
      <c r="CE33" t="n">
        <v>184739.0</v>
      </c>
      <c r="CF33" t="inlineStr">
        <is>
          <t>Elevated Bioaccumulation of PFAAs in Oryzias melastigma Following the Increase of Salinity Is Associated with the up-Regulated Expression of PFAA-Binding Proteins</t>
        </is>
      </c>
      <c r="CG33" t="inlineStr">
        <is>
          <t>Sci. Total Environ.725:10 p.</t>
        </is>
      </c>
      <c r="CH33" t="n">
        <v>2020.0</v>
      </c>
      <c r="CI33"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34">
      <c r="A34" t="n">
        <v>375735.0</v>
      </c>
      <c r="B34" t="inlineStr">
        <is>
          <t>1,1,2,2,3,3,4,4,4-Nonafluoro-1-butanesulfonic acid</t>
        </is>
      </c>
      <c r="C34"/>
      <c r="D34" t="inlineStr">
        <is>
          <t>Measured</t>
        </is>
      </c>
      <c r="E34" t="inlineStr">
        <is>
          <t>&gt;</t>
        </is>
      </c>
      <c r="F34" t="n">
        <v>98.0</v>
      </c>
      <c r="G34"/>
      <c r="H34"/>
      <c r="I34"/>
      <c r="J34"/>
      <c r="K34" t="inlineStr">
        <is>
          <t>Oryzias melastigma</t>
        </is>
      </c>
      <c r="L34" t="inlineStr">
        <is>
          <t>Indian Medaka</t>
        </is>
      </c>
      <c r="M34" t="inlineStr">
        <is>
          <t>Fish</t>
        </is>
      </c>
      <c r="N34" t="inlineStr">
        <is>
          <t>Embryo</t>
        </is>
      </c>
      <c r="O34"/>
      <c r="P34"/>
      <c r="Q34"/>
      <c r="R34"/>
      <c r="S34"/>
      <c r="T34"/>
      <c r="U34"/>
      <c r="V34" t="inlineStr">
        <is>
          <t>Renewal</t>
        </is>
      </c>
      <c r="W34" t="inlineStr">
        <is>
          <t>Salt water</t>
        </is>
      </c>
      <c r="X34" t="inlineStr">
        <is>
          <t>Lab</t>
        </is>
      </c>
      <c r="Y34" t="n">
        <v>4.0</v>
      </c>
      <c r="Z34" t="inlineStr">
        <is>
          <t>Active ingredient</t>
        </is>
      </c>
      <c r="AA34"/>
      <c r="AB34"/>
      <c r="AC34"/>
      <c r="AD34" t="n">
        <v>0.001</v>
      </c>
      <c r="AE34"/>
      <c r="AF34" t="n">
        <v>0.0095</v>
      </c>
      <c r="AG34" t="inlineStr">
        <is>
          <t>AI mg/L</t>
        </is>
      </c>
      <c r="AH34"/>
      <c r="AI34"/>
      <c r="AJ34"/>
      <c r="AK34"/>
      <c r="AL34"/>
      <c r="AM34"/>
      <c r="AN34"/>
      <c r="AO34"/>
      <c r="AP34"/>
      <c r="AQ34"/>
      <c r="AR34"/>
      <c r="AS34"/>
      <c r="AT34"/>
      <c r="AU34"/>
      <c r="AV34"/>
      <c r="AW34"/>
      <c r="AX34" t="inlineStr">
        <is>
          <t>Accumulation</t>
        </is>
      </c>
      <c r="AY34" t="inlineStr">
        <is>
          <t>Residue</t>
        </is>
      </c>
      <c r="AZ34"/>
      <c r="BA34" t="inlineStr">
        <is>
          <t>Eye</t>
        </is>
      </c>
      <c r="BB34"/>
      <c r="BC34" t="n">
        <v>182.64</v>
      </c>
      <c r="BD34"/>
      <c r="BE34"/>
      <c r="BF34"/>
      <c r="BG34"/>
      <c r="BH34" t="inlineStr">
        <is>
          <t>Day(s)</t>
        </is>
      </c>
      <c r="BI34"/>
      <c r="BJ34"/>
      <c r="BK34"/>
      <c r="BL34"/>
      <c r="BM34"/>
      <c r="BN34"/>
      <c r="BO34" t="inlineStr">
        <is>
          <t>--</t>
        </is>
      </c>
      <c r="BP34"/>
      <c r="BQ34"/>
      <c r="BR34"/>
      <c r="BS34"/>
      <c r="BT34"/>
      <c r="BU34"/>
      <c r="BV34"/>
      <c r="BW34"/>
      <c r="BX34"/>
      <c r="BY34"/>
      <c r="BZ34"/>
      <c r="CA34"/>
      <c r="CB34"/>
      <c r="CC34"/>
      <c r="CD34" t="inlineStr">
        <is>
          <t>Chen,L., M.M.P. Tsui, Q. Shi, C. Hu, Q. Wang, B. Zhou, P.K.S. Lam, and J.C.W. Lam</t>
        </is>
      </c>
      <c r="CE34" t="n">
        <v>178024.0</v>
      </c>
      <c r="CF34" t="inlineStr">
        <is>
          <t>Accumulation of Perfluorobutane Sulfonate (PFBS) and Impairment of Visual Function in the Eyes of Marine Medaka After a Life-Cycle Exposure</t>
        </is>
      </c>
      <c r="CG34" t="inlineStr">
        <is>
          <t>Aquat. Toxicol.201:1-10</t>
        </is>
      </c>
      <c r="CH34" t="n">
        <v>2018.0</v>
      </c>
      <c r="CI34"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5">
      <c r="A35" t="n">
        <v>375735.0</v>
      </c>
      <c r="B35" t="inlineStr">
        <is>
          <t>1,1,2,2,3,3,4,4,4-Nonafluoro-1-butanesulfonic acid</t>
        </is>
      </c>
      <c r="C35"/>
      <c r="D35" t="inlineStr">
        <is>
          <t>Measured</t>
        </is>
      </c>
      <c r="E35" t="inlineStr">
        <is>
          <t>&gt;</t>
        </is>
      </c>
      <c r="F35" t="n">
        <v>98.0</v>
      </c>
      <c r="G35"/>
      <c r="H35"/>
      <c r="I35"/>
      <c r="J35"/>
      <c r="K35" t="inlineStr">
        <is>
          <t>Oryzias melastigma</t>
        </is>
      </c>
      <c r="L35" t="inlineStr">
        <is>
          <t>Indian Medaka</t>
        </is>
      </c>
      <c r="M35" t="inlineStr">
        <is>
          <t>Fish</t>
        </is>
      </c>
      <c r="N35" t="inlineStr">
        <is>
          <t>Embryo</t>
        </is>
      </c>
      <c r="O35"/>
      <c r="P35"/>
      <c r="Q35"/>
      <c r="R35"/>
      <c r="S35"/>
      <c r="T35"/>
      <c r="U35"/>
      <c r="V35" t="inlineStr">
        <is>
          <t>Renewal</t>
        </is>
      </c>
      <c r="W35" t="inlineStr">
        <is>
          <t>Salt water</t>
        </is>
      </c>
      <c r="X35" t="inlineStr">
        <is>
          <t>Lab</t>
        </is>
      </c>
      <c r="Y35" t="n">
        <v>4.0</v>
      </c>
      <c r="Z35" t="inlineStr">
        <is>
          <t>Active ingredient</t>
        </is>
      </c>
      <c r="AA35"/>
      <c r="AB35"/>
      <c r="AC35"/>
      <c r="AD35" t="n">
        <v>0.001</v>
      </c>
      <c r="AE35"/>
      <c r="AF35" t="n">
        <v>0.0095</v>
      </c>
      <c r="AG35" t="inlineStr">
        <is>
          <t>AI mg/L</t>
        </is>
      </c>
      <c r="AH35"/>
      <c r="AI35"/>
      <c r="AJ35"/>
      <c r="AK35"/>
      <c r="AL35"/>
      <c r="AM35"/>
      <c r="AN35"/>
      <c r="AO35"/>
      <c r="AP35"/>
      <c r="AQ35"/>
      <c r="AR35"/>
      <c r="AS35"/>
      <c r="AT35"/>
      <c r="AU35"/>
      <c r="AV35"/>
      <c r="AW35"/>
      <c r="AX35" t="inlineStr">
        <is>
          <t>Accumulation</t>
        </is>
      </c>
      <c r="AY35" t="inlineStr">
        <is>
          <t>Residue</t>
        </is>
      </c>
      <c r="AZ35"/>
      <c r="BA35" t="inlineStr">
        <is>
          <t>Eye</t>
        </is>
      </c>
      <c r="BB35"/>
      <c r="BC35" t="n">
        <v>182.64</v>
      </c>
      <c r="BD35"/>
      <c r="BE35"/>
      <c r="BF35"/>
      <c r="BG35"/>
      <c r="BH35" t="inlineStr">
        <is>
          <t>Day(s)</t>
        </is>
      </c>
      <c r="BI35"/>
      <c r="BJ35"/>
      <c r="BK35"/>
      <c r="BL35"/>
      <c r="BM35"/>
      <c r="BN35"/>
      <c r="BO35" t="inlineStr">
        <is>
          <t>--</t>
        </is>
      </c>
      <c r="BP35"/>
      <c r="BQ35"/>
      <c r="BR35"/>
      <c r="BS35"/>
      <c r="BT35"/>
      <c r="BU35"/>
      <c r="BV35"/>
      <c r="BW35"/>
      <c r="BX35"/>
      <c r="BY35"/>
      <c r="BZ35"/>
      <c r="CA35"/>
      <c r="CB35"/>
      <c r="CC35"/>
      <c r="CD35" t="inlineStr">
        <is>
          <t>Chen,L., M.M.P. Tsui, Q. Shi, C. Hu, Q. Wang, B. Zhou, P.K.S. Lam, and J.C.W. Lam</t>
        </is>
      </c>
      <c r="CE35" t="n">
        <v>178024.0</v>
      </c>
      <c r="CF35" t="inlineStr">
        <is>
          <t>Accumulation of Perfluorobutane Sulfonate (PFBS) and Impairment of Visual Function in the Eyes of Marine Medaka After a Life-Cycle Exposure</t>
        </is>
      </c>
      <c r="CG35" t="inlineStr">
        <is>
          <t>Aquat. Toxicol.201:1-10</t>
        </is>
      </c>
      <c r="CH35" t="n">
        <v>2018.0</v>
      </c>
      <c r="CI35"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6">
      <c r="A36" t="n">
        <v>375735.0</v>
      </c>
      <c r="B36" t="inlineStr">
        <is>
          <t>1,1,2,2,3,3,4,4,4-Nonafluoro-1-butanesulfonic acid</t>
        </is>
      </c>
      <c r="C36"/>
      <c r="D36" t="inlineStr">
        <is>
          <t>Measured</t>
        </is>
      </c>
      <c r="E36" t="inlineStr">
        <is>
          <t>&gt;</t>
        </is>
      </c>
      <c r="F36" t="n">
        <v>95.0</v>
      </c>
      <c r="G36"/>
      <c r="H36"/>
      <c r="I36"/>
      <c r="J36"/>
      <c r="K36" t="inlineStr">
        <is>
          <t>Danio rerio</t>
        </is>
      </c>
      <c r="L36" t="inlineStr">
        <is>
          <t>Zebra Danio</t>
        </is>
      </c>
      <c r="M36" t="inlineStr">
        <is>
          <t>Fish; Standard Test Species</t>
        </is>
      </c>
      <c r="N36" t="inlineStr">
        <is>
          <t>Embryo</t>
        </is>
      </c>
      <c r="O36"/>
      <c r="P36" t="n">
        <v>64.0</v>
      </c>
      <c r="Q36"/>
      <c r="R36"/>
      <c r="S36"/>
      <c r="T36"/>
      <c r="U36" t="inlineStr">
        <is>
          <t>Cell stage</t>
        </is>
      </c>
      <c r="V36" t="inlineStr">
        <is>
          <t>Renewal</t>
        </is>
      </c>
      <c r="W36" t="inlineStr">
        <is>
          <t>Culture</t>
        </is>
      </c>
      <c r="X36" t="inlineStr">
        <is>
          <t>Lab</t>
        </is>
      </c>
      <c r="Y36" t="n">
        <v>3.0</v>
      </c>
      <c r="Z36" t="inlineStr">
        <is>
          <t>Active ingredient</t>
        </is>
      </c>
      <c r="AA36"/>
      <c r="AB36" t="n">
        <v>1.428456008</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BCF</t>
        </is>
      </c>
      <c r="BA36" t="inlineStr">
        <is>
          <t>Whole organism</t>
        </is>
      </c>
      <c r="BB36"/>
      <c r="BC36" t="n">
        <v>5.0</v>
      </c>
      <c r="BD36"/>
      <c r="BE36"/>
      <c r="BF36"/>
      <c r="BG36"/>
      <c r="BH36" t="inlineStr">
        <is>
          <t>Day(s) post-fertilization</t>
        </is>
      </c>
      <c r="BI36"/>
      <c r="BJ36" t="n">
        <v>2.8</v>
      </c>
      <c r="BK36"/>
      <c r="BL36"/>
      <c r="BM36"/>
      <c r="BN36"/>
      <c r="BO36" t="inlineStr">
        <is>
          <t>L/kg</t>
        </is>
      </c>
      <c r="BP36"/>
      <c r="BQ36"/>
      <c r="BR36"/>
      <c r="BS36"/>
      <c r="BT36"/>
      <c r="BU36"/>
      <c r="BV36"/>
      <c r="BW36"/>
      <c r="BX36"/>
      <c r="BY36"/>
      <c r="BZ36"/>
      <c r="CA36"/>
      <c r="CB36"/>
      <c r="CC36"/>
      <c r="CD36" t="inlineStr">
        <is>
          <t>Han,J., W. Gu, H. Barrett, D. Yang, S. Tang, J. Sun, J. Liu, H.M. Krause, K.A. Houck, and H. Peng</t>
        </is>
      </c>
      <c r="CE36" t="n">
        <v>190831.0</v>
      </c>
      <c r="CF36" t="inlineStr">
        <is>
          <t>A Roadmap to the Structure-Related Metabolism Pathways of Per- and Polyfluoroalkyl Substances in the Early Life Stages of Zebrafish (Danio rerio)</t>
        </is>
      </c>
      <c r="CG36" t="inlineStr">
        <is>
          <t>Environ. Health Perspect.129(7): 15 p.</t>
        </is>
      </c>
      <c r="CH36" t="n">
        <v>2021.0</v>
      </c>
      <c r="CI3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7">
      <c r="A37" t="n">
        <v>375735.0</v>
      </c>
      <c r="B37" t="inlineStr">
        <is>
          <t>1,1,2,2,3,3,4,4,4-Nonafluoro-1-butanesulfonic acid</t>
        </is>
      </c>
      <c r="C37"/>
      <c r="D37" t="inlineStr">
        <is>
          <t>Measured</t>
        </is>
      </c>
      <c r="E37" t="inlineStr">
        <is>
          <t>&gt;</t>
        </is>
      </c>
      <c r="F37" t="n">
        <v>95.0</v>
      </c>
      <c r="G37"/>
      <c r="H37"/>
      <c r="I37"/>
      <c r="J37"/>
      <c r="K37" t="inlineStr">
        <is>
          <t>Danio rerio</t>
        </is>
      </c>
      <c r="L37" t="inlineStr">
        <is>
          <t>Zebra Danio</t>
        </is>
      </c>
      <c r="M37" t="inlineStr">
        <is>
          <t>Fish; Standard Test Species</t>
        </is>
      </c>
      <c r="N37" t="inlineStr">
        <is>
          <t>Embryo</t>
        </is>
      </c>
      <c r="O37"/>
      <c r="P37" t="n">
        <v>64.0</v>
      </c>
      <c r="Q37"/>
      <c r="R37"/>
      <c r="S37"/>
      <c r="T37"/>
      <c r="U37" t="inlineStr">
        <is>
          <t>Cell stage</t>
        </is>
      </c>
      <c r="V37" t="inlineStr">
        <is>
          <t>Renewal</t>
        </is>
      </c>
      <c r="W37" t="inlineStr">
        <is>
          <t>Culture</t>
        </is>
      </c>
      <c r="X37" t="inlineStr">
        <is>
          <t>Lab</t>
        </is>
      </c>
      <c r="Y37" t="n">
        <v>3.0</v>
      </c>
      <c r="Z37" t="inlineStr">
        <is>
          <t>Active ingredient</t>
        </is>
      </c>
      <c r="AA37"/>
      <c r="AB37" t="n">
        <v>0.108034488</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BCF</t>
        </is>
      </c>
      <c r="BA37" t="inlineStr">
        <is>
          <t>Whole organism</t>
        </is>
      </c>
      <c r="BB37"/>
      <c r="BC37" t="n">
        <v>5.0</v>
      </c>
      <c r="BD37"/>
      <c r="BE37"/>
      <c r="BF37"/>
      <c r="BG37"/>
      <c r="BH37" t="inlineStr">
        <is>
          <t>Day(s) post-fertilization</t>
        </is>
      </c>
      <c r="BI37"/>
      <c r="BJ37" t="n">
        <v>2.9</v>
      </c>
      <c r="BK37"/>
      <c r="BL37"/>
      <c r="BM37"/>
      <c r="BN37"/>
      <c r="BO37" t="inlineStr">
        <is>
          <t>L/kg</t>
        </is>
      </c>
      <c r="BP37"/>
      <c r="BQ37"/>
      <c r="BR37"/>
      <c r="BS37"/>
      <c r="BT37"/>
      <c r="BU37"/>
      <c r="BV37"/>
      <c r="BW37"/>
      <c r="BX37"/>
      <c r="BY37"/>
      <c r="BZ37"/>
      <c r="CA37"/>
      <c r="CB37"/>
      <c r="CC37"/>
      <c r="CD37" t="inlineStr">
        <is>
          <t>Han,J., W. Gu, H. Barrett, D. Yang, S. Tang, J. Sun, J. Liu, H.M. Krause, K.A. Houck, and H. Peng</t>
        </is>
      </c>
      <c r="CE37" t="n">
        <v>190831.0</v>
      </c>
      <c r="CF37" t="inlineStr">
        <is>
          <t>A Roadmap to the Structure-Related Metabolism Pathways of Per- and Polyfluoroalkyl Substances in the Early Life Stages of Zebrafish (Danio rerio)</t>
        </is>
      </c>
      <c r="CG37" t="inlineStr">
        <is>
          <t>Environ. Health Perspect.129(7): 15 p.</t>
        </is>
      </c>
      <c r="CH37" t="n">
        <v>2021.0</v>
      </c>
      <c r="CI3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8">
      <c r="A38" t="n">
        <v>375735.0</v>
      </c>
      <c r="B38" t="inlineStr">
        <is>
          <t>1,1,2,2,3,3,4,4,4-Nonafluoro-1-butanesulfonic acid</t>
        </is>
      </c>
      <c r="C38"/>
      <c r="D38" t="inlineStr">
        <is>
          <t>Measured</t>
        </is>
      </c>
      <c r="E38"/>
      <c r="F38"/>
      <c r="G38"/>
      <c r="H38"/>
      <c r="I38"/>
      <c r="J38"/>
      <c r="K38" t="inlineStr">
        <is>
          <t>Danio rerio</t>
        </is>
      </c>
      <c r="L38" t="inlineStr">
        <is>
          <t>Zebra Danio</t>
        </is>
      </c>
      <c r="M38" t="inlineStr">
        <is>
          <t>Fish; Standard Test Species</t>
        </is>
      </c>
      <c r="N38" t="inlineStr">
        <is>
          <t>Embryo</t>
        </is>
      </c>
      <c r="O38"/>
      <c r="P38" t="n">
        <v>4.0</v>
      </c>
      <c r="Q38"/>
      <c r="R38"/>
      <c r="S38"/>
      <c r="T38"/>
      <c r="U38" t="inlineStr">
        <is>
          <t>Hours post fertilization</t>
        </is>
      </c>
      <c r="V38" t="inlineStr">
        <is>
          <t>Static</t>
        </is>
      </c>
      <c r="W38" t="inlineStr">
        <is>
          <t>Fresh water</t>
        </is>
      </c>
      <c r="X38" t="inlineStr">
        <is>
          <t>Lab</t>
        </is>
      </c>
      <c r="Y38" t="n">
        <v>2.0</v>
      </c>
      <c r="Z38" t="inlineStr">
        <is>
          <t>Active ingredient</t>
        </is>
      </c>
      <c r="AA38"/>
      <c r="AB38" t="n">
        <v>28.5</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6.0</v>
      </c>
      <c r="BD38"/>
      <c r="BE38"/>
      <c r="BF38"/>
      <c r="BG38"/>
      <c r="BH38" t="inlineStr">
        <is>
          <t>Day(s)</t>
        </is>
      </c>
      <c r="BI38"/>
      <c r="BJ38" t="n">
        <v>63.8</v>
      </c>
      <c r="BK38"/>
      <c r="BL38"/>
      <c r="BM38"/>
      <c r="BN38"/>
      <c r="BO38" t="inlineStr">
        <is>
          <t>L/kg</t>
        </is>
      </c>
      <c r="BP38"/>
      <c r="BQ38"/>
      <c r="BR38"/>
      <c r="BS38"/>
      <c r="BT38"/>
      <c r="BU38"/>
      <c r="BV38"/>
      <c r="BW38"/>
      <c r="BX38"/>
      <c r="BY38"/>
      <c r="BZ38"/>
      <c r="CA38"/>
      <c r="CB38"/>
      <c r="CC38"/>
      <c r="CD38" t="inlineStr">
        <is>
          <t>Dunn,F., S.E. Paquette, K.D. Pennell, J.S. Plavicki, and K.E. Manz</t>
        </is>
      </c>
      <c r="CE38" t="n">
        <v>193604.0</v>
      </c>
      <c r="CF38" t="inlineStr">
        <is>
          <t>Metabolomic Changes Following GenX and PFBS Exposure in Developing Zebrafish</t>
        </is>
      </c>
      <c r="CG38" t="inlineStr">
        <is>
          <t>Aquat. Toxicol.271:10 p.</t>
        </is>
      </c>
      <c r="CH38" t="n">
        <v>2024.0</v>
      </c>
      <c r="CI38" t="inlineStr">
        <is>
          <t>Dunn,F., S.E. Paquette, K.D. Pennell, J.S. Plavicki, and K.E. Manz (2024). Metabolomic Changes Following GenX and PFBS Exposure in Developing Zebrafish. Aquat. Toxicol., 271, 10 p. doi:10.1016/j.aquatox.2024.106908. ECOREF#:193604</t>
        </is>
      </c>
    </row>
    <row r="39">
      <c r="A39" t="n">
        <v>375735.0</v>
      </c>
      <c r="B39" t="inlineStr">
        <is>
          <t>1,1,2,2,3,3,4,4,4-Nonafluoro-1-butanesulfonic acid</t>
        </is>
      </c>
      <c r="C39"/>
      <c r="D39" t="inlineStr">
        <is>
          <t>Unmeasured</t>
        </is>
      </c>
      <c r="E39"/>
      <c r="F39"/>
      <c r="G39"/>
      <c r="H39"/>
      <c r="I39"/>
      <c r="J39"/>
      <c r="K39" t="inlineStr">
        <is>
          <t>Danio rerio</t>
        </is>
      </c>
      <c r="L39" t="inlineStr">
        <is>
          <t>Zebra Danio</t>
        </is>
      </c>
      <c r="M39" t="inlineStr">
        <is>
          <t>Fish; Standard Test Species</t>
        </is>
      </c>
      <c r="N39" t="inlineStr">
        <is>
          <t>Adult</t>
        </is>
      </c>
      <c r="O39"/>
      <c r="P39"/>
      <c r="Q39"/>
      <c r="R39"/>
      <c r="S39"/>
      <c r="T39"/>
      <c r="U39"/>
      <c r="V39" t="inlineStr">
        <is>
          <t>Renewal</t>
        </is>
      </c>
      <c r="W39" t="inlineStr">
        <is>
          <t>Fresh water</t>
        </is>
      </c>
      <c r="X39" t="inlineStr">
        <is>
          <t>Lab</t>
        </is>
      </c>
      <c r="Y39" t="n">
        <v>4.0</v>
      </c>
      <c r="Z39" t="inlineStr">
        <is>
          <t>Formulation</t>
        </is>
      </c>
      <c r="AA39"/>
      <c r="AB39" t="n">
        <v>0.08</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LOEC</t>
        </is>
      </c>
      <c r="BA39" t="inlineStr">
        <is>
          <t>Whole organism</t>
        </is>
      </c>
      <c r="BB39"/>
      <c r="BC39" t="n">
        <v>2.0</v>
      </c>
      <c r="BD39"/>
      <c r="BE39"/>
      <c r="BF39"/>
      <c r="BG39"/>
      <c r="BH39" t="inlineStr">
        <is>
          <t>Generation</t>
        </is>
      </c>
      <c r="BI39"/>
      <c r="BJ39"/>
      <c r="BK39"/>
      <c r="BL39"/>
      <c r="BM39"/>
      <c r="BN39"/>
      <c r="BO39" t="inlineStr">
        <is>
          <t>--</t>
        </is>
      </c>
      <c r="BP39"/>
      <c r="BQ39"/>
      <c r="BR39"/>
      <c r="BS39"/>
      <c r="BT39"/>
      <c r="BU39"/>
      <c r="BV39"/>
      <c r="BW39"/>
      <c r="BX39"/>
      <c r="BY39"/>
      <c r="BZ39"/>
      <c r="CA39"/>
      <c r="CB39"/>
      <c r="CC39"/>
      <c r="CD39" t="inlineStr">
        <is>
          <t>Annunziato,K.M., M. Marin, W. Liang, S.M. Conlin, W. Qi, J. Doherty, J. Lee, J.M. Clark, Y. Park, and A.R. Timme-Laragy</t>
        </is>
      </c>
      <c r="CE39" t="n">
        <v>188866.0</v>
      </c>
      <c r="CF39" t="inlineStr">
        <is>
          <t>The Nrf2a Pathway Impacts Zebrafish Offspring Development with Maternal Preconception Exposure to Perfluorobutanesulfonic Acid</t>
        </is>
      </c>
      <c r="CG39" t="inlineStr">
        <is>
          <t>Chemosphere287:1-15</t>
        </is>
      </c>
      <c r="CH39" t="n">
        <v>2022.0</v>
      </c>
      <c r="CI39"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0">
      <c r="A40" t="n">
        <v>375735.0</v>
      </c>
      <c r="B40" t="inlineStr">
        <is>
          <t>1,1,2,2,3,3,4,4,4-Nonafluoro-1-butanesulfonic acid</t>
        </is>
      </c>
      <c r="C40"/>
      <c r="D40" t="inlineStr">
        <is>
          <t>Unmeasured</t>
        </is>
      </c>
      <c r="E40" t="inlineStr">
        <is>
          <t>&gt;</t>
        </is>
      </c>
      <c r="F40" t="n">
        <v>98.0</v>
      </c>
      <c r="G40"/>
      <c r="H40"/>
      <c r="I40"/>
      <c r="J40"/>
      <c r="K40" t="inlineStr">
        <is>
          <t>Danio rerio</t>
        </is>
      </c>
      <c r="L40" t="inlineStr">
        <is>
          <t>Zebra Danio</t>
        </is>
      </c>
      <c r="M40" t="inlineStr">
        <is>
          <t>Fish; Standard Test Species</t>
        </is>
      </c>
      <c r="N40" t="inlineStr">
        <is>
          <t>Embryo</t>
        </is>
      </c>
      <c r="O40"/>
      <c r="P40"/>
      <c r="Q40"/>
      <c r="R40"/>
      <c r="S40"/>
      <c r="T40"/>
      <c r="U40"/>
      <c r="V40" t="inlineStr">
        <is>
          <t>Renewal</t>
        </is>
      </c>
      <c r="W40" t="inlineStr">
        <is>
          <t>Culture</t>
        </is>
      </c>
      <c r="X40" t="inlineStr">
        <is>
          <t>Lab</t>
        </is>
      </c>
      <c r="Y40" t="n">
        <v>7.0</v>
      </c>
      <c r="Z40" t="inlineStr">
        <is>
          <t>Active ingredient</t>
        </is>
      </c>
      <c r="AA40"/>
      <c r="AB40" t="n">
        <v>4.63</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LOEC</t>
        </is>
      </c>
      <c r="BA40" t="inlineStr">
        <is>
          <t>Whole organism</t>
        </is>
      </c>
      <c r="BB40"/>
      <c r="BC40" t="n">
        <v>4.0</v>
      </c>
      <c r="BD40"/>
      <c r="BE40"/>
      <c r="BF40"/>
      <c r="BG40"/>
      <c r="BH40" t="inlineStr">
        <is>
          <t>Day(s)</t>
        </is>
      </c>
      <c r="BI40"/>
      <c r="BJ40"/>
      <c r="BK40"/>
      <c r="BL40"/>
      <c r="BM40"/>
      <c r="BN40"/>
      <c r="BO40" t="inlineStr">
        <is>
          <t>--</t>
        </is>
      </c>
      <c r="BP40"/>
      <c r="BQ40"/>
      <c r="BR40"/>
      <c r="BS40"/>
      <c r="BT40"/>
      <c r="BU40"/>
      <c r="BV40"/>
      <c r="BW40"/>
      <c r="BX40"/>
      <c r="BY40"/>
      <c r="BZ40"/>
      <c r="CA40"/>
      <c r="CB40"/>
      <c r="CC40"/>
      <c r="CD40" t="inlineStr">
        <is>
          <t>Bai,Y., Q. Wang, J. Li, B. Zhou, P.K.S. Lam, C. Hu, and L. Chen</t>
        </is>
      </c>
      <c r="CE40" t="n">
        <v>193506.0</v>
      </c>
      <c r="CF40" t="inlineStr">
        <is>
          <t>Significant Variability in the Developmental Toxicity of Representative Perfluoroalkyl Acids as a Function of Chemical Speciation</t>
        </is>
      </c>
      <c r="CG40" t="inlineStr">
        <is>
          <t>Environ. Sci. Technol.57(40): 14904-14916</t>
        </is>
      </c>
      <c r="CH40" t="n">
        <v>2023.0</v>
      </c>
      <c r="CI40"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41">
      <c r="A41" t="n">
        <v>375735.0</v>
      </c>
      <c r="B41" t="inlineStr">
        <is>
          <t>1,1,2,2,3,3,4,4,4-Nonafluoro-1-butanesulfonic acid</t>
        </is>
      </c>
      <c r="C41"/>
      <c r="D41" t="inlineStr">
        <is>
          <t>Unmeasured</t>
        </is>
      </c>
      <c r="E41"/>
      <c r="F41"/>
      <c r="G41"/>
      <c r="H41"/>
      <c r="I41"/>
      <c r="J41"/>
      <c r="K41" t="inlineStr">
        <is>
          <t>Danio rerio</t>
        </is>
      </c>
      <c r="L41" t="inlineStr">
        <is>
          <t>Zebra Danio</t>
        </is>
      </c>
      <c r="M41" t="inlineStr">
        <is>
          <t>Fish; Standard Test Species</t>
        </is>
      </c>
      <c r="N41" t="inlineStr">
        <is>
          <t>Adult</t>
        </is>
      </c>
      <c r="O41"/>
      <c r="P41"/>
      <c r="Q41"/>
      <c r="R41"/>
      <c r="S41"/>
      <c r="T41"/>
      <c r="U41"/>
      <c r="V41" t="inlineStr">
        <is>
          <t>Renewal</t>
        </is>
      </c>
      <c r="W41" t="inlineStr">
        <is>
          <t>Fresh water</t>
        </is>
      </c>
      <c r="X41" t="inlineStr">
        <is>
          <t>Lab</t>
        </is>
      </c>
      <c r="Y41" t="n">
        <v>4.0</v>
      </c>
      <c r="Z41" t="inlineStr">
        <is>
          <t>Formulation</t>
        </is>
      </c>
      <c r="AA41"/>
      <c r="AB41" t="n">
        <v>0.08</v>
      </c>
      <c r="AC41"/>
      <c r="AD41"/>
      <c r="AE41"/>
      <c r="AF41"/>
      <c r="AG41" t="inlineStr">
        <is>
          <t>AI mg/L</t>
        </is>
      </c>
      <c r="AH41"/>
      <c r="AI41"/>
      <c r="AJ41"/>
      <c r="AK41"/>
      <c r="AL41"/>
      <c r="AM41"/>
      <c r="AN41"/>
      <c r="AO41"/>
      <c r="AP41"/>
      <c r="AQ41"/>
      <c r="AR41"/>
      <c r="AS41"/>
      <c r="AT41"/>
      <c r="AU41"/>
      <c r="AV41"/>
      <c r="AW41"/>
      <c r="AX41" t="inlineStr">
        <is>
          <t>Accumulation</t>
        </is>
      </c>
      <c r="AY41" t="inlineStr">
        <is>
          <t>Residue</t>
        </is>
      </c>
      <c r="AZ41" t="inlineStr">
        <is>
          <t>LOEC</t>
        </is>
      </c>
      <c r="BA41" t="inlineStr">
        <is>
          <t>Whole organism</t>
        </is>
      </c>
      <c r="BB41"/>
      <c r="BC41" t="n">
        <v>2.0</v>
      </c>
      <c r="BD41"/>
      <c r="BE41"/>
      <c r="BF41"/>
      <c r="BG41"/>
      <c r="BH41" t="inlineStr">
        <is>
          <t>Generation</t>
        </is>
      </c>
      <c r="BI41"/>
      <c r="BJ41"/>
      <c r="BK41"/>
      <c r="BL41"/>
      <c r="BM41"/>
      <c r="BN41"/>
      <c r="BO41" t="inlineStr">
        <is>
          <t>--</t>
        </is>
      </c>
      <c r="BP41"/>
      <c r="BQ41"/>
      <c r="BR41"/>
      <c r="BS41"/>
      <c r="BT41"/>
      <c r="BU41"/>
      <c r="BV41"/>
      <c r="BW41"/>
      <c r="BX41"/>
      <c r="BY41"/>
      <c r="BZ41"/>
      <c r="CA41"/>
      <c r="CB41"/>
      <c r="CC41"/>
      <c r="CD41" t="inlineStr">
        <is>
          <t>Annunziato,K.M., M. Marin, W. Liang, S.M. Conlin, W. Qi, J. Doherty, J. Lee, J.M. Clark, Y. Park, and A.R. Timme-Laragy</t>
        </is>
      </c>
      <c r="CE41" t="n">
        <v>188866.0</v>
      </c>
      <c r="CF41" t="inlineStr">
        <is>
          <t>The Nrf2a Pathway Impacts Zebrafish Offspring Development with Maternal Preconception Exposure to Perfluorobutanesulfonic Acid</t>
        </is>
      </c>
      <c r="CG41" t="inlineStr">
        <is>
          <t>Chemosphere287:1-15</t>
        </is>
      </c>
      <c r="CH41" t="n">
        <v>2022.0</v>
      </c>
      <c r="CI41"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2">
      <c r="A42" t="n">
        <v>375735.0</v>
      </c>
      <c r="B42" t="inlineStr">
        <is>
          <t>1,1,2,2,3,3,4,4,4-Nonafluoro-1-butanesulfonic acid</t>
        </is>
      </c>
      <c r="C42"/>
      <c r="D42" t="inlineStr">
        <is>
          <t>Unmeasured</t>
        </is>
      </c>
      <c r="E42" t="inlineStr">
        <is>
          <t>&gt;</t>
        </is>
      </c>
      <c r="F42" t="n">
        <v>98.0</v>
      </c>
      <c r="G42"/>
      <c r="H42"/>
      <c r="I42"/>
      <c r="J42"/>
      <c r="K42" t="inlineStr">
        <is>
          <t>Danio rerio</t>
        </is>
      </c>
      <c r="L42" t="inlineStr">
        <is>
          <t>Zebra Danio</t>
        </is>
      </c>
      <c r="M42" t="inlineStr">
        <is>
          <t>Fish; Standard Test Species</t>
        </is>
      </c>
      <c r="N42" t="inlineStr">
        <is>
          <t>Embryo</t>
        </is>
      </c>
      <c r="O42"/>
      <c r="P42"/>
      <c r="Q42"/>
      <c r="R42"/>
      <c r="S42"/>
      <c r="T42"/>
      <c r="U42"/>
      <c r="V42" t="inlineStr">
        <is>
          <t>Renewal</t>
        </is>
      </c>
      <c r="W42" t="inlineStr">
        <is>
          <t>Culture</t>
        </is>
      </c>
      <c r="X42" t="inlineStr">
        <is>
          <t>Lab</t>
        </is>
      </c>
      <c r="Y42" t="n">
        <v>7.0</v>
      </c>
      <c r="Z42" t="inlineStr">
        <is>
          <t>Active ingredient</t>
        </is>
      </c>
      <c r="AA42"/>
      <c r="AB42" t="n">
        <v>1.4</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NOEC</t>
        </is>
      </c>
      <c r="BA42" t="inlineStr">
        <is>
          <t>Whole organism</t>
        </is>
      </c>
      <c r="BB42"/>
      <c r="BC42" t="n">
        <v>4.0</v>
      </c>
      <c r="BD42"/>
      <c r="BE42"/>
      <c r="BF42"/>
      <c r="BG42"/>
      <c r="BH42" t="inlineStr">
        <is>
          <t>Day(s)</t>
        </is>
      </c>
      <c r="BI42"/>
      <c r="BJ42"/>
      <c r="BK42"/>
      <c r="BL42"/>
      <c r="BM42"/>
      <c r="BN42"/>
      <c r="BO42" t="inlineStr">
        <is>
          <t>--</t>
        </is>
      </c>
      <c r="BP42"/>
      <c r="BQ42"/>
      <c r="BR42"/>
      <c r="BS42"/>
      <c r="BT42"/>
      <c r="BU42"/>
      <c r="BV42"/>
      <c r="BW42"/>
      <c r="BX42"/>
      <c r="BY42"/>
      <c r="BZ42"/>
      <c r="CA42"/>
      <c r="CB42"/>
      <c r="CC42"/>
      <c r="CD42" t="inlineStr">
        <is>
          <t>Bai,Y., Q. Wang, J. Li, B. Zhou, P.K.S. Lam, C. Hu, and L. Chen</t>
        </is>
      </c>
      <c r="CE42" t="n">
        <v>193506.0</v>
      </c>
      <c r="CF42" t="inlineStr">
        <is>
          <t>Significant Variability in the Developmental Toxicity of Representative Perfluoroalkyl Acids as a Function of Chemical Speciation</t>
        </is>
      </c>
      <c r="CG42" t="inlineStr">
        <is>
          <t>Environ. Sci. Technol.57(40): 14904-14916</t>
        </is>
      </c>
      <c r="CH42" t="n">
        <v>2023.0</v>
      </c>
      <c r="CI42"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43">
      <c r="A43" t="n">
        <v>375735.0</v>
      </c>
      <c r="B43" t="inlineStr">
        <is>
          <t>1,1,2,2,3,3,4,4,4-Nonafluoro-1-butanesulfonic acid</t>
        </is>
      </c>
      <c r="C43"/>
      <c r="D43" t="inlineStr">
        <is>
          <t>Unmeasured</t>
        </is>
      </c>
      <c r="E43"/>
      <c r="F43"/>
      <c r="G43"/>
      <c r="H43"/>
      <c r="I43"/>
      <c r="J43"/>
      <c r="K43" t="inlineStr">
        <is>
          <t>Danio rerio</t>
        </is>
      </c>
      <c r="L43" t="inlineStr">
        <is>
          <t>Zebra Danio</t>
        </is>
      </c>
      <c r="M43" t="inlineStr">
        <is>
          <t>Fish; Standard Test Species</t>
        </is>
      </c>
      <c r="N43" t="inlineStr">
        <is>
          <t>Adult</t>
        </is>
      </c>
      <c r="O43"/>
      <c r="P43"/>
      <c r="Q43"/>
      <c r="R43"/>
      <c r="S43"/>
      <c r="T43"/>
      <c r="U43"/>
      <c r="V43" t="inlineStr">
        <is>
          <t>Renewal</t>
        </is>
      </c>
      <c r="W43" t="inlineStr">
        <is>
          <t>Fresh water</t>
        </is>
      </c>
      <c r="X43" t="inlineStr">
        <is>
          <t>Lab</t>
        </is>
      </c>
      <c r="Y43" t="n">
        <v>4.0</v>
      </c>
      <c r="Z43" t="inlineStr">
        <is>
          <t>Formulation</t>
        </is>
      </c>
      <c r="AA43"/>
      <c r="AB43" t="n">
        <v>0.25</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NOEC</t>
        </is>
      </c>
      <c r="BA43" t="inlineStr">
        <is>
          <t>Whole organism</t>
        </is>
      </c>
      <c r="BB43"/>
      <c r="BC43" t="n">
        <v>2.0</v>
      </c>
      <c r="BD43"/>
      <c r="BE43"/>
      <c r="BF43"/>
      <c r="BG43"/>
      <c r="BH43" t="inlineStr">
        <is>
          <t>Generation</t>
        </is>
      </c>
      <c r="BI43"/>
      <c r="BJ43"/>
      <c r="BK43"/>
      <c r="BL43"/>
      <c r="BM43"/>
      <c r="BN43"/>
      <c r="BO43" t="inlineStr">
        <is>
          <t>--</t>
        </is>
      </c>
      <c r="BP43"/>
      <c r="BQ43"/>
      <c r="BR43"/>
      <c r="BS43"/>
      <c r="BT43"/>
      <c r="BU43"/>
      <c r="BV43"/>
      <c r="BW43"/>
      <c r="BX43"/>
      <c r="BY43"/>
      <c r="BZ43"/>
      <c r="CA43"/>
      <c r="CB43"/>
      <c r="CC43"/>
      <c r="CD43" t="inlineStr">
        <is>
          <t>Annunziato,K.M., M. Marin, W. Liang, S.M. Conlin, W. Qi, J. Doherty, J. Lee, J.M. Clark, Y. Park, and A.R. Timme-Laragy</t>
        </is>
      </c>
      <c r="CE43" t="n">
        <v>188866.0</v>
      </c>
      <c r="CF43" t="inlineStr">
        <is>
          <t>The Nrf2a Pathway Impacts Zebrafish Offspring Development with Maternal Preconception Exposure to Perfluorobutanesulfonic Acid</t>
        </is>
      </c>
      <c r="CG43" t="inlineStr">
        <is>
          <t>Chemosphere287:1-15</t>
        </is>
      </c>
      <c r="CH43" t="n">
        <v>2022.0</v>
      </c>
      <c r="CI43"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4">
      <c r="A44" t="n">
        <v>375735.0</v>
      </c>
      <c r="B44" t="inlineStr">
        <is>
          <t>1,1,2,2,3,3,4,4,4-Nonafluoro-1-butanesulfonic acid</t>
        </is>
      </c>
      <c r="C44"/>
      <c r="D44" t="inlineStr">
        <is>
          <t>Unmeasured</t>
        </is>
      </c>
      <c r="E44"/>
      <c r="F44"/>
      <c r="G44"/>
      <c r="H44"/>
      <c r="I44"/>
      <c r="J44"/>
      <c r="K44" t="inlineStr">
        <is>
          <t>Danio rerio</t>
        </is>
      </c>
      <c r="L44" t="inlineStr">
        <is>
          <t>Zebra Danio</t>
        </is>
      </c>
      <c r="M44" t="inlineStr">
        <is>
          <t>Fish; Standard Test Species</t>
        </is>
      </c>
      <c r="N44" t="inlineStr">
        <is>
          <t>Adult</t>
        </is>
      </c>
      <c r="O44"/>
      <c r="P44"/>
      <c r="Q44"/>
      <c r="R44"/>
      <c r="S44"/>
      <c r="T44"/>
      <c r="U44"/>
      <c r="V44" t="inlineStr">
        <is>
          <t>Renewal</t>
        </is>
      </c>
      <c r="W44" t="inlineStr">
        <is>
          <t>Fresh water</t>
        </is>
      </c>
      <c r="X44" t="inlineStr">
        <is>
          <t>Lab</t>
        </is>
      </c>
      <c r="Y44" t="n">
        <v>4.0</v>
      </c>
      <c r="Z44" t="inlineStr">
        <is>
          <t>Formulation</t>
        </is>
      </c>
      <c r="AA44"/>
      <c r="AB44" t="n">
        <v>0.25</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NOEC</t>
        </is>
      </c>
      <c r="BA44" t="inlineStr">
        <is>
          <t>Whole organism</t>
        </is>
      </c>
      <c r="BB44"/>
      <c r="BC44" t="n">
        <v>2.0</v>
      </c>
      <c r="BD44"/>
      <c r="BE44"/>
      <c r="BF44"/>
      <c r="BG44"/>
      <c r="BH44" t="inlineStr">
        <is>
          <t>Generation</t>
        </is>
      </c>
      <c r="BI44"/>
      <c r="BJ44"/>
      <c r="BK44"/>
      <c r="BL44"/>
      <c r="BM44"/>
      <c r="BN44"/>
      <c r="BO44" t="inlineStr">
        <is>
          <t>--</t>
        </is>
      </c>
      <c r="BP44"/>
      <c r="BQ44"/>
      <c r="BR44"/>
      <c r="BS44"/>
      <c r="BT44"/>
      <c r="BU44"/>
      <c r="BV44"/>
      <c r="BW44"/>
      <c r="BX44"/>
      <c r="BY44"/>
      <c r="BZ44"/>
      <c r="CA44"/>
      <c r="CB44"/>
      <c r="CC44"/>
      <c r="CD44" t="inlineStr">
        <is>
          <t>Annunziato,K.M., M. Marin, W. Liang, S.M. Conlin, W. Qi, J. Doherty, J. Lee, J.M. Clark, Y. Park, and A.R. Timme-Laragy</t>
        </is>
      </c>
      <c r="CE44" t="n">
        <v>188866.0</v>
      </c>
      <c r="CF44" t="inlineStr">
        <is>
          <t>The Nrf2a Pathway Impacts Zebrafish Offspring Development with Maternal Preconception Exposure to Perfluorobutanesulfonic Acid</t>
        </is>
      </c>
      <c r="CG44" t="inlineStr">
        <is>
          <t>Chemosphere287:1-15</t>
        </is>
      </c>
      <c r="CH44" t="n">
        <v>2022.0</v>
      </c>
      <c r="CI44"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5">
      <c r="A45" t="n">
        <v>375735.0</v>
      </c>
      <c r="B45" t="inlineStr">
        <is>
          <t>1,1,2,2,3,3,4,4,4-Nonafluoro-1-butanesulfonic acid</t>
        </is>
      </c>
      <c r="C45"/>
      <c r="D45" t="inlineStr">
        <is>
          <t>Unmeasured</t>
        </is>
      </c>
      <c r="E45"/>
      <c r="F45" t="n">
        <v>97.0</v>
      </c>
      <c r="G45"/>
      <c r="H45"/>
      <c r="I45"/>
      <c r="J45"/>
      <c r="K45" t="inlineStr">
        <is>
          <t>Danio rerio</t>
        </is>
      </c>
      <c r="L45" t="inlineStr">
        <is>
          <t>Zebra Danio</t>
        </is>
      </c>
      <c r="M45" t="inlineStr">
        <is>
          <t>Fish; Standard Test Species</t>
        </is>
      </c>
      <c r="N45" t="inlineStr">
        <is>
          <t>Adult</t>
        </is>
      </c>
      <c r="O45"/>
      <c r="P45"/>
      <c r="Q45"/>
      <c r="R45"/>
      <c r="S45"/>
      <c r="T45"/>
      <c r="U45"/>
      <c r="V45" t="inlineStr">
        <is>
          <t>Renewal</t>
        </is>
      </c>
      <c r="W45" t="inlineStr">
        <is>
          <t>Fresh water</t>
        </is>
      </c>
      <c r="X45" t="inlineStr">
        <is>
          <t>Lab</t>
        </is>
      </c>
      <c r="Y45" t="n">
        <v>4.0</v>
      </c>
      <c r="Z45" t="inlineStr">
        <is>
          <t>Active ingredient</t>
        </is>
      </c>
      <c r="AA45"/>
      <c r="AB45" t="n">
        <v>4.2013412</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c r="BA45" t="inlineStr">
        <is>
          <t>Brain</t>
        </is>
      </c>
      <c r="BB45"/>
      <c r="BC45" t="n">
        <v>28.0</v>
      </c>
      <c r="BD45"/>
      <c r="BE45"/>
      <c r="BF45"/>
      <c r="BG45"/>
      <c r="BH45" t="inlineStr">
        <is>
          <t>Day(s)</t>
        </is>
      </c>
      <c r="BI45"/>
      <c r="BJ45"/>
      <c r="BK45"/>
      <c r="BL45"/>
      <c r="BM45"/>
      <c r="BN45"/>
      <c r="BO45" t="inlineStr">
        <is>
          <t>--</t>
        </is>
      </c>
      <c r="BP45"/>
      <c r="BQ45"/>
      <c r="BR45"/>
      <c r="BS45"/>
      <c r="BT45"/>
      <c r="BU45"/>
      <c r="BV45"/>
      <c r="BW45"/>
      <c r="BX45"/>
      <c r="BY45"/>
      <c r="BZ45"/>
      <c r="CA45"/>
      <c r="CB45"/>
      <c r="CC45"/>
      <c r="CD45" t="inlineStr">
        <is>
          <t>Santhi,J.J., P.K. Issac, M. Velayutham, P.S.S. Rajan, S.A. Hussain, M.R. Shaik, B. Shaik, and A. Guru</t>
        </is>
      </c>
      <c r="CE45" t="n">
        <v>194651.0</v>
      </c>
      <c r="CF45" t="inlineStr">
        <is>
          <t>Neurotoxic Effects of Chronic Exposure to Perfluorobutane Sulfonate in Adult Zebrafish (Danio rerio)</t>
        </is>
      </c>
      <c r="CG45" t="inlineStr">
        <is>
          <t>Comp. Biochem. Physiol. C Toxicol. Pharmacol.292:13 p.</t>
        </is>
      </c>
      <c r="CH45" t="n">
        <v>2025.0</v>
      </c>
      <c r="CI45"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row>
    <row r="46">
      <c r="A46" t="n">
        <v>375735.0</v>
      </c>
      <c r="B46" t="inlineStr">
        <is>
          <t>1,1,2,2,3,3,4,4,4-Nonafluoro-1-butanesulfonic acid</t>
        </is>
      </c>
      <c r="C46"/>
      <c r="D46" t="inlineStr">
        <is>
          <t>Unmeasured</t>
        </is>
      </c>
      <c r="E46"/>
      <c r="F46" t="n">
        <v>97.0</v>
      </c>
      <c r="G46"/>
      <c r="H46"/>
      <c r="I46"/>
      <c r="J46"/>
      <c r="K46" t="inlineStr">
        <is>
          <t>Danio rerio</t>
        </is>
      </c>
      <c r="L46" t="inlineStr">
        <is>
          <t>Zebra Danio</t>
        </is>
      </c>
      <c r="M46" t="inlineStr">
        <is>
          <t>Fish; Standard Test Species</t>
        </is>
      </c>
      <c r="N46" t="inlineStr">
        <is>
          <t>Adult</t>
        </is>
      </c>
      <c r="O46"/>
      <c r="P46"/>
      <c r="Q46"/>
      <c r="R46"/>
      <c r="S46"/>
      <c r="T46"/>
      <c r="U46"/>
      <c r="V46" t="inlineStr">
        <is>
          <t>Renewal</t>
        </is>
      </c>
      <c r="W46" t="inlineStr">
        <is>
          <t>Fresh water</t>
        </is>
      </c>
      <c r="X46" t="inlineStr">
        <is>
          <t>Lab</t>
        </is>
      </c>
      <c r="Y46" t="n">
        <v>4.0</v>
      </c>
      <c r="Z46" t="inlineStr">
        <is>
          <t>Active ingredient</t>
        </is>
      </c>
      <c r="AA46"/>
      <c r="AB46" t="n">
        <v>4.2013412</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c r="BA46" t="inlineStr">
        <is>
          <t>Brain</t>
        </is>
      </c>
      <c r="BB46"/>
      <c r="BC46" t="n">
        <v>28.0</v>
      </c>
      <c r="BD46"/>
      <c r="BE46"/>
      <c r="BF46"/>
      <c r="BG46"/>
      <c r="BH46" t="inlineStr">
        <is>
          <t>Day(s)</t>
        </is>
      </c>
      <c r="BI46"/>
      <c r="BJ46"/>
      <c r="BK46"/>
      <c r="BL46"/>
      <c r="BM46"/>
      <c r="BN46"/>
      <c r="BO46" t="inlineStr">
        <is>
          <t>--</t>
        </is>
      </c>
      <c r="BP46"/>
      <c r="BQ46"/>
      <c r="BR46"/>
      <c r="BS46"/>
      <c r="BT46"/>
      <c r="BU46"/>
      <c r="BV46"/>
      <c r="BW46"/>
      <c r="BX46"/>
      <c r="BY46"/>
      <c r="BZ46"/>
      <c r="CA46"/>
      <c r="CB46"/>
      <c r="CC46"/>
      <c r="CD46" t="inlineStr">
        <is>
          <t>Santhi,J.J., P.K. Issac, M. Velayutham, P.S.S. Rajan, S.A. Hussain, M.R. Shaik, B. Shaik, and A. Guru</t>
        </is>
      </c>
      <c r="CE46" t="n">
        <v>194651.0</v>
      </c>
      <c r="CF46" t="inlineStr">
        <is>
          <t>Neurotoxic Effects of Chronic Exposure to Perfluorobutane Sulfonate in Adult Zebrafish (Danio rerio)</t>
        </is>
      </c>
      <c r="CG46" t="inlineStr">
        <is>
          <t>Comp. Biochem. Physiol. C Toxicol. Pharmacol.292:13 p.</t>
        </is>
      </c>
      <c r="CH46" t="n">
        <v>2025.0</v>
      </c>
      <c r="CI46"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row>
    <row r="47">
      <c r="A47" t="n">
        <v>375735.0</v>
      </c>
      <c r="B47" t="inlineStr">
        <is>
          <t>1,1,2,2,3,3,4,4,4-Nonafluoro-1-butanesulfonic acid</t>
        </is>
      </c>
      <c r="C47"/>
      <c r="D47" t="inlineStr">
        <is>
          <t>Unmeasured values (some measured values reported in article)</t>
        </is>
      </c>
      <c r="E47"/>
      <c r="F47" t="n">
        <v>99.8</v>
      </c>
      <c r="G47"/>
      <c r="H47"/>
      <c r="I47"/>
      <c r="J47"/>
      <c r="K47" t="inlineStr">
        <is>
          <t>Danio rerio</t>
        </is>
      </c>
      <c r="L47" t="inlineStr">
        <is>
          <t>Zebra Danio</t>
        </is>
      </c>
      <c r="M47" t="inlineStr">
        <is>
          <t>Fish; Standard Test Species</t>
        </is>
      </c>
      <c r="N47" t="inlineStr">
        <is>
          <t>Embryo</t>
        </is>
      </c>
      <c r="O47"/>
      <c r="P47" t="n">
        <v>3.0</v>
      </c>
      <c r="Q47"/>
      <c r="R47"/>
      <c r="S47"/>
      <c r="T47"/>
      <c r="U47" t="inlineStr">
        <is>
          <t>Hours post fertilization</t>
        </is>
      </c>
      <c r="V47" t="inlineStr">
        <is>
          <t>Renewal</t>
        </is>
      </c>
      <c r="W47" t="inlineStr">
        <is>
          <t>Fresh water</t>
        </is>
      </c>
      <c r="X47" t="inlineStr">
        <is>
          <t>Lab</t>
        </is>
      </c>
      <c r="Y47" t="n">
        <v>3.0</v>
      </c>
      <c r="Z47" t="inlineStr">
        <is>
          <t>Active ingredient</t>
        </is>
      </c>
      <c r="AA47"/>
      <c r="AB47"/>
      <c r="AC47"/>
      <c r="AD47" t="n">
        <v>1.0E-5</v>
      </c>
      <c r="AE47"/>
      <c r="AF47" t="n">
        <v>1.144E-4</v>
      </c>
      <c r="AG47" t="inlineStr">
        <is>
          <t>AI mg/L</t>
        </is>
      </c>
      <c r="AH47"/>
      <c r="AI47"/>
      <c r="AJ47"/>
      <c r="AK47"/>
      <c r="AL47"/>
      <c r="AM47"/>
      <c r="AN47"/>
      <c r="AO47"/>
      <c r="AP47"/>
      <c r="AQ47"/>
      <c r="AR47"/>
      <c r="AS47"/>
      <c r="AT47"/>
      <c r="AU47"/>
      <c r="AV47"/>
      <c r="AW47"/>
      <c r="AX47" t="inlineStr">
        <is>
          <t>Accumulation</t>
        </is>
      </c>
      <c r="AY47" t="inlineStr">
        <is>
          <t>Residue</t>
        </is>
      </c>
      <c r="AZ47"/>
      <c r="BA47" t="inlineStr">
        <is>
          <t>Whole organism</t>
        </is>
      </c>
      <c r="BB47"/>
      <c r="BC47" t="n">
        <v>4.875</v>
      </c>
      <c r="BD47"/>
      <c r="BE47"/>
      <c r="BF47"/>
      <c r="BG47"/>
      <c r="BH47" t="inlineStr">
        <is>
          <t>Day(s)</t>
        </is>
      </c>
      <c r="BI47"/>
      <c r="BJ47"/>
      <c r="BK47"/>
      <c r="BL47"/>
      <c r="BM47"/>
      <c r="BN47"/>
      <c r="BO47" t="inlineStr">
        <is>
          <t>--</t>
        </is>
      </c>
      <c r="BP47"/>
      <c r="BQ47"/>
      <c r="BR47"/>
      <c r="BS47"/>
      <c r="BT47"/>
      <c r="BU47"/>
      <c r="BV47"/>
      <c r="BW47"/>
      <c r="BX47"/>
      <c r="BY47"/>
      <c r="BZ47"/>
      <c r="CA47"/>
      <c r="CB47"/>
      <c r="CC47"/>
      <c r="CD47" t="inlineStr">
        <is>
          <t>Cao,X., Y. Li, X. Liu, K. Li, S. Hong, H. Chen, Q. Rao, H. Li, Z. Deng, and W. Song</t>
        </is>
      </c>
      <c r="CE47" t="n">
        <v>194975.0</v>
      </c>
      <c r="CF47" t="inlineStr">
        <is>
          <t>Neurodevelopmental Effects of Exposure to Environmentally Relevant Concentrations of Perfluorooctane Sulfonic Acid (PFOS), Perfluorobutanesulfonic Acid (PFBS) and 6:2 Chlorinated Polyfluorinated Ether Sulfonate (6:2 Cl-</t>
        </is>
      </c>
      <c r="CG47" t="inlineStr">
        <is>
          <t>J. Hazard. Mater.494:16 p.</t>
        </is>
      </c>
      <c r="CH47" t="n">
        <v>2025.0</v>
      </c>
      <c r="CI47"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row>
    <row r="48">
      <c r="A48" t="n">
        <v>375735.0</v>
      </c>
      <c r="B48" t="inlineStr">
        <is>
          <t>1,1,2,2,3,3,4,4,4-Nonafluoro-1-butanesulfonic acid</t>
        </is>
      </c>
      <c r="C48"/>
      <c r="D48" t="inlineStr">
        <is>
          <t>Unmeasured</t>
        </is>
      </c>
      <c r="E48" t="inlineStr">
        <is>
          <t>&gt;</t>
        </is>
      </c>
      <c r="F48" t="n">
        <v>98.0</v>
      </c>
      <c r="G48"/>
      <c r="H48"/>
      <c r="I48"/>
      <c r="J48"/>
      <c r="K48" t="inlineStr">
        <is>
          <t>Danio rerio</t>
        </is>
      </c>
      <c r="L48" t="inlineStr">
        <is>
          <t>Zebra Danio</t>
        </is>
      </c>
      <c r="M48" t="inlineStr">
        <is>
          <t>Fish; Standard Test Species</t>
        </is>
      </c>
      <c r="N48" t="inlineStr">
        <is>
          <t>Adult</t>
        </is>
      </c>
      <c r="O48"/>
      <c r="P48" t="n">
        <v>4.0</v>
      </c>
      <c r="Q48"/>
      <c r="R48"/>
      <c r="S48"/>
      <c r="T48"/>
      <c r="U48" t="inlineStr">
        <is>
          <t>Month(s)</t>
        </is>
      </c>
      <c r="V48" t="inlineStr">
        <is>
          <t>Renewal</t>
        </is>
      </c>
      <c r="W48" t="inlineStr">
        <is>
          <t>Fresh water</t>
        </is>
      </c>
      <c r="X48" t="inlineStr">
        <is>
          <t>Lab</t>
        </is>
      </c>
      <c r="Y48" t="n">
        <v>3.0</v>
      </c>
      <c r="Z48" t="inlineStr">
        <is>
          <t>Active ingredient</t>
        </is>
      </c>
      <c r="AA48"/>
      <c r="AB48"/>
      <c r="AC48"/>
      <c r="AD48" t="n">
        <v>0.01</v>
      </c>
      <c r="AE48"/>
      <c r="AF48" t="n">
        <v>0.1</v>
      </c>
      <c r="AG48" t="inlineStr">
        <is>
          <t>AI mg/L</t>
        </is>
      </c>
      <c r="AH48"/>
      <c r="AI48"/>
      <c r="AJ48"/>
      <c r="AK48"/>
      <c r="AL48"/>
      <c r="AM48"/>
      <c r="AN48"/>
      <c r="AO48"/>
      <c r="AP48"/>
      <c r="AQ48"/>
      <c r="AR48"/>
      <c r="AS48"/>
      <c r="AT48"/>
      <c r="AU48"/>
      <c r="AV48"/>
      <c r="AW48"/>
      <c r="AX48" t="inlineStr">
        <is>
          <t>Accumulation</t>
        </is>
      </c>
      <c r="AY48" t="inlineStr">
        <is>
          <t>Residue</t>
        </is>
      </c>
      <c r="AZ48"/>
      <c r="BA48" t="inlineStr">
        <is>
          <t>Whole organism</t>
        </is>
      </c>
      <c r="BB48"/>
      <c r="BC48" t="n">
        <v>28.0</v>
      </c>
      <c r="BD48"/>
      <c r="BE48"/>
      <c r="BF48"/>
      <c r="BG48"/>
      <c r="BH48" t="inlineStr">
        <is>
          <t>Day(s)</t>
        </is>
      </c>
      <c r="BI48"/>
      <c r="BJ48"/>
      <c r="BK48"/>
      <c r="BL48"/>
      <c r="BM48"/>
      <c r="BN48"/>
      <c r="BO48" t="inlineStr">
        <is>
          <t>--</t>
        </is>
      </c>
      <c r="BP48"/>
      <c r="BQ48"/>
      <c r="BR48"/>
      <c r="BS48"/>
      <c r="BT48"/>
      <c r="BU48"/>
      <c r="BV48"/>
      <c r="BW48"/>
      <c r="BX48"/>
      <c r="BY48"/>
      <c r="BZ48"/>
      <c r="CA48"/>
      <c r="CB48"/>
      <c r="CC48"/>
      <c r="CD48" t="inlineStr">
        <is>
          <t>Chen,L., J.C.W. Lam, L. Tang, C. Hu, M. Liu, P.K.S. Lam, and B. Zhou</t>
        </is>
      </c>
      <c r="CE48" t="n">
        <v>184469.0</v>
      </c>
      <c r="CF48" t="inlineStr">
        <is>
          <t>Probiotic Modulation of Lipid Metabolism Disorders Caused by Perfluorobutanesulfonate Pollution in Zebrafish</t>
        </is>
      </c>
      <c r="CG48" t="inlineStr">
        <is>
          <t>Environ. Sci. Technol.54(12): 7494-7503</t>
        </is>
      </c>
      <c r="CH48" t="n">
        <v>2020.0</v>
      </c>
      <c r="CI48" t="inlineStr">
        <is>
          <t>Chen,L., J.C.W. Lam, L. Tang, C. Hu, M. Liu, P.K.S. Lam, and B. Zhou (2020). Probiotic Modulation of Lipid Metabolism Disorders Caused by Perfluorobutanesulfonate Pollution in Zebrafish. Environ. Sci. Technol., 54, (12), 7494-7503. doi:10.1021/acs.est.0c02345. ECOREF#:184469</t>
        </is>
      </c>
    </row>
    <row r="49">
      <c r="A49" t="n">
        <v>375735.0</v>
      </c>
      <c r="B49" t="inlineStr">
        <is>
          <t>1,1,2,2,3,3,4,4,4-Nonafluoro-1-butanesulfonic acid</t>
        </is>
      </c>
      <c r="C49"/>
      <c r="D49" t="inlineStr">
        <is>
          <t>Unmeasured</t>
        </is>
      </c>
      <c r="E49"/>
      <c r="F49" t="n">
        <v>97.0</v>
      </c>
      <c r="G49"/>
      <c r="H49"/>
      <c r="I49"/>
      <c r="J49"/>
      <c r="K49" t="inlineStr">
        <is>
          <t>Danio rerio</t>
        </is>
      </c>
      <c r="L49" t="inlineStr">
        <is>
          <t>Zebra Danio</t>
        </is>
      </c>
      <c r="M49" t="inlineStr">
        <is>
          <t>Fish; Standard Test Species</t>
        </is>
      </c>
      <c r="N49" t="inlineStr">
        <is>
          <t>Adult</t>
        </is>
      </c>
      <c r="O49"/>
      <c r="P49"/>
      <c r="Q49"/>
      <c r="R49"/>
      <c r="S49"/>
      <c r="T49"/>
      <c r="U49"/>
      <c r="V49" t="inlineStr">
        <is>
          <t>Renewal</t>
        </is>
      </c>
      <c r="W49" t="inlineStr">
        <is>
          <t>Fresh water</t>
        </is>
      </c>
      <c r="X49" t="inlineStr">
        <is>
          <t>Lab</t>
        </is>
      </c>
      <c r="Y49" t="n">
        <v>4.0</v>
      </c>
      <c r="Z49" t="inlineStr">
        <is>
          <t>Active ingredient</t>
        </is>
      </c>
      <c r="AA49"/>
      <c r="AB49"/>
      <c r="AC49"/>
      <c r="AD49" t="n">
        <v>0.042013412</v>
      </c>
      <c r="AE49"/>
      <c r="AF49" t="n">
        <v>4.2013412</v>
      </c>
      <c r="AG49" t="inlineStr">
        <is>
          <t>AI mg/L</t>
        </is>
      </c>
      <c r="AH49"/>
      <c r="AI49"/>
      <c r="AJ49"/>
      <c r="AK49"/>
      <c r="AL49"/>
      <c r="AM49"/>
      <c r="AN49"/>
      <c r="AO49"/>
      <c r="AP49"/>
      <c r="AQ49"/>
      <c r="AR49"/>
      <c r="AS49"/>
      <c r="AT49"/>
      <c r="AU49"/>
      <c r="AV49"/>
      <c r="AW49"/>
      <c r="AX49" t="inlineStr">
        <is>
          <t>Accumulation</t>
        </is>
      </c>
      <c r="AY49" t="inlineStr">
        <is>
          <t>Residue</t>
        </is>
      </c>
      <c r="AZ49"/>
      <c r="BA49" t="inlineStr">
        <is>
          <t>Multiple entries</t>
        </is>
      </c>
      <c r="BB49"/>
      <c r="BC49" t="n">
        <v>28.0</v>
      </c>
      <c r="BD49"/>
      <c r="BE49"/>
      <c r="BF49"/>
      <c r="BG49"/>
      <c r="BH49" t="inlineStr">
        <is>
          <t>Day(s)</t>
        </is>
      </c>
      <c r="BI49"/>
      <c r="BJ49"/>
      <c r="BK49"/>
      <c r="BL49"/>
      <c r="BM49"/>
      <c r="BN49"/>
      <c r="BO49" t="inlineStr">
        <is>
          <t>--</t>
        </is>
      </c>
      <c r="BP49"/>
      <c r="BQ49"/>
      <c r="BR49"/>
      <c r="BS49"/>
      <c r="BT49"/>
      <c r="BU49"/>
      <c r="BV49"/>
      <c r="BW49"/>
      <c r="BX49"/>
      <c r="BY49"/>
      <c r="BZ49"/>
      <c r="CA49"/>
      <c r="CB49"/>
      <c r="CC49"/>
      <c r="CD49" t="inlineStr">
        <is>
          <t>Santhi,J.J., P.K. Issac, M. Velayutham, S.A. Hussain, M.R. Shaik, B. Shaik, and A. Guru</t>
        </is>
      </c>
      <c r="CE49" t="n">
        <v>193924.0</v>
      </c>
      <c r="CF49" t="inlineStr">
        <is>
          <t>Reproductive Toxicity of Perfluorobutane Sulfonate in Zebrafish (Danio rerio): Impacts on Oxidative Stress, Hormone Disruption and HPGL Axis Dysregulation</t>
        </is>
      </c>
      <c r="CG49" t="inlineStr">
        <is>
          <t>Comp. Biochem. Physiol. C Toxicol. Pharmacol.289:12 p.</t>
        </is>
      </c>
      <c r="CH49" t="n">
        <v>2025.0</v>
      </c>
      <c r="CI49" t="inlineStr">
        <is>
          <t>Santhi,J.J., P.K. Issac, M. Velayutham, S.A. Hussain, M.R. Shaik, B. Shaik, and A. Guru (2025). Reproductive Toxicity of Perfluorobutane Sulfonate in Zebrafish (Danio rerio): Impacts on Oxidative Stress, Hormone Disruption and HPGL Axis Dysregulation. Comp. Biochem. Physiol. C Toxicol. Pharmacol., 289, 12 p. doi:10.1016/j.cbpc.2025.110122. ECOREF#:193924</t>
        </is>
      </c>
    </row>
    <row r="50">
      <c r="A50" t="n">
        <v>375735.0</v>
      </c>
      <c r="B50" t="inlineStr">
        <is>
          <t>1,1,2,2,3,3,4,4,4-Nonafluoro-1-butanesulfonic acid</t>
        </is>
      </c>
      <c r="C50"/>
      <c r="D50" t="inlineStr">
        <is>
          <t>Unmeasured</t>
        </is>
      </c>
      <c r="E50"/>
      <c r="F50" t="n">
        <v>97.0</v>
      </c>
      <c r="G50"/>
      <c r="H50"/>
      <c r="I50"/>
      <c r="J50"/>
      <c r="K50" t="inlineStr">
        <is>
          <t>Oncorhynchus mykiss</t>
        </is>
      </c>
      <c r="L50" t="inlineStr">
        <is>
          <t>Rainbow Trout</t>
        </is>
      </c>
      <c r="M50" t="inlineStr">
        <is>
          <t>Fish; Standard Test Species; U.S. Threatened and Endangered Species</t>
        </is>
      </c>
      <c r="N50" t="inlineStr">
        <is>
          <t>Oocyte, ova</t>
        </is>
      </c>
      <c r="O50"/>
      <c r="P50"/>
      <c r="Q50"/>
      <c r="R50"/>
      <c r="S50"/>
      <c r="T50"/>
      <c r="U50"/>
      <c r="V50" t="inlineStr">
        <is>
          <t>Static</t>
        </is>
      </c>
      <c r="W50" t="inlineStr">
        <is>
          <t>Culture</t>
        </is>
      </c>
      <c r="X50" t="inlineStr">
        <is>
          <t>Lab</t>
        </is>
      </c>
      <c r="Y50" t="n">
        <v>5.0</v>
      </c>
      <c r="Z50" t="inlineStr">
        <is>
          <t>Active ingredient</t>
        </is>
      </c>
      <c r="AA50"/>
      <c r="AB50"/>
      <c r="AC50"/>
      <c r="AD50" t="n">
        <v>1.0</v>
      </c>
      <c r="AE50"/>
      <c r="AF50" t="n">
        <v>1000.0</v>
      </c>
      <c r="AG50" t="inlineStr">
        <is>
          <t>AI mg/L</t>
        </is>
      </c>
      <c r="AH50"/>
      <c r="AI50"/>
      <c r="AJ50"/>
      <c r="AK50"/>
      <c r="AL50"/>
      <c r="AM50"/>
      <c r="AN50"/>
      <c r="AO50"/>
      <c r="AP50"/>
      <c r="AQ50"/>
      <c r="AR50"/>
      <c r="AS50"/>
      <c r="AT50"/>
      <c r="AU50"/>
      <c r="AV50"/>
      <c r="AW50"/>
      <c r="AX50" t="inlineStr">
        <is>
          <t>Accumulation</t>
        </is>
      </c>
      <c r="AY50" t="inlineStr">
        <is>
          <t>Residue</t>
        </is>
      </c>
      <c r="AZ50"/>
      <c r="BA50" t="inlineStr">
        <is>
          <t>Multiple entries</t>
        </is>
      </c>
      <c r="BB50"/>
      <c r="BC50" t="n">
        <v>0.125</v>
      </c>
      <c r="BD50"/>
      <c r="BE50"/>
      <c r="BF50"/>
      <c r="BG50"/>
      <c r="BH50" t="inlineStr">
        <is>
          <t>Day(s)</t>
        </is>
      </c>
      <c r="BI50"/>
      <c r="BJ50"/>
      <c r="BK50"/>
      <c r="BL50"/>
      <c r="BM50"/>
      <c r="BN50"/>
      <c r="BO50" t="inlineStr">
        <is>
          <t>--</t>
        </is>
      </c>
      <c r="BP50"/>
      <c r="BQ50"/>
      <c r="BR50"/>
      <c r="BS50"/>
      <c r="BT50"/>
      <c r="BU50"/>
      <c r="BV50"/>
      <c r="BW50"/>
      <c r="BX50"/>
      <c r="BY50"/>
      <c r="BZ50"/>
      <c r="CA50"/>
      <c r="CB50"/>
      <c r="CC50"/>
      <c r="CD50" t="inlineStr">
        <is>
          <t>Su,S., Z. Yang, Y. Gong, Y. Xie, J. Tang, C. Wang, X. Zhao, J.C. Raine, J.P. Giesy, and P.D. Jones</t>
        </is>
      </c>
      <c r="CE50" t="n">
        <v>194792.0</v>
      </c>
      <c r="CF50" t="inlineStr">
        <is>
          <t>Apical Effects of Simulated Maternal Exposure of Salmonid Fishes to Novel and Typical Per- and Polyfluoroalkyl Substances</t>
        </is>
      </c>
      <c r="CG50" t="inlineStr">
        <is>
          <t>Environ. Toxicol. Chem.44(7): 1883-1890</t>
        </is>
      </c>
      <c r="CH50" t="n">
        <v>2025.0</v>
      </c>
      <c r="CI50"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51">
      <c r="A51" t="n">
        <v>375735.0</v>
      </c>
      <c r="B51" t="inlineStr">
        <is>
          <t>1,1,2,2,3,3,4,4,4-Nonafluoro-1-butanesulfonic acid</t>
        </is>
      </c>
      <c r="C51"/>
      <c r="D51" t="inlineStr">
        <is>
          <t>Measured</t>
        </is>
      </c>
      <c r="E51" t="inlineStr">
        <is>
          <t>&gt;=</t>
        </is>
      </c>
      <c r="F51" t="n">
        <v>98.0</v>
      </c>
      <c r="G51"/>
      <c r="H51"/>
      <c r="I51"/>
      <c r="J51"/>
      <c r="K51" t="inlineStr">
        <is>
          <t>Lemna minor</t>
        </is>
      </c>
      <c r="L51" t="inlineStr">
        <is>
          <t>Duckweed</t>
        </is>
      </c>
      <c r="M51" t="inlineStr">
        <is>
          <t>Flowers, Trees, Shrubs, Ferns; Standard Test Species; U.S. Invasive Species</t>
        </is>
      </c>
      <c r="N51"/>
      <c r="O51"/>
      <c r="P51"/>
      <c r="Q51"/>
      <c r="R51"/>
      <c r="S51"/>
      <c r="T51"/>
      <c r="U51"/>
      <c r="V51" t="inlineStr">
        <is>
          <t>Static</t>
        </is>
      </c>
      <c r="W51" t="inlineStr">
        <is>
          <t>Culture</t>
        </is>
      </c>
      <c r="X51" t="inlineStr">
        <is>
          <t>Lab</t>
        </is>
      </c>
      <c r="Y51" t="n">
        <v>4.0</v>
      </c>
      <c r="Z51" t="inlineStr">
        <is>
          <t>Active ingredient</t>
        </is>
      </c>
      <c r="AA51"/>
      <c r="AB51"/>
      <c r="AC51"/>
      <c r="AD51" t="n">
        <v>9.9E-4</v>
      </c>
      <c r="AE51"/>
      <c r="AF51" t="n">
        <v>9.644</v>
      </c>
      <c r="AG51" t="inlineStr">
        <is>
          <t>AI mg/L</t>
        </is>
      </c>
      <c r="AH51"/>
      <c r="AI51"/>
      <c r="AJ51"/>
      <c r="AK51"/>
      <c r="AL51"/>
      <c r="AM51"/>
      <c r="AN51"/>
      <c r="AO51"/>
      <c r="AP51"/>
      <c r="AQ51"/>
      <c r="AR51"/>
      <c r="AS51"/>
      <c r="AT51"/>
      <c r="AU51"/>
      <c r="AV51"/>
      <c r="AW51"/>
      <c r="AX51" t="inlineStr">
        <is>
          <t>Accumulation</t>
        </is>
      </c>
      <c r="AY51" t="inlineStr">
        <is>
          <t>Residue</t>
        </is>
      </c>
      <c r="AZ51"/>
      <c r="BA51" t="inlineStr">
        <is>
          <t>Whole organism</t>
        </is>
      </c>
      <c r="BB51"/>
      <c r="BC51" t="n">
        <v>4.0</v>
      </c>
      <c r="BD51"/>
      <c r="BE51"/>
      <c r="BF51"/>
      <c r="BG51"/>
      <c r="BH51" t="inlineStr">
        <is>
          <t>Day(s)</t>
        </is>
      </c>
      <c r="BI51"/>
      <c r="BJ51"/>
      <c r="BK51"/>
      <c r="BL51"/>
      <c r="BM51"/>
      <c r="BN51"/>
      <c r="BO51" t="inlineStr">
        <is>
          <t>--</t>
        </is>
      </c>
      <c r="BP51"/>
      <c r="BQ51"/>
      <c r="BR51"/>
      <c r="BS51"/>
      <c r="BT51"/>
      <c r="BU51"/>
      <c r="BV51"/>
      <c r="BW51"/>
      <c r="BX51"/>
      <c r="BY51"/>
      <c r="BZ51"/>
      <c r="CA51"/>
      <c r="CB51"/>
      <c r="CC51"/>
      <c r="CD51" t="inlineStr">
        <is>
          <t>Wu,Y., Q. Xiong, B. Wang, Y. Liu, P. Zhou, L. Hu, F. Liu, and G. Ying</t>
        </is>
      </c>
      <c r="CE51" t="n">
        <v>191130.0</v>
      </c>
      <c r="CF51" t="inlineStr">
        <is>
          <t>Screening of Structural and Functional Alterations in Duckweed (Lemna minor) Induced by Per- and Polyfluoroalkyl Substances (PFASs) with FTIR Spectroscopy</t>
        </is>
      </c>
      <c r="CG51" t="inlineStr">
        <is>
          <t>Environ. Pollut.317:10 p.</t>
        </is>
      </c>
      <c r="CH51" t="n">
        <v>2023.0</v>
      </c>
      <c r="CI51"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row>
    <row r="52">
      <c r="A52" t="n">
        <v>2.9420493E7</v>
      </c>
      <c r="B52" t="inlineStr">
        <is>
          <t>1,1,2,2,3,3,4,4,4-Nonafluoro-1-butanesulfonic acid potassium salt (1:1)</t>
        </is>
      </c>
      <c r="C52"/>
      <c r="D52" t="inlineStr">
        <is>
          <t>Measured</t>
        </is>
      </c>
      <c r="E52"/>
      <c r="F52" t="n">
        <v>98.0</v>
      </c>
      <c r="G52"/>
      <c r="H52"/>
      <c r="I52"/>
      <c r="J52"/>
      <c r="K52" t="inlineStr">
        <is>
          <t>Lithobates pipiens</t>
        </is>
      </c>
      <c r="L52" t="inlineStr">
        <is>
          <t>Leopard Frog</t>
        </is>
      </c>
      <c r="M52" t="inlineStr">
        <is>
          <t>Amphibians; Standard Test Species</t>
        </is>
      </c>
      <c r="N52" t="inlineStr">
        <is>
          <t>Tadpole</t>
        </is>
      </c>
      <c r="O52"/>
      <c r="P52" t="n">
        <v>25.0</v>
      </c>
      <c r="Q52"/>
      <c r="R52"/>
      <c r="S52"/>
      <c r="T52"/>
      <c r="U52" t="inlineStr">
        <is>
          <t>Growing season</t>
        </is>
      </c>
      <c r="V52" t="inlineStr">
        <is>
          <t>Renewal</t>
        </is>
      </c>
      <c r="W52" t="inlineStr">
        <is>
          <t>Fresh water</t>
        </is>
      </c>
      <c r="X52" t="inlineStr">
        <is>
          <t>Lab</t>
        </is>
      </c>
      <c r="Y52" t="n">
        <v>3.0</v>
      </c>
      <c r="Z52" t="inlineStr">
        <is>
          <t>Active ingredient</t>
        </is>
      </c>
      <c r="AA52"/>
      <c r="AB52"/>
      <c r="AC52"/>
      <c r="AD52" t="n">
        <v>0.903</v>
      </c>
      <c r="AE52"/>
      <c r="AF52" t="n">
        <v>0.996</v>
      </c>
      <c r="AG52" t="inlineStr">
        <is>
          <t>AI mg/L</t>
        </is>
      </c>
      <c r="AH52"/>
      <c r="AI52"/>
      <c r="AJ52"/>
      <c r="AK52"/>
      <c r="AL52"/>
      <c r="AM52"/>
      <c r="AN52"/>
      <c r="AO52"/>
      <c r="AP52"/>
      <c r="AQ52"/>
      <c r="AR52"/>
      <c r="AS52"/>
      <c r="AT52"/>
      <c r="AU52"/>
      <c r="AV52"/>
      <c r="AW52"/>
      <c r="AX52" t="inlineStr">
        <is>
          <t>Accumulation</t>
        </is>
      </c>
      <c r="AY52" t="inlineStr">
        <is>
          <t>Residue</t>
        </is>
      </c>
      <c r="AZ52" t="inlineStr">
        <is>
          <t>BCF</t>
        </is>
      </c>
      <c r="BA52" t="inlineStr">
        <is>
          <t>Liver</t>
        </is>
      </c>
      <c r="BB52"/>
      <c r="BC52" t="n">
        <v>60.0</v>
      </c>
      <c r="BD52"/>
      <c r="BE52"/>
      <c r="BF52"/>
      <c r="BG52"/>
      <c r="BH52" t="inlineStr">
        <is>
          <t>Day(s)</t>
        </is>
      </c>
      <c r="BI52"/>
      <c r="BJ52" t="n">
        <v>0.069</v>
      </c>
      <c r="BK52"/>
      <c r="BL52"/>
      <c r="BM52"/>
      <c r="BN52"/>
      <c r="BO52" t="inlineStr">
        <is>
          <t>L/kg</t>
        </is>
      </c>
      <c r="BP52"/>
      <c r="BQ52"/>
      <c r="BR52"/>
      <c r="BS52"/>
      <c r="BT52"/>
      <c r="BU52"/>
      <c r="BV52"/>
      <c r="BW52"/>
      <c r="BX52"/>
      <c r="BY52"/>
      <c r="BZ52"/>
      <c r="CA52"/>
      <c r="CB52"/>
      <c r="CC52"/>
      <c r="CD52" t="inlineStr">
        <is>
          <t>Rohonczy,J., M.R. Forbes, A.M. Gilroy E, D.J. Carpenter, S.D. Young, A. Morrill, C. Brinovcar, A.O. De Silva, A.J. Bart</t>
        </is>
      </c>
      <c r="CE52" t="n">
        <v>194034.0</v>
      </c>
      <c r="CF52" t="inlineStr">
        <is>
          <t>Effects of Perfluoroalkyl Sulfonic Acids on Developmental, Physiological, and Immunological Measures in Northern Leopard Frog Tadpoles</t>
        </is>
      </c>
      <c r="CG52" t="inlineStr">
        <is>
          <t>Chemosphere365:15 p.</t>
        </is>
      </c>
      <c r="CH52" t="n">
        <v>2024.0</v>
      </c>
      <c r="CI52"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53">
      <c r="A53" t="n">
        <v>2.9420493E7</v>
      </c>
      <c r="B53" t="inlineStr">
        <is>
          <t>1,1,2,2,3,3,4,4,4-Nonafluoro-1-butanesulfonic acid potassium salt (1:1)</t>
        </is>
      </c>
      <c r="C53"/>
      <c r="D53" t="inlineStr">
        <is>
          <t>Measured</t>
        </is>
      </c>
      <c r="E53"/>
      <c r="F53" t="n">
        <v>98.0</v>
      </c>
      <c r="G53"/>
      <c r="H53"/>
      <c r="I53"/>
      <c r="J53"/>
      <c r="K53" t="inlineStr">
        <is>
          <t>Lithobates pipiens</t>
        </is>
      </c>
      <c r="L53" t="inlineStr">
        <is>
          <t>Leopard Frog</t>
        </is>
      </c>
      <c r="M53" t="inlineStr">
        <is>
          <t>Amphibians; Standard Test Species</t>
        </is>
      </c>
      <c r="N53" t="inlineStr">
        <is>
          <t>Tadpole</t>
        </is>
      </c>
      <c r="O53"/>
      <c r="P53" t="n">
        <v>25.0</v>
      </c>
      <c r="Q53"/>
      <c r="R53"/>
      <c r="S53"/>
      <c r="T53"/>
      <c r="U53" t="inlineStr">
        <is>
          <t>Growing season</t>
        </is>
      </c>
      <c r="V53" t="inlineStr">
        <is>
          <t>Renewal</t>
        </is>
      </c>
      <c r="W53" t="inlineStr">
        <is>
          <t>Fresh water</t>
        </is>
      </c>
      <c r="X53" t="inlineStr">
        <is>
          <t>Lab</t>
        </is>
      </c>
      <c r="Y53" t="n">
        <v>3.0</v>
      </c>
      <c r="Z53" t="inlineStr">
        <is>
          <t>Active ingredient</t>
        </is>
      </c>
      <c r="AA53"/>
      <c r="AB53"/>
      <c r="AC53"/>
      <c r="AD53" t="n">
        <v>0.0059</v>
      </c>
      <c r="AE53"/>
      <c r="AF53" t="n">
        <v>0.0063</v>
      </c>
      <c r="AG53" t="inlineStr">
        <is>
          <t>AI mg/L</t>
        </is>
      </c>
      <c r="AH53"/>
      <c r="AI53"/>
      <c r="AJ53"/>
      <c r="AK53"/>
      <c r="AL53"/>
      <c r="AM53"/>
      <c r="AN53"/>
      <c r="AO53"/>
      <c r="AP53"/>
      <c r="AQ53"/>
      <c r="AR53"/>
      <c r="AS53"/>
      <c r="AT53"/>
      <c r="AU53"/>
      <c r="AV53"/>
      <c r="AW53"/>
      <c r="AX53" t="inlineStr">
        <is>
          <t>Accumulation</t>
        </is>
      </c>
      <c r="AY53" t="inlineStr">
        <is>
          <t>Residue</t>
        </is>
      </c>
      <c r="AZ53" t="inlineStr">
        <is>
          <t>BCF</t>
        </is>
      </c>
      <c r="BA53" t="inlineStr">
        <is>
          <t>Liver</t>
        </is>
      </c>
      <c r="BB53"/>
      <c r="BC53" t="n">
        <v>60.0</v>
      </c>
      <c r="BD53"/>
      <c r="BE53"/>
      <c r="BF53"/>
      <c r="BG53"/>
      <c r="BH53" t="inlineStr">
        <is>
          <t>Day(s)</t>
        </is>
      </c>
      <c r="BI53"/>
      <c r="BJ53" t="n">
        <v>0.15</v>
      </c>
      <c r="BK53"/>
      <c r="BL53"/>
      <c r="BM53"/>
      <c r="BN53"/>
      <c r="BO53" t="inlineStr">
        <is>
          <t>L/kg</t>
        </is>
      </c>
      <c r="BP53"/>
      <c r="BQ53"/>
      <c r="BR53"/>
      <c r="BS53"/>
      <c r="BT53"/>
      <c r="BU53"/>
      <c r="BV53"/>
      <c r="BW53"/>
      <c r="BX53"/>
      <c r="BY53"/>
      <c r="BZ53"/>
      <c r="CA53"/>
      <c r="CB53"/>
      <c r="CC53"/>
      <c r="CD53" t="inlineStr">
        <is>
          <t>Rohonczy,J., M.R. Forbes, A.M. Gilroy E, D.J. Carpenter, S.D. Young, A. Morrill, C. Brinovcar, A.O. De Silva, A.J. Bart</t>
        </is>
      </c>
      <c r="CE53" t="n">
        <v>194034.0</v>
      </c>
      <c r="CF53" t="inlineStr">
        <is>
          <t>Effects of Perfluoroalkyl Sulfonic Acids on Developmental, Physiological, and Immunological Measures in Northern Leopard Frog Tadpoles</t>
        </is>
      </c>
      <c r="CG53" t="inlineStr">
        <is>
          <t>Chemosphere365:15 p.</t>
        </is>
      </c>
      <c r="CH53" t="n">
        <v>2024.0</v>
      </c>
      <c r="CI53"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54">
      <c r="A54" t="n">
        <v>2.9420493E7</v>
      </c>
      <c r="B54" t="inlineStr">
        <is>
          <t>1,1,2,2,3,3,4,4,4-Nonafluoro-1-butanesulfonic acid potassium salt (1:1)</t>
        </is>
      </c>
      <c r="C54"/>
      <c r="D54" t="inlineStr">
        <is>
          <t>Unmeasured</t>
        </is>
      </c>
      <c r="E54"/>
      <c r="F54" t="n">
        <v>100.0</v>
      </c>
      <c r="G54"/>
      <c r="H54"/>
      <c r="I54"/>
      <c r="J54"/>
      <c r="K54" t="inlineStr">
        <is>
          <t>Danio rerio</t>
        </is>
      </c>
      <c r="L54" t="inlineStr">
        <is>
          <t>Zebra Danio</t>
        </is>
      </c>
      <c r="M54" t="inlineStr">
        <is>
          <t>Fish; Standard Test Species</t>
        </is>
      </c>
      <c r="N54" t="inlineStr">
        <is>
          <t>Embryo</t>
        </is>
      </c>
      <c r="O54"/>
      <c r="P54" t="n">
        <v>8.0</v>
      </c>
      <c r="Q54"/>
      <c r="R54"/>
      <c r="S54"/>
      <c r="T54"/>
      <c r="U54" t="inlineStr">
        <is>
          <t>Hours post fertilization</t>
        </is>
      </c>
      <c r="V54" t="inlineStr">
        <is>
          <t>Static</t>
        </is>
      </c>
      <c r="W54" t="inlineStr">
        <is>
          <t>Culture</t>
        </is>
      </c>
      <c r="X54" t="inlineStr">
        <is>
          <t>Lab</t>
        </is>
      </c>
      <c r="Y54" t="n">
        <v>2.0</v>
      </c>
      <c r="Z54" t="inlineStr">
        <is>
          <t>Active ingredient</t>
        </is>
      </c>
      <c r="AA54"/>
      <c r="AB54" t="n">
        <v>15.9421227</v>
      </c>
      <c r="AC54"/>
      <c r="AD54"/>
      <c r="AE54"/>
      <c r="AF54"/>
      <c r="AG54" t="inlineStr">
        <is>
          <t>AI mg/L</t>
        </is>
      </c>
      <c r="AH54"/>
      <c r="AI54"/>
      <c r="AJ54"/>
      <c r="AK54"/>
      <c r="AL54"/>
      <c r="AM54"/>
      <c r="AN54"/>
      <c r="AO54"/>
      <c r="AP54"/>
      <c r="AQ54"/>
      <c r="AR54"/>
      <c r="AS54"/>
      <c r="AT54"/>
      <c r="AU54"/>
      <c r="AV54"/>
      <c r="AW54"/>
      <c r="AX54" t="inlineStr">
        <is>
          <t>Accumulation</t>
        </is>
      </c>
      <c r="AY54" t="inlineStr">
        <is>
          <t>Residue</t>
        </is>
      </c>
      <c r="AZ54" t="inlineStr">
        <is>
          <t>BCF</t>
        </is>
      </c>
      <c r="BA54" t="inlineStr">
        <is>
          <t>Whole organism</t>
        </is>
      </c>
      <c r="BB54"/>
      <c r="BC54" t="n">
        <v>1.6667</v>
      </c>
      <c r="BD54"/>
      <c r="BE54"/>
      <c r="BF54"/>
      <c r="BG54"/>
      <c r="BH54" t="inlineStr">
        <is>
          <t>Day(s)</t>
        </is>
      </c>
      <c r="BI54"/>
      <c r="BJ54" t="n">
        <v>0.63</v>
      </c>
      <c r="BK54"/>
      <c r="BL54"/>
      <c r="BM54"/>
      <c r="BN54"/>
      <c r="BO54" t="inlineStr">
        <is>
          <t>L/kg</t>
        </is>
      </c>
      <c r="BP54"/>
      <c r="BQ54"/>
      <c r="BR54"/>
      <c r="BS54"/>
      <c r="BT54"/>
      <c r="BU54"/>
      <c r="BV54"/>
      <c r="BW54"/>
      <c r="BX54"/>
      <c r="BY54"/>
      <c r="BZ54"/>
      <c r="CA54"/>
      <c r="CB54"/>
      <c r="CC54"/>
      <c r="CD54" t="inlineStr">
        <is>
          <t>Rericha,Y., D. Cao, L. Truong, M.T. Simonich, J.A. Field, and R.L. Tanguay</t>
        </is>
      </c>
      <c r="CE54" t="n">
        <v>191277.0</v>
      </c>
      <c r="CF54" t="inlineStr">
        <is>
          <t>Sulfonamide Functional Head on Short-Chain Perfluorinated Substance Drives Developmental Toxicity</t>
        </is>
      </c>
      <c r="CG54" t="inlineStr">
        <is>
          <t>iScience25(2): 10 p.</t>
        </is>
      </c>
      <c r="CH54" t="n">
        <v>2022.0</v>
      </c>
      <c r="CI54" t="inlineStr">
        <is>
          <t>Rericha,Y., D. Cao, L. Truong, M.T. Simonich, J.A. Field, and R.L. Tanguay (2022). Sulfonamide Functional Head on Short-Chain Perfluorinated Substance Drives Developmental Toxicity. iScience, 25, (2), 10 p. doi:10.1016/j.isci.2022.103789. ECOREF#:191277</t>
        </is>
      </c>
    </row>
    <row r="55">
      <c r="A55" t="n">
        <v>2.9420493E7</v>
      </c>
      <c r="B55" t="inlineStr">
        <is>
          <t>1,1,2,2,3,3,4,4,4-Nonafluoro-1-butanesulfonic acid potassium salt (1:1)</t>
        </is>
      </c>
      <c r="C55"/>
      <c r="D55" t="inlineStr">
        <is>
          <t>Measured</t>
        </is>
      </c>
      <c r="E55" t="inlineStr">
        <is>
          <t>&gt;</t>
        </is>
      </c>
      <c r="F55" t="n">
        <v>95.0</v>
      </c>
      <c r="G55"/>
      <c r="H55"/>
      <c r="I55"/>
      <c r="J55"/>
      <c r="K55" t="inlineStr">
        <is>
          <t>Danio rerio</t>
        </is>
      </c>
      <c r="L55" t="inlineStr">
        <is>
          <t>Zebra Danio</t>
        </is>
      </c>
      <c r="M55" t="inlineStr">
        <is>
          <t>Fish; Standard Test Species</t>
        </is>
      </c>
      <c r="N55" t="inlineStr">
        <is>
          <t>Embryo</t>
        </is>
      </c>
      <c r="O55"/>
      <c r="P55" t="n">
        <v>64.0</v>
      </c>
      <c r="Q55"/>
      <c r="R55"/>
      <c r="S55"/>
      <c r="T55"/>
      <c r="U55" t="inlineStr">
        <is>
          <t>Cell stage</t>
        </is>
      </c>
      <c r="V55" t="inlineStr">
        <is>
          <t>Renewal</t>
        </is>
      </c>
      <c r="W55" t="inlineStr">
        <is>
          <t>Culture</t>
        </is>
      </c>
      <c r="X55" t="inlineStr">
        <is>
          <t>Lab</t>
        </is>
      </c>
      <c r="Y55" t="n">
        <v>3.0</v>
      </c>
      <c r="Z55" t="inlineStr">
        <is>
          <t>Active ingredient</t>
        </is>
      </c>
      <c r="AA55"/>
      <c r="AB55" t="n">
        <v>1.522981509</v>
      </c>
      <c r="AC55"/>
      <c r="AD55"/>
      <c r="AE55"/>
      <c r="AF55"/>
      <c r="AG55" t="inlineStr">
        <is>
          <t>AI mg/L</t>
        </is>
      </c>
      <c r="AH55"/>
      <c r="AI55"/>
      <c r="AJ55"/>
      <c r="AK55"/>
      <c r="AL55"/>
      <c r="AM55"/>
      <c r="AN55"/>
      <c r="AO55"/>
      <c r="AP55"/>
      <c r="AQ55"/>
      <c r="AR55"/>
      <c r="AS55"/>
      <c r="AT55"/>
      <c r="AU55"/>
      <c r="AV55"/>
      <c r="AW55"/>
      <c r="AX55" t="inlineStr">
        <is>
          <t>Accumulation</t>
        </is>
      </c>
      <c r="AY55" t="inlineStr">
        <is>
          <t>Residue</t>
        </is>
      </c>
      <c r="AZ55" t="inlineStr">
        <is>
          <t>BCF</t>
        </is>
      </c>
      <c r="BA55" t="inlineStr">
        <is>
          <t>Whole organism</t>
        </is>
      </c>
      <c r="BB55"/>
      <c r="BC55" t="n">
        <v>5.0</v>
      </c>
      <c r="BD55"/>
      <c r="BE55"/>
      <c r="BF55"/>
      <c r="BG55"/>
      <c r="BH55" t="inlineStr">
        <is>
          <t>Day(s) post-fertilization</t>
        </is>
      </c>
      <c r="BI55"/>
      <c r="BJ55" t="n">
        <v>3.0</v>
      </c>
      <c r="BK55"/>
      <c r="BL55"/>
      <c r="BM55"/>
      <c r="BN55"/>
      <c r="BO55" t="inlineStr">
        <is>
          <t>L/kg</t>
        </is>
      </c>
      <c r="BP55"/>
      <c r="BQ55"/>
      <c r="BR55"/>
      <c r="BS55"/>
      <c r="BT55"/>
      <c r="BU55"/>
      <c r="BV55"/>
      <c r="BW55"/>
      <c r="BX55"/>
      <c r="BY55"/>
      <c r="BZ55"/>
      <c r="CA55"/>
      <c r="CB55"/>
      <c r="CC55"/>
      <c r="CD55" t="inlineStr">
        <is>
          <t>Han,J., W. Gu, H. Barrett, D. Yang, S. Tang, J. Sun, J. Liu, H.M. Krause, K.A. Houck, and H. Peng</t>
        </is>
      </c>
      <c r="CE55" t="n">
        <v>190831.0</v>
      </c>
      <c r="CF55" t="inlineStr">
        <is>
          <t>A Roadmap to the Structure-Related Metabolism Pathways of Per- and Polyfluoroalkyl Substances in the Early Life Stages of Zebrafish (Danio rerio)</t>
        </is>
      </c>
      <c r="CG55" t="inlineStr">
        <is>
          <t>Environ. Health Perspect.129(7): 15 p.</t>
        </is>
      </c>
      <c r="CH55" t="n">
        <v>2021.0</v>
      </c>
      <c r="CI55"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56">
      <c r="A56" t="n">
        <v>2.9420493E7</v>
      </c>
      <c r="B56" t="inlineStr">
        <is>
          <t>1,1,2,2,3,3,4,4,4-Nonafluoro-1-butanesulfonic acid potassium salt (1:1)</t>
        </is>
      </c>
      <c r="C56"/>
      <c r="D56" t="inlineStr">
        <is>
          <t>Measured</t>
        </is>
      </c>
      <c r="E56" t="inlineStr">
        <is>
          <t>&gt;</t>
        </is>
      </c>
      <c r="F56" t="n">
        <v>95.0</v>
      </c>
      <c r="G56"/>
      <c r="H56"/>
      <c r="I56"/>
      <c r="J56"/>
      <c r="K56" t="inlineStr">
        <is>
          <t>Danio rerio</t>
        </is>
      </c>
      <c r="L56" t="inlineStr">
        <is>
          <t>Zebra Danio</t>
        </is>
      </c>
      <c r="M56" t="inlineStr">
        <is>
          <t>Fish; Standard Test Species</t>
        </is>
      </c>
      <c r="N56" t="inlineStr">
        <is>
          <t>Embryo</t>
        </is>
      </c>
      <c r="O56"/>
      <c r="P56" t="n">
        <v>64.0</v>
      </c>
      <c r="Q56"/>
      <c r="R56"/>
      <c r="S56"/>
      <c r="T56"/>
      <c r="U56" t="inlineStr">
        <is>
          <t>Cell stage</t>
        </is>
      </c>
      <c r="V56" t="inlineStr">
        <is>
          <t>Renewal</t>
        </is>
      </c>
      <c r="W56" t="inlineStr">
        <is>
          <t>Culture</t>
        </is>
      </c>
      <c r="X56" t="inlineStr">
        <is>
          <t>Lab</t>
        </is>
      </c>
      <c r="Y56" t="n">
        <v>3.0</v>
      </c>
      <c r="Z56" t="inlineStr">
        <is>
          <t>Active ingredient</t>
        </is>
      </c>
      <c r="AA56"/>
      <c r="AB56" t="n">
        <v>0.108542112</v>
      </c>
      <c r="AC56"/>
      <c r="AD56"/>
      <c r="AE56"/>
      <c r="AF56"/>
      <c r="AG56" t="inlineStr">
        <is>
          <t>AI mg/L</t>
        </is>
      </c>
      <c r="AH56"/>
      <c r="AI56"/>
      <c r="AJ56"/>
      <c r="AK56"/>
      <c r="AL56"/>
      <c r="AM56"/>
      <c r="AN56"/>
      <c r="AO56"/>
      <c r="AP56"/>
      <c r="AQ56"/>
      <c r="AR56"/>
      <c r="AS56"/>
      <c r="AT56"/>
      <c r="AU56"/>
      <c r="AV56"/>
      <c r="AW56"/>
      <c r="AX56" t="inlineStr">
        <is>
          <t>Accumulation</t>
        </is>
      </c>
      <c r="AY56" t="inlineStr">
        <is>
          <t>Residue</t>
        </is>
      </c>
      <c r="AZ56" t="inlineStr">
        <is>
          <t>BCF</t>
        </is>
      </c>
      <c r="BA56" t="inlineStr">
        <is>
          <t>Whole organism</t>
        </is>
      </c>
      <c r="BB56"/>
      <c r="BC56" t="n">
        <v>5.0</v>
      </c>
      <c r="BD56"/>
      <c r="BE56"/>
      <c r="BF56"/>
      <c r="BG56"/>
      <c r="BH56" t="inlineStr">
        <is>
          <t>Day(s) post-fertilization</t>
        </is>
      </c>
      <c r="BI56"/>
      <c r="BJ56" t="n">
        <v>4.0</v>
      </c>
      <c r="BK56"/>
      <c r="BL56"/>
      <c r="BM56"/>
      <c r="BN56"/>
      <c r="BO56" t="inlineStr">
        <is>
          <t>L/kg</t>
        </is>
      </c>
      <c r="BP56"/>
      <c r="BQ56"/>
      <c r="BR56"/>
      <c r="BS56"/>
      <c r="BT56"/>
      <c r="BU56"/>
      <c r="BV56"/>
      <c r="BW56"/>
      <c r="BX56"/>
      <c r="BY56"/>
      <c r="BZ56"/>
      <c r="CA56"/>
      <c r="CB56"/>
      <c r="CC56"/>
      <c r="CD56" t="inlineStr">
        <is>
          <t>Han,J., W. Gu, H. Barrett, D. Yang, S. Tang, J. Sun, J. Liu, H.M. Krause, K.A. Houck, and H. Peng</t>
        </is>
      </c>
      <c r="CE56" t="n">
        <v>190831.0</v>
      </c>
      <c r="CF56" t="inlineStr">
        <is>
          <t>A Roadmap to the Structure-Related Metabolism Pathways of Per- and Polyfluoroalkyl Substances in the Early Life Stages of Zebrafish (Danio rerio)</t>
        </is>
      </c>
      <c r="CG56" t="inlineStr">
        <is>
          <t>Environ. Health Perspect.129(7): 15 p.</t>
        </is>
      </c>
      <c r="CH56" t="n">
        <v>2021.0</v>
      </c>
      <c r="CI5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57">
      <c r="A57" t="n">
        <v>2.9420493E7</v>
      </c>
      <c r="B57" t="inlineStr">
        <is>
          <t>1,1,2,2,3,3,4,4,4-Nonafluoro-1-butanesulfonic acid potassium salt (1:1)</t>
        </is>
      </c>
      <c r="C57"/>
      <c r="D57" t="inlineStr">
        <is>
          <t>Measured</t>
        </is>
      </c>
      <c r="E57"/>
      <c r="F57" t="n">
        <v>98.0</v>
      </c>
      <c r="G57"/>
      <c r="H57"/>
      <c r="I57"/>
      <c r="J57"/>
      <c r="K57" t="inlineStr">
        <is>
          <t>Danio rerio</t>
        </is>
      </c>
      <c r="L57" t="inlineStr">
        <is>
          <t>Zebra Danio</t>
        </is>
      </c>
      <c r="M57" t="inlineStr">
        <is>
          <t>Fish; Standard Test Species</t>
        </is>
      </c>
      <c r="N57" t="inlineStr">
        <is>
          <t>Embryo</t>
        </is>
      </c>
      <c r="O57"/>
      <c r="P57" t="n">
        <v>1.0</v>
      </c>
      <c r="Q57"/>
      <c r="R57"/>
      <c r="S57"/>
      <c r="T57"/>
      <c r="U57" t="inlineStr">
        <is>
          <t>Hours post fertilization</t>
        </is>
      </c>
      <c r="V57" t="inlineStr">
        <is>
          <t>Static</t>
        </is>
      </c>
      <c r="W57" t="inlineStr">
        <is>
          <t>Fresh water</t>
        </is>
      </c>
      <c r="X57" t="inlineStr">
        <is>
          <t>Lab</t>
        </is>
      </c>
      <c r="Y57" t="n">
        <v>5.0</v>
      </c>
      <c r="Z57" t="inlineStr">
        <is>
          <t>Active ingredient</t>
        </is>
      </c>
      <c r="AA57"/>
      <c r="AB57" t="n">
        <v>0.05007</v>
      </c>
      <c r="AC57"/>
      <c r="AD57"/>
      <c r="AE57"/>
      <c r="AF57"/>
      <c r="AG57" t="inlineStr">
        <is>
          <t>AI mg/L</t>
        </is>
      </c>
      <c r="AH57"/>
      <c r="AI57"/>
      <c r="AJ57"/>
      <c r="AK57"/>
      <c r="AL57"/>
      <c r="AM57"/>
      <c r="AN57"/>
      <c r="AO57"/>
      <c r="AP57"/>
      <c r="AQ57"/>
      <c r="AR57"/>
      <c r="AS57"/>
      <c r="AT57"/>
      <c r="AU57"/>
      <c r="AV57"/>
      <c r="AW57"/>
      <c r="AX57" t="inlineStr">
        <is>
          <t>Accumulation</t>
        </is>
      </c>
      <c r="AY57" t="inlineStr">
        <is>
          <t>Residue</t>
        </is>
      </c>
      <c r="AZ57" t="inlineStr">
        <is>
          <t>BCFD</t>
        </is>
      </c>
      <c r="BA57" t="inlineStr">
        <is>
          <t>Whole organism</t>
        </is>
      </c>
      <c r="BB57"/>
      <c r="BC57" t="n">
        <v>2.9583</v>
      </c>
      <c r="BD57"/>
      <c r="BE57"/>
      <c r="BF57"/>
      <c r="BG57"/>
      <c r="BH57" t="inlineStr">
        <is>
          <t>Day(s)</t>
        </is>
      </c>
      <c r="BI57"/>
      <c r="BJ57" t="n">
        <v>3.35</v>
      </c>
      <c r="BK57"/>
      <c r="BL57"/>
      <c r="BM57"/>
      <c r="BN57"/>
      <c r="BO57" t="inlineStr">
        <is>
          <t>L/kg</t>
        </is>
      </c>
      <c r="BP57"/>
      <c r="BQ57"/>
      <c r="BR57"/>
      <c r="BS57"/>
      <c r="BT57"/>
      <c r="BU57"/>
      <c r="BV57"/>
      <c r="BW57"/>
      <c r="BX57"/>
      <c r="BY57"/>
      <c r="BZ57"/>
      <c r="CA57"/>
      <c r="CB57"/>
      <c r="CC57"/>
      <c r="CD57" t="inlineStr">
        <is>
          <t>Wasel,O., H. King, Y.J. Choi, L.S. Lee, and J.L. Freeman</t>
        </is>
      </c>
      <c r="CE57" t="n">
        <v>193615.0</v>
      </c>
      <c r="CF57" t="inlineStr">
        <is>
          <t>Differential Developmental Neurotoxicity and Tissue Uptake of the per- and Polyfluoroalkyl Substance Alternatives, GenX and PFBS</t>
        </is>
      </c>
      <c r="CG57" t="inlineStr">
        <is>
          <t>Environ. Sci. Technol.57(48): 19274-19284</t>
        </is>
      </c>
      <c r="CH57" t="n">
        <v>2023.0</v>
      </c>
      <c r="CI57"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58">
      <c r="A58" t="n">
        <v>2.9420493E7</v>
      </c>
      <c r="B58" t="inlineStr">
        <is>
          <t>1,1,2,2,3,3,4,4,4-Nonafluoro-1-butanesulfonic acid potassium salt (1:1)</t>
        </is>
      </c>
      <c r="C58"/>
      <c r="D58" t="inlineStr">
        <is>
          <t>Measured</t>
        </is>
      </c>
      <c r="E58"/>
      <c r="F58" t="n">
        <v>98.0</v>
      </c>
      <c r="G58"/>
      <c r="H58"/>
      <c r="I58"/>
      <c r="J58"/>
      <c r="K58" t="inlineStr">
        <is>
          <t>Danio rerio</t>
        </is>
      </c>
      <c r="L58" t="inlineStr">
        <is>
          <t>Zebra Danio</t>
        </is>
      </c>
      <c r="M58" t="inlineStr">
        <is>
          <t>Fish; Standard Test Species</t>
        </is>
      </c>
      <c r="N58" t="inlineStr">
        <is>
          <t>Embryo</t>
        </is>
      </c>
      <c r="O58"/>
      <c r="P58" t="n">
        <v>1.0</v>
      </c>
      <c r="Q58"/>
      <c r="R58"/>
      <c r="S58"/>
      <c r="T58"/>
      <c r="U58" t="inlineStr">
        <is>
          <t>Hours post fertilization</t>
        </is>
      </c>
      <c r="V58" t="inlineStr">
        <is>
          <t>Static</t>
        </is>
      </c>
      <c r="W58" t="inlineStr">
        <is>
          <t>Fresh water</t>
        </is>
      </c>
      <c r="X58" t="inlineStr">
        <is>
          <t>Lab</t>
        </is>
      </c>
      <c r="Y58" t="n">
        <v>5.0</v>
      </c>
      <c r="Z58" t="inlineStr">
        <is>
          <t>Active ingredient</t>
        </is>
      </c>
      <c r="AA58"/>
      <c r="AB58" t="n">
        <v>0.51</v>
      </c>
      <c r="AC58"/>
      <c r="AD58"/>
      <c r="AE58"/>
      <c r="AF58"/>
      <c r="AG58" t="inlineStr">
        <is>
          <t>AI mg/L</t>
        </is>
      </c>
      <c r="AH58"/>
      <c r="AI58"/>
      <c r="AJ58"/>
      <c r="AK58"/>
      <c r="AL58"/>
      <c r="AM58"/>
      <c r="AN58"/>
      <c r="AO58"/>
      <c r="AP58"/>
      <c r="AQ58"/>
      <c r="AR58"/>
      <c r="AS58"/>
      <c r="AT58"/>
      <c r="AU58"/>
      <c r="AV58"/>
      <c r="AW58"/>
      <c r="AX58" t="inlineStr">
        <is>
          <t>Accumulation</t>
        </is>
      </c>
      <c r="AY58" t="inlineStr">
        <is>
          <t>Residue</t>
        </is>
      </c>
      <c r="AZ58" t="inlineStr">
        <is>
          <t>BCFD</t>
        </is>
      </c>
      <c r="BA58" t="inlineStr">
        <is>
          <t>Whole organism</t>
        </is>
      </c>
      <c r="BB58"/>
      <c r="BC58" t="n">
        <v>2.9583</v>
      </c>
      <c r="BD58"/>
      <c r="BE58"/>
      <c r="BF58"/>
      <c r="BG58"/>
      <c r="BH58" t="inlineStr">
        <is>
          <t>Day(s)</t>
        </is>
      </c>
      <c r="BI58"/>
      <c r="BJ58" t="n">
        <v>3.8</v>
      </c>
      <c r="BK58"/>
      <c r="BL58"/>
      <c r="BM58"/>
      <c r="BN58"/>
      <c r="BO58" t="inlineStr">
        <is>
          <t>L/kg</t>
        </is>
      </c>
      <c r="BP58"/>
      <c r="BQ58"/>
      <c r="BR58"/>
      <c r="BS58"/>
      <c r="BT58"/>
      <c r="BU58"/>
      <c r="BV58"/>
      <c r="BW58"/>
      <c r="BX58"/>
      <c r="BY58"/>
      <c r="BZ58"/>
      <c r="CA58"/>
      <c r="CB58"/>
      <c r="CC58"/>
      <c r="CD58" t="inlineStr">
        <is>
          <t>Wasel,O., H. King, Y.J. Choi, L.S. Lee, and J.L. Freeman</t>
        </is>
      </c>
      <c r="CE58" t="n">
        <v>193615.0</v>
      </c>
      <c r="CF58" t="inlineStr">
        <is>
          <t>Differential Developmental Neurotoxicity and Tissue Uptake of the per- and Polyfluoroalkyl Substance Alternatives, GenX and PFBS</t>
        </is>
      </c>
      <c r="CG58" t="inlineStr">
        <is>
          <t>Environ. Sci. Technol.57(48): 19274-19284</t>
        </is>
      </c>
      <c r="CH58" t="n">
        <v>2023.0</v>
      </c>
      <c r="CI58"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59">
      <c r="A59" t="n">
        <v>2.9420493E7</v>
      </c>
      <c r="B59" t="inlineStr">
        <is>
          <t>1,1,2,2,3,3,4,4,4-Nonafluoro-1-butanesulfonic acid potassium salt (1:1)</t>
        </is>
      </c>
      <c r="C59"/>
      <c r="D59" t="inlineStr">
        <is>
          <t>Measured</t>
        </is>
      </c>
      <c r="E59"/>
      <c r="F59" t="n">
        <v>98.0</v>
      </c>
      <c r="G59"/>
      <c r="H59"/>
      <c r="I59"/>
      <c r="J59"/>
      <c r="K59" t="inlineStr">
        <is>
          <t>Danio rerio</t>
        </is>
      </c>
      <c r="L59" t="inlineStr">
        <is>
          <t>Zebra Danio</t>
        </is>
      </c>
      <c r="M59" t="inlineStr">
        <is>
          <t>Fish; Standard Test Species</t>
        </is>
      </c>
      <c r="N59" t="inlineStr">
        <is>
          <t>Embryo</t>
        </is>
      </c>
      <c r="O59"/>
      <c r="P59" t="n">
        <v>1.0</v>
      </c>
      <c r="Q59"/>
      <c r="R59"/>
      <c r="S59"/>
      <c r="T59"/>
      <c r="U59" t="inlineStr">
        <is>
          <t>Hours post fertilization</t>
        </is>
      </c>
      <c r="V59" t="inlineStr">
        <is>
          <t>Static</t>
        </is>
      </c>
      <c r="W59" t="inlineStr">
        <is>
          <t>Fresh water</t>
        </is>
      </c>
      <c r="X59" t="inlineStr">
        <is>
          <t>Lab</t>
        </is>
      </c>
      <c r="Y59" t="n">
        <v>5.0</v>
      </c>
      <c r="Z59" t="inlineStr">
        <is>
          <t>Active ingredient</t>
        </is>
      </c>
      <c r="AA59"/>
      <c r="AB59"/>
      <c r="AC59"/>
      <c r="AD59" t="n">
        <v>0.0051</v>
      </c>
      <c r="AE59"/>
      <c r="AF59" t="n">
        <v>4.8135</v>
      </c>
      <c r="AG59" t="inlineStr">
        <is>
          <t>AI mg/L</t>
        </is>
      </c>
      <c r="AH59"/>
      <c r="AI59"/>
      <c r="AJ59"/>
      <c r="AK59"/>
      <c r="AL59"/>
      <c r="AM59"/>
      <c r="AN59"/>
      <c r="AO59"/>
      <c r="AP59"/>
      <c r="AQ59"/>
      <c r="AR59"/>
      <c r="AS59"/>
      <c r="AT59"/>
      <c r="AU59"/>
      <c r="AV59"/>
      <c r="AW59"/>
      <c r="AX59" t="inlineStr">
        <is>
          <t>Accumulation</t>
        </is>
      </c>
      <c r="AY59" t="inlineStr">
        <is>
          <t>Residue</t>
        </is>
      </c>
      <c r="AZ59"/>
      <c r="BA59" t="inlineStr">
        <is>
          <t>Whole organism</t>
        </is>
      </c>
      <c r="BB59"/>
      <c r="BC59" t="n">
        <v>4.9583</v>
      </c>
      <c r="BD59"/>
      <c r="BE59"/>
      <c r="BF59"/>
      <c r="BG59"/>
      <c r="BH59" t="inlineStr">
        <is>
          <t>Day(s)</t>
        </is>
      </c>
      <c r="BI59"/>
      <c r="BJ59"/>
      <c r="BK59"/>
      <c r="BL59"/>
      <c r="BM59"/>
      <c r="BN59"/>
      <c r="BO59" t="inlineStr">
        <is>
          <t>--</t>
        </is>
      </c>
      <c r="BP59"/>
      <c r="BQ59"/>
      <c r="BR59"/>
      <c r="BS59"/>
      <c r="BT59"/>
      <c r="BU59"/>
      <c r="BV59"/>
      <c r="BW59"/>
      <c r="BX59"/>
      <c r="BY59"/>
      <c r="BZ59"/>
      <c r="CA59"/>
      <c r="CB59"/>
      <c r="CC59"/>
      <c r="CD59" t="inlineStr">
        <is>
          <t>Wasel,O., H. King, Y.J. Choi, L.S. Lee, and J.L. Freeman</t>
        </is>
      </c>
      <c r="CE59" t="n">
        <v>193615.0</v>
      </c>
      <c r="CF59" t="inlineStr">
        <is>
          <t>Differential Developmental Neurotoxicity and Tissue Uptake of the per- and Polyfluoroalkyl Substance Alternatives, GenX and PFBS</t>
        </is>
      </c>
      <c r="CG59" t="inlineStr">
        <is>
          <t>Environ. Sci. Technol.57(48): 19274-19284</t>
        </is>
      </c>
      <c r="CH59" t="n">
        <v>2023.0</v>
      </c>
      <c r="CI59"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60">
      <c r="A60" t="n">
        <v>2.9420493E7</v>
      </c>
      <c r="B60" t="inlineStr">
        <is>
          <t>1,1,2,2,3,3,4,4,4-Nonafluoro-1-butanesulfonic acid potassium salt (1:1)</t>
        </is>
      </c>
      <c r="C60"/>
      <c r="D60" t="inlineStr">
        <is>
          <t>Measured</t>
        </is>
      </c>
      <c r="E60"/>
      <c r="F60" t="n">
        <v>98.0</v>
      </c>
      <c r="G60"/>
      <c r="H60"/>
      <c r="I60"/>
      <c r="J60"/>
      <c r="K60" t="inlineStr">
        <is>
          <t>Oncorhynchus mykiss</t>
        </is>
      </c>
      <c r="L60" t="inlineStr">
        <is>
          <t>Rainbow Trout</t>
        </is>
      </c>
      <c r="M60" t="inlineStr">
        <is>
          <t>Fish; Standard Test Species; U.S. Threatened and Endangered Species</t>
        </is>
      </c>
      <c r="N60" t="inlineStr">
        <is>
          <t>Juvenile</t>
        </is>
      </c>
      <c r="O60"/>
      <c r="P60"/>
      <c r="Q60" t="inlineStr">
        <is>
          <t>~</t>
        </is>
      </c>
      <c r="R60" t="n">
        <v>7.0</v>
      </c>
      <c r="S60" t="inlineStr">
        <is>
          <t>~</t>
        </is>
      </c>
      <c r="T60" t="n">
        <v>9.0</v>
      </c>
      <c r="U60" t="inlineStr">
        <is>
          <t>Month(s)</t>
        </is>
      </c>
      <c r="V60" t="inlineStr">
        <is>
          <t>Flow-through</t>
        </is>
      </c>
      <c r="W60" t="inlineStr">
        <is>
          <t>Fresh water</t>
        </is>
      </c>
      <c r="X60" t="inlineStr">
        <is>
          <t>Lab</t>
        </is>
      </c>
      <c r="Y60" t="n">
        <v>2.0</v>
      </c>
      <c r="Z60" t="inlineStr">
        <is>
          <t>Active ingredient</t>
        </is>
      </c>
      <c r="AA60"/>
      <c r="AB60" t="n">
        <v>0.005694</v>
      </c>
      <c r="AC60"/>
      <c r="AD60" t="n">
        <v>0.005599</v>
      </c>
      <c r="AE60"/>
      <c r="AF60" t="n">
        <v>0.005788</v>
      </c>
      <c r="AG60" t="inlineStr">
        <is>
          <t>AI mg/L</t>
        </is>
      </c>
      <c r="AH60"/>
      <c r="AI60"/>
      <c r="AJ60"/>
      <c r="AK60"/>
      <c r="AL60"/>
      <c r="AM60"/>
      <c r="AN60"/>
      <c r="AO60"/>
      <c r="AP60"/>
      <c r="AQ60"/>
      <c r="AR60"/>
      <c r="AS60"/>
      <c r="AT60"/>
      <c r="AU60"/>
      <c r="AV60"/>
      <c r="AW60"/>
      <c r="AX60" t="inlineStr">
        <is>
          <t>Accumulation</t>
        </is>
      </c>
      <c r="AY60" t="inlineStr">
        <is>
          <t>Residue</t>
        </is>
      </c>
      <c r="AZ60" t="inlineStr">
        <is>
          <t>BCF</t>
        </is>
      </c>
      <c r="BA60" t="inlineStr">
        <is>
          <t>Plasma</t>
        </is>
      </c>
      <c r="BB60"/>
      <c r="BC60" t="n">
        <v>21.0</v>
      </c>
      <c r="BD60"/>
      <c r="BE60"/>
      <c r="BF60"/>
      <c r="BG60"/>
      <c r="BH60" t="inlineStr">
        <is>
          <t>Day(s)</t>
        </is>
      </c>
      <c r="BI60"/>
      <c r="BJ60" t="n">
        <v>0.09</v>
      </c>
      <c r="BK60"/>
      <c r="BL60"/>
      <c r="BM60"/>
      <c r="BN60"/>
      <c r="BO60" t="inlineStr">
        <is>
          <t>L/kg</t>
        </is>
      </c>
      <c r="BP60"/>
      <c r="BQ60"/>
      <c r="BR60"/>
      <c r="BS60"/>
      <c r="BT60"/>
      <c r="BU60"/>
      <c r="BV60"/>
      <c r="BW60"/>
      <c r="BX60"/>
      <c r="BY60"/>
      <c r="BZ60"/>
      <c r="CA60"/>
      <c r="CB60"/>
      <c r="CC60"/>
      <c r="CD60" t="inlineStr">
        <is>
          <t>Pollard,S., A.O. De Silva, and D.B.D. Simmons</t>
        </is>
      </c>
      <c r="CE60" t="n">
        <v>195401.0</v>
      </c>
      <c r="CF60" t="inlineStr">
        <is>
          <t>Metabolic, Neurotoxic and Immunotoxic Effects of PFAAs and Their Mixtures on the Proteome of the Head Kidney and Plasma from Rainbow Trout (Oncorhynchus mykiss)</t>
        </is>
      </c>
      <c r="CG60" t="inlineStr">
        <is>
          <t>Sci. Total Environ.928:12 p.</t>
        </is>
      </c>
      <c r="CH60" t="n">
        <v>2024.0</v>
      </c>
      <c r="CI60"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row>
    <row r="61">
      <c r="A61" t="n">
        <v>2.9420493E7</v>
      </c>
      <c r="B61" t="inlineStr">
        <is>
          <t>1,1,2,2,3,3,4,4,4-Nonafluoro-1-butanesulfonic acid potassium salt (1:1)</t>
        </is>
      </c>
      <c r="C61"/>
      <c r="D61" t="inlineStr">
        <is>
          <t>Unmeasured</t>
        </is>
      </c>
      <c r="E61"/>
      <c r="F61" t="n">
        <v>88.0</v>
      </c>
      <c r="G61"/>
      <c r="H61"/>
      <c r="I61"/>
      <c r="J61"/>
      <c r="K61" t="inlineStr">
        <is>
          <t>Mytilus californianus</t>
        </is>
      </c>
      <c r="L61" t="inlineStr">
        <is>
          <t>Mussel</t>
        </is>
      </c>
      <c r="M61" t="inlineStr">
        <is>
          <t>Molluscs</t>
        </is>
      </c>
      <c r="N61"/>
      <c r="O61"/>
      <c r="P61"/>
      <c r="Q61"/>
      <c r="R61"/>
      <c r="S61"/>
      <c r="T61"/>
      <c r="U61"/>
      <c r="V61" t="inlineStr">
        <is>
          <t>Static</t>
        </is>
      </c>
      <c r="W61" t="inlineStr">
        <is>
          <t>Salt water</t>
        </is>
      </c>
      <c r="X61" t="inlineStr">
        <is>
          <t>Lab</t>
        </is>
      </c>
      <c r="Y61" t="n">
        <v>2.0</v>
      </c>
      <c r="Z61" t="inlineStr">
        <is>
          <t>Active ingredient</t>
        </is>
      </c>
      <c r="AA61"/>
      <c r="AB61" t="n">
        <v>0.03391941</v>
      </c>
      <c r="AC61"/>
      <c r="AD61"/>
      <c r="AE61"/>
      <c r="AF61"/>
      <c r="AG61" t="inlineStr">
        <is>
          <t>AI mg/L</t>
        </is>
      </c>
      <c r="AH61"/>
      <c r="AI61"/>
      <c r="AJ61"/>
      <c r="AK61"/>
      <c r="AL61"/>
      <c r="AM61"/>
      <c r="AN61"/>
      <c r="AO61"/>
      <c r="AP61"/>
      <c r="AQ61"/>
      <c r="AR61"/>
      <c r="AS61"/>
      <c r="AT61"/>
      <c r="AU61"/>
      <c r="AV61"/>
      <c r="AW61"/>
      <c r="AX61" t="inlineStr">
        <is>
          <t>Accumulation</t>
        </is>
      </c>
      <c r="AY61" t="inlineStr">
        <is>
          <t>Residue</t>
        </is>
      </c>
      <c r="AZ61"/>
      <c r="BA61" t="inlineStr">
        <is>
          <t>Gill(s)</t>
        </is>
      </c>
      <c r="BB61"/>
      <c r="BC61" t="n">
        <v>0.0417</v>
      </c>
      <c r="BD61"/>
      <c r="BE61"/>
      <c r="BF61"/>
      <c r="BG61"/>
      <c r="BH61" t="inlineStr">
        <is>
          <t>Day(s)</t>
        </is>
      </c>
      <c r="BI61"/>
      <c r="BJ61"/>
      <c r="BK61"/>
      <c r="BL61"/>
      <c r="BM61"/>
      <c r="BN61"/>
      <c r="BO61" t="inlineStr">
        <is>
          <t>--</t>
        </is>
      </c>
      <c r="BP61"/>
      <c r="BQ61"/>
      <c r="BR61"/>
      <c r="BS61"/>
      <c r="BT61"/>
      <c r="BU61"/>
      <c r="BV61"/>
      <c r="BW61"/>
      <c r="BX61"/>
      <c r="BY61"/>
      <c r="BZ61"/>
      <c r="CA61"/>
      <c r="CB61"/>
      <c r="CC61"/>
      <c r="CD61" t="inlineStr">
        <is>
          <t>Stevenson,C.N., L.A. MacManus-Spencer, T. Luckenbach, R.G. Luthy, and D. Epel</t>
        </is>
      </c>
      <c r="CE61" t="n">
        <v>175712.0</v>
      </c>
      <c r="CF61" t="inlineStr">
        <is>
          <t>New Perspectives on Perfluorochemical Ecotoxicology: Inhibition and Induction of an Efflux Transporter in the Marine Mussel, Mytilus californianus</t>
        </is>
      </c>
      <c r="CG61" t="inlineStr">
        <is>
          <t>Environ. Sci. Technol.40(17): 5580-5585</t>
        </is>
      </c>
      <c r="CH61" t="n">
        <v>2006.0</v>
      </c>
      <c r="CI61"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62">
      <c r="A62" t="n">
        <v>3.0334691E7</v>
      </c>
      <c r="B62" t="inlineStr">
        <is>
          <t>1,1,2,2,3,3,4,4,4-Nonafluorobutane-1-sulfonamide1</t>
        </is>
      </c>
      <c r="C62"/>
      <c r="D62" t="inlineStr">
        <is>
          <t>Measured</t>
        </is>
      </c>
      <c r="E62"/>
      <c r="F62" t="n">
        <v>97.0</v>
      </c>
      <c r="G62"/>
      <c r="H62"/>
      <c r="I62"/>
      <c r="J62"/>
      <c r="K62" t="inlineStr">
        <is>
          <t>Daphnia magna</t>
        </is>
      </c>
      <c r="L62" t="inlineStr">
        <is>
          <t>Water Flea</t>
        </is>
      </c>
      <c r="M62" t="inlineStr">
        <is>
          <t>Crustaceans; Standard Test Species</t>
        </is>
      </c>
      <c r="N62" t="inlineStr">
        <is>
          <t>Neonate</t>
        </is>
      </c>
      <c r="O62" t="inlineStr">
        <is>
          <t>&lt;</t>
        </is>
      </c>
      <c r="P62" t="n">
        <v>24.0</v>
      </c>
      <c r="Q62"/>
      <c r="R62"/>
      <c r="S62"/>
      <c r="T62"/>
      <c r="U62" t="inlineStr">
        <is>
          <t>Hour(s)</t>
        </is>
      </c>
      <c r="V62" t="inlineStr">
        <is>
          <t>Renewal</t>
        </is>
      </c>
      <c r="W62" t="inlineStr">
        <is>
          <t>Culture</t>
        </is>
      </c>
      <c r="X62" t="inlineStr">
        <is>
          <t>Lab</t>
        </is>
      </c>
      <c r="Y62" t="n">
        <v>7.0</v>
      </c>
      <c r="Z62" t="inlineStr">
        <is>
          <t>Active ingredient</t>
        </is>
      </c>
      <c r="AA62"/>
      <c r="AB62" t="n">
        <v>3.13</v>
      </c>
      <c r="AC62"/>
      <c r="AD62"/>
      <c r="AE62"/>
      <c r="AF62"/>
      <c r="AG62" t="inlineStr">
        <is>
          <t>AI mg/L</t>
        </is>
      </c>
      <c r="AH62"/>
      <c r="AI62"/>
      <c r="AJ62"/>
      <c r="AK62"/>
      <c r="AL62"/>
      <c r="AM62"/>
      <c r="AN62"/>
      <c r="AO62"/>
      <c r="AP62"/>
      <c r="AQ62"/>
      <c r="AR62"/>
      <c r="AS62"/>
      <c r="AT62"/>
      <c r="AU62"/>
      <c r="AV62"/>
      <c r="AW62"/>
      <c r="AX62" t="inlineStr">
        <is>
          <t>Accumulation</t>
        </is>
      </c>
      <c r="AY62" t="inlineStr">
        <is>
          <t>Residue</t>
        </is>
      </c>
      <c r="AZ62" t="inlineStr">
        <is>
          <t>BAF</t>
        </is>
      </c>
      <c r="BA62" t="inlineStr">
        <is>
          <t>Whole organism</t>
        </is>
      </c>
      <c r="BB62"/>
      <c r="BC62" t="n">
        <v>63.0</v>
      </c>
      <c r="BD62"/>
      <c r="BE62"/>
      <c r="BF62"/>
      <c r="BG62"/>
      <c r="BH62" t="inlineStr">
        <is>
          <t>Day(s)</t>
        </is>
      </c>
      <c r="BI62"/>
      <c r="BJ62" t="n">
        <v>7.77</v>
      </c>
      <c r="BK62"/>
      <c r="BL62"/>
      <c r="BM62"/>
      <c r="BN62"/>
      <c r="BO62" t="inlineStr">
        <is>
          <t>L/kg</t>
        </is>
      </c>
      <c r="BP62"/>
      <c r="BQ62"/>
      <c r="BR62"/>
      <c r="BS62"/>
      <c r="BT62"/>
      <c r="BU62"/>
      <c r="BV62"/>
      <c r="BW62"/>
      <c r="BX62"/>
      <c r="BY62"/>
      <c r="BZ62"/>
      <c r="CA62"/>
      <c r="CB62"/>
      <c r="CC62"/>
      <c r="CD62" t="inlineStr">
        <is>
          <t>Xie,G., C.A.M. Van Gestel, J.A. Vonk, and M.H.S. Kraak</t>
        </is>
      </c>
      <c r="CE62" t="n">
        <v>194419.0</v>
      </c>
      <c r="CF62" t="inlineStr">
        <is>
          <t>Multigeneration Responses of Daphnia magna to Short-Chain Per- and Polyfluorinated Substances (PFAS)</t>
        </is>
      </c>
      <c r="CG62" t="inlineStr">
        <is>
          <t>Ecotoxicol. Environ. Saf.294:11 p.</t>
        </is>
      </c>
      <c r="CH62" t="n">
        <v>2025.0</v>
      </c>
      <c r="CI62" t="inlineStr">
        <is>
          <t>Xie,G., C.A.M. Van Gestel, J.A. Vonk, and M.H.S. Kraak (2025). Multigeneration Responses of Daphnia magna to Short-Chain Per- and Polyfluorinated Substances (PFAS). Ecotoxicol. Environ. Saf., 294, 11 p. doi:10.1016/j.ecoenv.2025.118078. ECOREF#:194419</t>
        </is>
      </c>
    </row>
    <row r="63">
      <c r="A63" t="n">
        <v>3.0334691E7</v>
      </c>
      <c r="B63" t="inlineStr">
        <is>
          <t>1,1,2,2,3,3,4,4,4-Nonafluorobutane-1-sulfonamide1</t>
        </is>
      </c>
      <c r="C63"/>
      <c r="D63" t="inlineStr">
        <is>
          <t>Measured</t>
        </is>
      </c>
      <c r="E63"/>
      <c r="F63" t="n">
        <v>97.0</v>
      </c>
      <c r="G63"/>
      <c r="H63"/>
      <c r="I63"/>
      <c r="J63"/>
      <c r="K63" t="inlineStr">
        <is>
          <t>Daphnia magna</t>
        </is>
      </c>
      <c r="L63" t="inlineStr">
        <is>
          <t>Water Flea</t>
        </is>
      </c>
      <c r="M63" t="inlineStr">
        <is>
          <t>Crustaceans; Standard Test Species</t>
        </is>
      </c>
      <c r="N63" t="inlineStr">
        <is>
          <t>Neonate</t>
        </is>
      </c>
      <c r="O63" t="inlineStr">
        <is>
          <t>&lt;</t>
        </is>
      </c>
      <c r="P63" t="n">
        <v>24.0</v>
      </c>
      <c r="Q63"/>
      <c r="R63"/>
      <c r="S63"/>
      <c r="T63"/>
      <c r="U63" t="inlineStr">
        <is>
          <t>Hour(s)</t>
        </is>
      </c>
      <c r="V63" t="inlineStr">
        <is>
          <t>Renewal</t>
        </is>
      </c>
      <c r="W63" t="inlineStr">
        <is>
          <t>Culture</t>
        </is>
      </c>
      <c r="X63" t="inlineStr">
        <is>
          <t>Lab</t>
        </is>
      </c>
      <c r="Y63" t="n">
        <v>7.0</v>
      </c>
      <c r="Z63" t="inlineStr">
        <is>
          <t>Active ingredient</t>
        </is>
      </c>
      <c r="AA63"/>
      <c r="AB63" t="n">
        <v>3.13</v>
      </c>
      <c r="AC63"/>
      <c r="AD63"/>
      <c r="AE63"/>
      <c r="AF63"/>
      <c r="AG63" t="inlineStr">
        <is>
          <t>AI mg/L</t>
        </is>
      </c>
      <c r="AH63"/>
      <c r="AI63"/>
      <c r="AJ63"/>
      <c r="AK63"/>
      <c r="AL63"/>
      <c r="AM63"/>
      <c r="AN63"/>
      <c r="AO63"/>
      <c r="AP63"/>
      <c r="AQ63"/>
      <c r="AR63"/>
      <c r="AS63"/>
      <c r="AT63"/>
      <c r="AU63"/>
      <c r="AV63"/>
      <c r="AW63"/>
      <c r="AX63" t="inlineStr">
        <is>
          <t>Accumulation</t>
        </is>
      </c>
      <c r="AY63" t="inlineStr">
        <is>
          <t>Residue</t>
        </is>
      </c>
      <c r="AZ63" t="inlineStr">
        <is>
          <t>BAF</t>
        </is>
      </c>
      <c r="BA63" t="inlineStr">
        <is>
          <t>Whole organism</t>
        </is>
      </c>
      <c r="BB63"/>
      <c r="BC63" t="n">
        <v>105.0</v>
      </c>
      <c r="BD63"/>
      <c r="BE63"/>
      <c r="BF63"/>
      <c r="BG63"/>
      <c r="BH63" t="inlineStr">
        <is>
          <t>Day(s)</t>
        </is>
      </c>
      <c r="BI63"/>
      <c r="BJ63" t="n">
        <v>10.8</v>
      </c>
      <c r="BK63"/>
      <c r="BL63"/>
      <c r="BM63"/>
      <c r="BN63"/>
      <c r="BO63" t="inlineStr">
        <is>
          <t>L/kg</t>
        </is>
      </c>
      <c r="BP63"/>
      <c r="BQ63"/>
      <c r="BR63"/>
      <c r="BS63"/>
      <c r="BT63"/>
      <c r="BU63"/>
      <c r="BV63"/>
      <c r="BW63"/>
      <c r="BX63"/>
      <c r="BY63"/>
      <c r="BZ63"/>
      <c r="CA63"/>
      <c r="CB63"/>
      <c r="CC63"/>
      <c r="CD63" t="inlineStr">
        <is>
          <t>Xie,G., C.A.M. Van Gestel, J.A. Vonk, and M.H.S. Kraak</t>
        </is>
      </c>
      <c r="CE63" t="n">
        <v>194419.0</v>
      </c>
      <c r="CF63" t="inlineStr">
        <is>
          <t>Multigeneration Responses of Daphnia magna to Short-Chain Per- and Polyfluorinated Substances (PFAS)</t>
        </is>
      </c>
      <c r="CG63" t="inlineStr">
        <is>
          <t>Ecotoxicol. Environ. Saf.294:11 p.</t>
        </is>
      </c>
      <c r="CH63" t="n">
        <v>2025.0</v>
      </c>
      <c r="CI63" t="inlineStr">
        <is>
          <t>Xie,G., C.A.M. Van Gestel, J.A. Vonk, and M.H.S. Kraak (2025). Multigeneration Responses of Daphnia magna to Short-Chain Per- and Polyfluorinated Substances (PFAS). Ecotoxicol. Environ. Saf., 294, 11 p. doi:10.1016/j.ecoenv.2025.118078. ECOREF#:194419</t>
        </is>
      </c>
    </row>
    <row r="64">
      <c r="A64" t="n">
        <v>3.0334691E7</v>
      </c>
      <c r="B64" t="inlineStr">
        <is>
          <t>1,1,2,2,3,3,4,4,4-Nonafluorobutane-1-sulfonamide1</t>
        </is>
      </c>
      <c r="C64"/>
      <c r="D64" t="inlineStr">
        <is>
          <t>Measured</t>
        </is>
      </c>
      <c r="E64"/>
      <c r="F64" t="n">
        <v>97.0</v>
      </c>
      <c r="G64"/>
      <c r="H64"/>
      <c r="I64"/>
      <c r="J64"/>
      <c r="K64" t="inlineStr">
        <is>
          <t>Daphnia magna</t>
        </is>
      </c>
      <c r="L64" t="inlineStr">
        <is>
          <t>Water Flea</t>
        </is>
      </c>
      <c r="M64" t="inlineStr">
        <is>
          <t>Crustaceans; Standard Test Species</t>
        </is>
      </c>
      <c r="N64" t="inlineStr">
        <is>
          <t>Neonate</t>
        </is>
      </c>
      <c r="O64" t="inlineStr">
        <is>
          <t>&lt;</t>
        </is>
      </c>
      <c r="P64" t="n">
        <v>24.0</v>
      </c>
      <c r="Q64"/>
      <c r="R64"/>
      <c r="S64"/>
      <c r="T64"/>
      <c r="U64" t="inlineStr">
        <is>
          <t>Hour(s)</t>
        </is>
      </c>
      <c r="V64" t="inlineStr">
        <is>
          <t>Renewal</t>
        </is>
      </c>
      <c r="W64" t="inlineStr">
        <is>
          <t>Culture</t>
        </is>
      </c>
      <c r="X64" t="inlineStr">
        <is>
          <t>Lab</t>
        </is>
      </c>
      <c r="Y64" t="n">
        <v>7.0</v>
      </c>
      <c r="Z64" t="inlineStr">
        <is>
          <t>Active ingredient</t>
        </is>
      </c>
      <c r="AA64"/>
      <c r="AB64" t="n">
        <v>5.05</v>
      </c>
      <c r="AC64"/>
      <c r="AD64"/>
      <c r="AE64"/>
      <c r="AF64"/>
      <c r="AG64" t="inlineStr">
        <is>
          <t>AI mg/L</t>
        </is>
      </c>
      <c r="AH64"/>
      <c r="AI64"/>
      <c r="AJ64"/>
      <c r="AK64"/>
      <c r="AL64"/>
      <c r="AM64"/>
      <c r="AN64"/>
      <c r="AO64"/>
      <c r="AP64"/>
      <c r="AQ64"/>
      <c r="AR64"/>
      <c r="AS64"/>
      <c r="AT64"/>
      <c r="AU64"/>
      <c r="AV64"/>
      <c r="AW64"/>
      <c r="AX64" t="inlineStr">
        <is>
          <t>Accumulation</t>
        </is>
      </c>
      <c r="AY64" t="inlineStr">
        <is>
          <t>Residue</t>
        </is>
      </c>
      <c r="AZ64" t="inlineStr">
        <is>
          <t>BAF</t>
        </is>
      </c>
      <c r="BA64" t="inlineStr">
        <is>
          <t>Whole organism</t>
        </is>
      </c>
      <c r="BB64"/>
      <c r="BC64" t="n">
        <v>21.0</v>
      </c>
      <c r="BD64"/>
      <c r="BE64"/>
      <c r="BF64"/>
      <c r="BG64"/>
      <c r="BH64" t="inlineStr">
        <is>
          <t>Day(s)</t>
        </is>
      </c>
      <c r="BI64"/>
      <c r="BJ64" t="n">
        <v>11.8</v>
      </c>
      <c r="BK64"/>
      <c r="BL64"/>
      <c r="BM64"/>
      <c r="BN64"/>
      <c r="BO64" t="inlineStr">
        <is>
          <t>L/kg</t>
        </is>
      </c>
      <c r="BP64"/>
      <c r="BQ64"/>
      <c r="BR64"/>
      <c r="BS64"/>
      <c r="BT64"/>
      <c r="BU64"/>
      <c r="BV64"/>
      <c r="BW64"/>
      <c r="BX64"/>
      <c r="BY64"/>
      <c r="BZ64"/>
      <c r="CA64"/>
      <c r="CB64"/>
      <c r="CC64"/>
      <c r="CD64" t="inlineStr">
        <is>
          <t>Xie,G., C.A.M. Van Gestel, J.A. Vonk, and M.H.S. Kraak</t>
        </is>
      </c>
      <c r="CE64" t="n">
        <v>194419.0</v>
      </c>
      <c r="CF64" t="inlineStr">
        <is>
          <t>Multigeneration Responses of Daphnia magna to Short-Chain Per- and Polyfluorinated Substances (PFAS)</t>
        </is>
      </c>
      <c r="CG64" t="inlineStr">
        <is>
          <t>Ecotoxicol. Environ. Saf.294:11 p.</t>
        </is>
      </c>
      <c r="CH64" t="n">
        <v>2025.0</v>
      </c>
      <c r="CI64" t="inlineStr">
        <is>
          <t>Xie,G., C.A.M. Van Gestel, J.A. Vonk, and M.H.S. Kraak (2025). Multigeneration Responses of Daphnia magna to Short-Chain Per- and Polyfluorinated Substances (PFAS). Ecotoxicol. Environ. Saf., 294, 11 p. doi:10.1016/j.ecoenv.2025.118078. ECOREF#:194419</t>
        </is>
      </c>
    </row>
    <row r="65">
      <c r="A65" t="n">
        <v>3.0334691E7</v>
      </c>
      <c r="B65" t="inlineStr">
        <is>
          <t>1,1,2,2,3,3,4,4,4-Nonafluorobutane-1-sulfonamide1</t>
        </is>
      </c>
      <c r="C65"/>
      <c r="D65" t="inlineStr">
        <is>
          <t>Measured</t>
        </is>
      </c>
      <c r="E65"/>
      <c r="F65" t="n">
        <v>97.0</v>
      </c>
      <c r="G65"/>
      <c r="H65"/>
      <c r="I65"/>
      <c r="J65"/>
      <c r="K65" t="inlineStr">
        <is>
          <t>Daphnia magna</t>
        </is>
      </c>
      <c r="L65" t="inlineStr">
        <is>
          <t>Water Flea</t>
        </is>
      </c>
      <c r="M65" t="inlineStr">
        <is>
          <t>Crustaceans; Standard Test Species</t>
        </is>
      </c>
      <c r="N65" t="inlineStr">
        <is>
          <t>Neonate</t>
        </is>
      </c>
      <c r="O65" t="inlineStr">
        <is>
          <t>&lt;</t>
        </is>
      </c>
      <c r="P65" t="n">
        <v>24.0</v>
      </c>
      <c r="Q65"/>
      <c r="R65"/>
      <c r="S65"/>
      <c r="T65"/>
      <c r="U65" t="inlineStr">
        <is>
          <t>Hour(s)</t>
        </is>
      </c>
      <c r="V65" t="inlineStr">
        <is>
          <t>Renewal</t>
        </is>
      </c>
      <c r="W65" t="inlineStr">
        <is>
          <t>Culture</t>
        </is>
      </c>
      <c r="X65" t="inlineStr">
        <is>
          <t>Lab</t>
        </is>
      </c>
      <c r="Y65" t="n">
        <v>7.0</v>
      </c>
      <c r="Z65" t="inlineStr">
        <is>
          <t>Active ingredient</t>
        </is>
      </c>
      <c r="AA65"/>
      <c r="AB65" t="n">
        <v>3.13</v>
      </c>
      <c r="AC65"/>
      <c r="AD65"/>
      <c r="AE65"/>
      <c r="AF65"/>
      <c r="AG65" t="inlineStr">
        <is>
          <t>AI mg/L</t>
        </is>
      </c>
      <c r="AH65"/>
      <c r="AI65"/>
      <c r="AJ65"/>
      <c r="AK65"/>
      <c r="AL65"/>
      <c r="AM65"/>
      <c r="AN65"/>
      <c r="AO65"/>
      <c r="AP65"/>
      <c r="AQ65"/>
      <c r="AR65"/>
      <c r="AS65"/>
      <c r="AT65"/>
      <c r="AU65"/>
      <c r="AV65"/>
      <c r="AW65"/>
      <c r="AX65" t="inlineStr">
        <is>
          <t>Accumulation</t>
        </is>
      </c>
      <c r="AY65" t="inlineStr">
        <is>
          <t>Residue</t>
        </is>
      </c>
      <c r="AZ65" t="inlineStr">
        <is>
          <t>BAF</t>
        </is>
      </c>
      <c r="BA65" t="inlineStr">
        <is>
          <t>Whole organism</t>
        </is>
      </c>
      <c r="BB65"/>
      <c r="BC65" t="n">
        <v>84.0</v>
      </c>
      <c r="BD65"/>
      <c r="BE65"/>
      <c r="BF65"/>
      <c r="BG65"/>
      <c r="BH65" t="inlineStr">
        <is>
          <t>Day(s)</t>
        </is>
      </c>
      <c r="BI65"/>
      <c r="BJ65" t="n">
        <v>13.0</v>
      </c>
      <c r="BK65"/>
      <c r="BL65"/>
      <c r="BM65"/>
      <c r="BN65"/>
      <c r="BO65" t="inlineStr">
        <is>
          <t>L/kg</t>
        </is>
      </c>
      <c r="BP65"/>
      <c r="BQ65"/>
      <c r="BR65"/>
      <c r="BS65"/>
      <c r="BT65"/>
      <c r="BU65"/>
      <c r="BV65"/>
      <c r="BW65"/>
      <c r="BX65"/>
      <c r="BY65"/>
      <c r="BZ65"/>
      <c r="CA65"/>
      <c r="CB65"/>
      <c r="CC65"/>
      <c r="CD65" t="inlineStr">
        <is>
          <t>Xie,G., C.A.M. Van Gestel, J.A. Vonk, and M.H.S. Kraak</t>
        </is>
      </c>
      <c r="CE65" t="n">
        <v>194419.0</v>
      </c>
      <c r="CF65" t="inlineStr">
        <is>
          <t>Multigeneration Responses of Daphnia magna to Short-Chain Per- and Polyfluorinated Substances (PFAS)</t>
        </is>
      </c>
      <c r="CG65" t="inlineStr">
        <is>
          <t>Ecotoxicol. Environ. Saf.294:11 p.</t>
        </is>
      </c>
      <c r="CH65" t="n">
        <v>2025.0</v>
      </c>
      <c r="CI65" t="inlineStr">
        <is>
          <t>Xie,G., C.A.M. Van Gestel, J.A. Vonk, and M.H.S. Kraak (2025). Multigeneration Responses of Daphnia magna to Short-Chain Per- and Polyfluorinated Substances (PFAS). Ecotoxicol. Environ. Saf., 294, 11 p. doi:10.1016/j.ecoenv.2025.118078. ECOREF#:194419</t>
        </is>
      </c>
    </row>
    <row r="66">
      <c r="A66" t="n">
        <v>3.0334691E7</v>
      </c>
      <c r="B66" t="inlineStr">
        <is>
          <t>1,1,2,2,3,3,4,4,4-Nonafluorobutane-1-sulfonamide1</t>
        </is>
      </c>
      <c r="C66"/>
      <c r="D66" t="inlineStr">
        <is>
          <t>Measured</t>
        </is>
      </c>
      <c r="E66"/>
      <c r="F66" t="n">
        <v>97.0</v>
      </c>
      <c r="G66"/>
      <c r="H66"/>
      <c r="I66"/>
      <c r="J66"/>
      <c r="K66" t="inlineStr">
        <is>
          <t>Daphnia magna</t>
        </is>
      </c>
      <c r="L66" t="inlineStr">
        <is>
          <t>Water Flea</t>
        </is>
      </c>
      <c r="M66" t="inlineStr">
        <is>
          <t>Crustaceans; Standard Test Species</t>
        </is>
      </c>
      <c r="N66" t="inlineStr">
        <is>
          <t>Neonate</t>
        </is>
      </c>
      <c r="O66" t="inlineStr">
        <is>
          <t>&lt;</t>
        </is>
      </c>
      <c r="P66" t="n">
        <v>24.0</v>
      </c>
      <c r="Q66"/>
      <c r="R66"/>
      <c r="S66"/>
      <c r="T66"/>
      <c r="U66" t="inlineStr">
        <is>
          <t>Hour(s)</t>
        </is>
      </c>
      <c r="V66" t="inlineStr">
        <is>
          <t>Renewal</t>
        </is>
      </c>
      <c r="W66" t="inlineStr">
        <is>
          <t>Culture</t>
        </is>
      </c>
      <c r="X66" t="inlineStr">
        <is>
          <t>Lab</t>
        </is>
      </c>
      <c r="Y66" t="n">
        <v>7.0</v>
      </c>
      <c r="Z66" t="inlineStr">
        <is>
          <t>Active ingredient</t>
        </is>
      </c>
      <c r="AA66"/>
      <c r="AB66" t="n">
        <v>1.16</v>
      </c>
      <c r="AC66"/>
      <c r="AD66"/>
      <c r="AE66"/>
      <c r="AF66"/>
      <c r="AG66" t="inlineStr">
        <is>
          <t>AI mg/L</t>
        </is>
      </c>
      <c r="AH66"/>
      <c r="AI66"/>
      <c r="AJ66"/>
      <c r="AK66"/>
      <c r="AL66"/>
      <c r="AM66"/>
      <c r="AN66"/>
      <c r="AO66"/>
      <c r="AP66"/>
      <c r="AQ66"/>
      <c r="AR66"/>
      <c r="AS66"/>
      <c r="AT66"/>
      <c r="AU66"/>
      <c r="AV66"/>
      <c r="AW66"/>
      <c r="AX66" t="inlineStr">
        <is>
          <t>Accumulation</t>
        </is>
      </c>
      <c r="AY66" t="inlineStr">
        <is>
          <t>Residue</t>
        </is>
      </c>
      <c r="AZ66" t="inlineStr">
        <is>
          <t>BAF</t>
        </is>
      </c>
      <c r="BA66" t="inlineStr">
        <is>
          <t>Whole organism</t>
        </is>
      </c>
      <c r="BB66"/>
      <c r="BC66" t="n">
        <v>84.0</v>
      </c>
      <c r="BD66"/>
      <c r="BE66"/>
      <c r="BF66"/>
      <c r="BG66"/>
      <c r="BH66" t="inlineStr">
        <is>
          <t>Day(s)</t>
        </is>
      </c>
      <c r="BI66"/>
      <c r="BJ66" t="n">
        <v>14.8</v>
      </c>
      <c r="BK66"/>
      <c r="BL66"/>
      <c r="BM66"/>
      <c r="BN66"/>
      <c r="BO66" t="inlineStr">
        <is>
          <t>L/kg</t>
        </is>
      </c>
      <c r="BP66"/>
      <c r="BQ66"/>
      <c r="BR66"/>
      <c r="BS66"/>
      <c r="BT66"/>
      <c r="BU66"/>
      <c r="BV66"/>
      <c r="BW66"/>
      <c r="BX66"/>
      <c r="BY66"/>
      <c r="BZ66"/>
      <c r="CA66"/>
      <c r="CB66"/>
      <c r="CC66"/>
      <c r="CD66" t="inlineStr">
        <is>
          <t>Xie,G., C.A.M. Van Gestel, J.A. Vonk, and M.H.S. Kraak</t>
        </is>
      </c>
      <c r="CE66" t="n">
        <v>194419.0</v>
      </c>
      <c r="CF66" t="inlineStr">
        <is>
          <t>Multigeneration Responses of Daphnia magna to Short-Chain Per- and Polyfluorinated Substances (PFAS)</t>
        </is>
      </c>
      <c r="CG66" t="inlineStr">
        <is>
          <t>Ecotoxicol. Environ. Saf.294:11 p.</t>
        </is>
      </c>
      <c r="CH66" t="n">
        <v>2025.0</v>
      </c>
      <c r="CI66" t="inlineStr">
        <is>
          <t>Xie,G., C.A.M. Van Gestel, J.A. Vonk, and M.H.S. Kraak (2025). Multigeneration Responses of Daphnia magna to Short-Chain Per- and Polyfluorinated Substances (PFAS). Ecotoxicol. Environ. Saf., 294, 11 p. doi:10.1016/j.ecoenv.2025.118078. ECOREF#:194419</t>
        </is>
      </c>
    </row>
    <row r="67">
      <c r="A67" t="n">
        <v>3.0334691E7</v>
      </c>
      <c r="B67" t="inlineStr">
        <is>
          <t>1,1,2,2,3,3,4,4,4-Nonafluorobutane-1-sulfonamide1</t>
        </is>
      </c>
      <c r="C67"/>
      <c r="D67" t="inlineStr">
        <is>
          <t>Measured</t>
        </is>
      </c>
      <c r="E67"/>
      <c r="F67" t="n">
        <v>97.0</v>
      </c>
      <c r="G67"/>
      <c r="H67"/>
      <c r="I67"/>
      <c r="J67"/>
      <c r="K67" t="inlineStr">
        <is>
          <t>Daphnia magna</t>
        </is>
      </c>
      <c r="L67" t="inlineStr">
        <is>
          <t>Water Flea</t>
        </is>
      </c>
      <c r="M67" t="inlineStr">
        <is>
          <t>Crustaceans; Standard Test Species</t>
        </is>
      </c>
      <c r="N67" t="inlineStr">
        <is>
          <t>Neonate</t>
        </is>
      </c>
      <c r="O67" t="inlineStr">
        <is>
          <t>&lt;</t>
        </is>
      </c>
      <c r="P67" t="n">
        <v>24.0</v>
      </c>
      <c r="Q67"/>
      <c r="R67"/>
      <c r="S67"/>
      <c r="T67"/>
      <c r="U67" t="inlineStr">
        <is>
          <t>Hour(s)</t>
        </is>
      </c>
      <c r="V67" t="inlineStr">
        <is>
          <t>Renewal</t>
        </is>
      </c>
      <c r="W67" t="inlineStr">
        <is>
          <t>Culture</t>
        </is>
      </c>
      <c r="X67" t="inlineStr">
        <is>
          <t>Lab</t>
        </is>
      </c>
      <c r="Y67" t="n">
        <v>7.0</v>
      </c>
      <c r="Z67" t="inlineStr">
        <is>
          <t>Active ingredient</t>
        </is>
      </c>
      <c r="AA67"/>
      <c r="AB67" t="n">
        <v>1.16</v>
      </c>
      <c r="AC67"/>
      <c r="AD67"/>
      <c r="AE67"/>
      <c r="AF67"/>
      <c r="AG67" t="inlineStr">
        <is>
          <t>AI mg/L</t>
        </is>
      </c>
      <c r="AH67"/>
      <c r="AI67"/>
      <c r="AJ67"/>
      <c r="AK67"/>
      <c r="AL67"/>
      <c r="AM67"/>
      <c r="AN67"/>
      <c r="AO67"/>
      <c r="AP67"/>
      <c r="AQ67"/>
      <c r="AR67"/>
      <c r="AS67"/>
      <c r="AT67"/>
      <c r="AU67"/>
      <c r="AV67"/>
      <c r="AW67"/>
      <c r="AX67" t="inlineStr">
        <is>
          <t>Accumulation</t>
        </is>
      </c>
      <c r="AY67" t="inlineStr">
        <is>
          <t>Residue</t>
        </is>
      </c>
      <c r="AZ67" t="inlineStr">
        <is>
          <t>BAF</t>
        </is>
      </c>
      <c r="BA67" t="inlineStr">
        <is>
          <t>Whole organism</t>
        </is>
      </c>
      <c r="BB67"/>
      <c r="BC67" t="n">
        <v>105.0</v>
      </c>
      <c r="BD67"/>
      <c r="BE67"/>
      <c r="BF67"/>
      <c r="BG67"/>
      <c r="BH67" t="inlineStr">
        <is>
          <t>Day(s)</t>
        </is>
      </c>
      <c r="BI67"/>
      <c r="BJ67" t="n">
        <v>16.0</v>
      </c>
      <c r="BK67"/>
      <c r="BL67"/>
      <c r="BM67"/>
      <c r="BN67"/>
      <c r="BO67" t="inlineStr">
        <is>
          <t>L/kg</t>
        </is>
      </c>
      <c r="BP67"/>
      <c r="BQ67"/>
      <c r="BR67"/>
      <c r="BS67"/>
      <c r="BT67"/>
      <c r="BU67"/>
      <c r="BV67"/>
      <c r="BW67"/>
      <c r="BX67"/>
      <c r="BY67"/>
      <c r="BZ67"/>
      <c r="CA67"/>
      <c r="CB67"/>
      <c r="CC67"/>
      <c r="CD67" t="inlineStr">
        <is>
          <t>Xie,G., C.A.M. Van Gestel, J.A. Vonk, and M.H.S. Kraak</t>
        </is>
      </c>
      <c r="CE67" t="n">
        <v>194419.0</v>
      </c>
      <c r="CF67" t="inlineStr">
        <is>
          <t>Multigeneration Responses of Daphnia magna to Short-Chain Per- and Polyfluorinated Substances (PFAS)</t>
        </is>
      </c>
      <c r="CG67" t="inlineStr">
        <is>
          <t>Ecotoxicol. Environ. Saf.294:11 p.</t>
        </is>
      </c>
      <c r="CH67" t="n">
        <v>2025.0</v>
      </c>
      <c r="CI67" t="inlineStr">
        <is>
          <t>Xie,G., C.A.M. Van Gestel, J.A. Vonk, and M.H.S. Kraak (2025). Multigeneration Responses of Daphnia magna to Short-Chain Per- and Polyfluorinated Substances (PFAS). Ecotoxicol. Environ. Saf., 294, 11 p. doi:10.1016/j.ecoenv.2025.118078. ECOREF#:194419</t>
        </is>
      </c>
    </row>
    <row r="68">
      <c r="A68" t="n">
        <v>3.0334691E7</v>
      </c>
      <c r="B68" t="inlineStr">
        <is>
          <t>1,1,2,2,3,3,4,4,4-Nonafluorobutane-1-sulfonamide1</t>
        </is>
      </c>
      <c r="C68"/>
      <c r="D68" t="inlineStr">
        <is>
          <t>Measured</t>
        </is>
      </c>
      <c r="E68"/>
      <c r="F68" t="n">
        <v>97.0</v>
      </c>
      <c r="G68"/>
      <c r="H68"/>
      <c r="I68"/>
      <c r="J68"/>
      <c r="K68" t="inlineStr">
        <is>
          <t>Daphnia magna</t>
        </is>
      </c>
      <c r="L68" t="inlineStr">
        <is>
          <t>Water Flea</t>
        </is>
      </c>
      <c r="M68" t="inlineStr">
        <is>
          <t>Crustaceans; Standard Test Species</t>
        </is>
      </c>
      <c r="N68" t="inlineStr">
        <is>
          <t>Neonate</t>
        </is>
      </c>
      <c r="O68" t="inlineStr">
        <is>
          <t>&lt;</t>
        </is>
      </c>
      <c r="P68" t="n">
        <v>24.0</v>
      </c>
      <c r="Q68"/>
      <c r="R68"/>
      <c r="S68"/>
      <c r="T68"/>
      <c r="U68" t="inlineStr">
        <is>
          <t>Hour(s)</t>
        </is>
      </c>
      <c r="V68" t="inlineStr">
        <is>
          <t>Renewal</t>
        </is>
      </c>
      <c r="W68" t="inlineStr">
        <is>
          <t>Culture</t>
        </is>
      </c>
      <c r="X68" t="inlineStr">
        <is>
          <t>Lab</t>
        </is>
      </c>
      <c r="Y68" t="n">
        <v>7.0</v>
      </c>
      <c r="Z68" t="inlineStr">
        <is>
          <t>Active ingredient</t>
        </is>
      </c>
      <c r="AA68"/>
      <c r="AB68" t="n">
        <v>5.05</v>
      </c>
      <c r="AC68"/>
      <c r="AD68"/>
      <c r="AE68"/>
      <c r="AF68"/>
      <c r="AG68" t="inlineStr">
        <is>
          <t>AI mg/L</t>
        </is>
      </c>
      <c r="AH68"/>
      <c r="AI68"/>
      <c r="AJ68"/>
      <c r="AK68"/>
      <c r="AL68"/>
      <c r="AM68"/>
      <c r="AN68"/>
      <c r="AO68"/>
      <c r="AP68"/>
      <c r="AQ68"/>
      <c r="AR68"/>
      <c r="AS68"/>
      <c r="AT68"/>
      <c r="AU68"/>
      <c r="AV68"/>
      <c r="AW68"/>
      <c r="AX68" t="inlineStr">
        <is>
          <t>Accumulation</t>
        </is>
      </c>
      <c r="AY68" t="inlineStr">
        <is>
          <t>Residue</t>
        </is>
      </c>
      <c r="AZ68" t="inlineStr">
        <is>
          <t>BAF</t>
        </is>
      </c>
      <c r="BA68" t="inlineStr">
        <is>
          <t>Whole organism</t>
        </is>
      </c>
      <c r="BB68"/>
      <c r="BC68" t="n">
        <v>84.0</v>
      </c>
      <c r="BD68"/>
      <c r="BE68"/>
      <c r="BF68"/>
      <c r="BG68"/>
      <c r="BH68" t="inlineStr">
        <is>
          <t>Day(s)</t>
        </is>
      </c>
      <c r="BI68"/>
      <c r="BJ68" t="n">
        <v>16.5</v>
      </c>
      <c r="BK68"/>
      <c r="BL68"/>
      <c r="BM68"/>
      <c r="BN68"/>
      <c r="BO68" t="inlineStr">
        <is>
          <t>L/kg</t>
        </is>
      </c>
      <c r="BP68"/>
      <c r="BQ68"/>
      <c r="BR68"/>
      <c r="BS68"/>
      <c r="BT68"/>
      <c r="BU68"/>
      <c r="BV68"/>
      <c r="BW68"/>
      <c r="BX68"/>
      <c r="BY68"/>
      <c r="BZ68"/>
      <c r="CA68"/>
      <c r="CB68"/>
      <c r="CC68"/>
      <c r="CD68" t="inlineStr">
        <is>
          <t>Xie,G., C.A.M. Van Gestel, J.A. Vonk, and M.H.S. Kraak</t>
        </is>
      </c>
      <c r="CE68" t="n">
        <v>194419.0</v>
      </c>
      <c r="CF68" t="inlineStr">
        <is>
          <t>Multigeneration Responses of Daphnia magna to Short-Chain Per- and Polyfluorinated Substances (PFAS)</t>
        </is>
      </c>
      <c r="CG68" t="inlineStr">
        <is>
          <t>Ecotoxicol. Environ. Saf.294:11 p.</t>
        </is>
      </c>
      <c r="CH68" t="n">
        <v>2025.0</v>
      </c>
      <c r="CI68" t="inlineStr">
        <is>
          <t>Xie,G., C.A.M. Van Gestel, J.A. Vonk, and M.H.S. Kraak (2025). Multigeneration Responses of Daphnia magna to Short-Chain Per- and Polyfluorinated Substances (PFAS). Ecotoxicol. Environ. Saf., 294, 11 p. doi:10.1016/j.ecoenv.2025.118078. ECOREF#:194419</t>
        </is>
      </c>
    </row>
    <row r="69">
      <c r="A69" t="n">
        <v>3.0334691E7</v>
      </c>
      <c r="B69" t="inlineStr">
        <is>
          <t>1,1,2,2,3,3,4,4,4-Nonafluorobutane-1-sulfonamide1</t>
        </is>
      </c>
      <c r="C69"/>
      <c r="D69" t="inlineStr">
        <is>
          <t>Measured</t>
        </is>
      </c>
      <c r="E69"/>
      <c r="F69" t="n">
        <v>97.0</v>
      </c>
      <c r="G69"/>
      <c r="H69"/>
      <c r="I69"/>
      <c r="J69"/>
      <c r="K69" t="inlineStr">
        <is>
          <t>Daphnia magna</t>
        </is>
      </c>
      <c r="L69" t="inlineStr">
        <is>
          <t>Water Flea</t>
        </is>
      </c>
      <c r="M69" t="inlineStr">
        <is>
          <t>Crustaceans; Standard Test Species</t>
        </is>
      </c>
      <c r="N69" t="inlineStr">
        <is>
          <t>Neonate</t>
        </is>
      </c>
      <c r="O69" t="inlineStr">
        <is>
          <t>&lt;</t>
        </is>
      </c>
      <c r="P69" t="n">
        <v>24.0</v>
      </c>
      <c r="Q69"/>
      <c r="R69"/>
      <c r="S69"/>
      <c r="T69"/>
      <c r="U69" t="inlineStr">
        <is>
          <t>Hour(s)</t>
        </is>
      </c>
      <c r="V69" t="inlineStr">
        <is>
          <t>Renewal</t>
        </is>
      </c>
      <c r="W69" t="inlineStr">
        <is>
          <t>Culture</t>
        </is>
      </c>
      <c r="X69" t="inlineStr">
        <is>
          <t>Lab</t>
        </is>
      </c>
      <c r="Y69" t="n">
        <v>7.0</v>
      </c>
      <c r="Z69" t="inlineStr">
        <is>
          <t>Active ingredient</t>
        </is>
      </c>
      <c r="AA69"/>
      <c r="AB69" t="n">
        <v>1.16</v>
      </c>
      <c r="AC69"/>
      <c r="AD69"/>
      <c r="AE69"/>
      <c r="AF69"/>
      <c r="AG69" t="inlineStr">
        <is>
          <t>AI mg/L</t>
        </is>
      </c>
      <c r="AH69"/>
      <c r="AI69"/>
      <c r="AJ69"/>
      <c r="AK69"/>
      <c r="AL69"/>
      <c r="AM69"/>
      <c r="AN69"/>
      <c r="AO69"/>
      <c r="AP69"/>
      <c r="AQ69"/>
      <c r="AR69"/>
      <c r="AS69"/>
      <c r="AT69"/>
      <c r="AU69"/>
      <c r="AV69"/>
      <c r="AW69"/>
      <c r="AX69" t="inlineStr">
        <is>
          <t>Accumulation</t>
        </is>
      </c>
      <c r="AY69" t="inlineStr">
        <is>
          <t>Residue</t>
        </is>
      </c>
      <c r="AZ69" t="inlineStr">
        <is>
          <t>BAF</t>
        </is>
      </c>
      <c r="BA69" t="inlineStr">
        <is>
          <t>Whole organism</t>
        </is>
      </c>
      <c r="BB69"/>
      <c r="BC69" t="n">
        <v>63.0</v>
      </c>
      <c r="BD69"/>
      <c r="BE69"/>
      <c r="BF69"/>
      <c r="BG69"/>
      <c r="BH69" t="inlineStr">
        <is>
          <t>Day(s)</t>
        </is>
      </c>
      <c r="BI69"/>
      <c r="BJ69" t="n">
        <v>16.5</v>
      </c>
      <c r="BK69"/>
      <c r="BL69"/>
      <c r="BM69"/>
      <c r="BN69"/>
      <c r="BO69" t="inlineStr">
        <is>
          <t>L/kg</t>
        </is>
      </c>
      <c r="BP69"/>
      <c r="BQ69"/>
      <c r="BR69"/>
      <c r="BS69"/>
      <c r="BT69"/>
      <c r="BU69"/>
      <c r="BV69"/>
      <c r="BW69"/>
      <c r="BX69"/>
      <c r="BY69"/>
      <c r="BZ69"/>
      <c r="CA69"/>
      <c r="CB69"/>
      <c r="CC69"/>
      <c r="CD69" t="inlineStr">
        <is>
          <t>Xie,G., C.A.M. Van Gestel, J.A. Vonk, and M.H.S. Kraak</t>
        </is>
      </c>
      <c r="CE69" t="n">
        <v>194419.0</v>
      </c>
      <c r="CF69" t="inlineStr">
        <is>
          <t>Multigeneration Responses of Daphnia magna to Short-Chain Per- and Polyfluorinated Substances (PFAS)</t>
        </is>
      </c>
      <c r="CG69" t="inlineStr">
        <is>
          <t>Ecotoxicol. Environ. Saf.294:11 p.</t>
        </is>
      </c>
      <c r="CH69" t="n">
        <v>2025.0</v>
      </c>
      <c r="CI69" t="inlineStr">
        <is>
          <t>Xie,G., C.A.M. Van Gestel, J.A. Vonk, and M.H.S. Kraak (2025). Multigeneration Responses of Daphnia magna to Short-Chain Per- and Polyfluorinated Substances (PFAS). Ecotoxicol. Environ. Saf., 294, 11 p. doi:10.1016/j.ecoenv.2025.118078. ECOREF#:194419</t>
        </is>
      </c>
    </row>
    <row r="70">
      <c r="A70" t="n">
        <v>3.0334691E7</v>
      </c>
      <c r="B70" t="inlineStr">
        <is>
          <t>1,1,2,2,3,3,4,4,4-Nonafluorobutane-1-sulfonamide1</t>
        </is>
      </c>
      <c r="C70"/>
      <c r="D70" t="inlineStr">
        <is>
          <t>Measured</t>
        </is>
      </c>
      <c r="E70"/>
      <c r="F70" t="n">
        <v>97.0</v>
      </c>
      <c r="G70"/>
      <c r="H70"/>
      <c r="I70"/>
      <c r="J70"/>
      <c r="K70" t="inlineStr">
        <is>
          <t>Daphnia magna</t>
        </is>
      </c>
      <c r="L70" t="inlineStr">
        <is>
          <t>Water Flea</t>
        </is>
      </c>
      <c r="M70" t="inlineStr">
        <is>
          <t>Crustaceans; Standard Test Species</t>
        </is>
      </c>
      <c r="N70" t="inlineStr">
        <is>
          <t>Neonate</t>
        </is>
      </c>
      <c r="O70" t="inlineStr">
        <is>
          <t>&lt;</t>
        </is>
      </c>
      <c r="P70" t="n">
        <v>24.0</v>
      </c>
      <c r="Q70"/>
      <c r="R70"/>
      <c r="S70"/>
      <c r="T70"/>
      <c r="U70" t="inlineStr">
        <is>
          <t>Hour(s)</t>
        </is>
      </c>
      <c r="V70" t="inlineStr">
        <is>
          <t>Renewal</t>
        </is>
      </c>
      <c r="W70" t="inlineStr">
        <is>
          <t>Culture</t>
        </is>
      </c>
      <c r="X70" t="inlineStr">
        <is>
          <t>Lab</t>
        </is>
      </c>
      <c r="Y70" t="n">
        <v>7.0</v>
      </c>
      <c r="Z70" t="inlineStr">
        <is>
          <t>Active ingredient</t>
        </is>
      </c>
      <c r="AA70"/>
      <c r="AB70" t="n">
        <v>0.61</v>
      </c>
      <c r="AC70"/>
      <c r="AD70"/>
      <c r="AE70"/>
      <c r="AF70"/>
      <c r="AG70" t="inlineStr">
        <is>
          <t>AI mg/L</t>
        </is>
      </c>
      <c r="AH70"/>
      <c r="AI70"/>
      <c r="AJ70"/>
      <c r="AK70"/>
      <c r="AL70"/>
      <c r="AM70"/>
      <c r="AN70"/>
      <c r="AO70"/>
      <c r="AP70"/>
      <c r="AQ70"/>
      <c r="AR70"/>
      <c r="AS70"/>
      <c r="AT70"/>
      <c r="AU70"/>
      <c r="AV70"/>
      <c r="AW70"/>
      <c r="AX70" t="inlineStr">
        <is>
          <t>Accumulation</t>
        </is>
      </c>
      <c r="AY70" t="inlineStr">
        <is>
          <t>Residue</t>
        </is>
      </c>
      <c r="AZ70" t="inlineStr">
        <is>
          <t>BAF</t>
        </is>
      </c>
      <c r="BA70" t="inlineStr">
        <is>
          <t>Whole organism</t>
        </is>
      </c>
      <c r="BB70"/>
      <c r="BC70" t="n">
        <v>63.0</v>
      </c>
      <c r="BD70"/>
      <c r="BE70"/>
      <c r="BF70"/>
      <c r="BG70"/>
      <c r="BH70" t="inlineStr">
        <is>
          <t>Day(s)</t>
        </is>
      </c>
      <c r="BI70"/>
      <c r="BJ70" t="n">
        <v>17.3</v>
      </c>
      <c r="BK70"/>
      <c r="BL70"/>
      <c r="BM70"/>
      <c r="BN70"/>
      <c r="BO70" t="inlineStr">
        <is>
          <t>L/kg</t>
        </is>
      </c>
      <c r="BP70"/>
      <c r="BQ70"/>
      <c r="BR70"/>
      <c r="BS70"/>
      <c r="BT70"/>
      <c r="BU70"/>
      <c r="BV70"/>
      <c r="BW70"/>
      <c r="BX70"/>
      <c r="BY70"/>
      <c r="BZ70"/>
      <c r="CA70"/>
      <c r="CB70"/>
      <c r="CC70"/>
      <c r="CD70" t="inlineStr">
        <is>
          <t>Xie,G., C.A.M. Van Gestel, J.A. Vonk, and M.H.S. Kraak</t>
        </is>
      </c>
      <c r="CE70" t="n">
        <v>194419.0</v>
      </c>
      <c r="CF70" t="inlineStr">
        <is>
          <t>Multigeneration Responses of Daphnia magna to Short-Chain Per- and Polyfluorinated Substances (PFAS)</t>
        </is>
      </c>
      <c r="CG70" t="inlineStr">
        <is>
          <t>Ecotoxicol. Environ. Saf.294:11 p.</t>
        </is>
      </c>
      <c r="CH70" t="n">
        <v>2025.0</v>
      </c>
      <c r="CI70" t="inlineStr">
        <is>
          <t>Xie,G., C.A.M. Van Gestel, J.A. Vonk, and M.H.S. Kraak (2025). Multigeneration Responses of Daphnia magna to Short-Chain Per- and Polyfluorinated Substances (PFAS). Ecotoxicol. Environ. Saf., 294, 11 p. doi:10.1016/j.ecoenv.2025.118078. ECOREF#:194419</t>
        </is>
      </c>
    </row>
    <row r="71">
      <c r="A71" t="n">
        <v>3.0334691E7</v>
      </c>
      <c r="B71" t="inlineStr">
        <is>
          <t>1,1,2,2,3,3,4,4,4-Nonafluorobutane-1-sulfonamide1</t>
        </is>
      </c>
      <c r="C71"/>
      <c r="D71" t="inlineStr">
        <is>
          <t>Measured</t>
        </is>
      </c>
      <c r="E71"/>
      <c r="F71" t="n">
        <v>97.0</v>
      </c>
      <c r="G71"/>
      <c r="H71"/>
      <c r="I71"/>
      <c r="J71"/>
      <c r="K71" t="inlineStr">
        <is>
          <t>Daphnia magna</t>
        </is>
      </c>
      <c r="L71" t="inlineStr">
        <is>
          <t>Water Flea</t>
        </is>
      </c>
      <c r="M71" t="inlineStr">
        <is>
          <t>Crustaceans; Standard Test Species</t>
        </is>
      </c>
      <c r="N71" t="inlineStr">
        <is>
          <t>Neonate</t>
        </is>
      </c>
      <c r="O71" t="inlineStr">
        <is>
          <t>&lt;</t>
        </is>
      </c>
      <c r="P71" t="n">
        <v>24.0</v>
      </c>
      <c r="Q71"/>
      <c r="R71"/>
      <c r="S71"/>
      <c r="T71"/>
      <c r="U71" t="inlineStr">
        <is>
          <t>Hour(s)</t>
        </is>
      </c>
      <c r="V71" t="inlineStr">
        <is>
          <t>Renewal</t>
        </is>
      </c>
      <c r="W71" t="inlineStr">
        <is>
          <t>Culture</t>
        </is>
      </c>
      <c r="X71" t="inlineStr">
        <is>
          <t>Lab</t>
        </is>
      </c>
      <c r="Y71" t="n">
        <v>7.0</v>
      </c>
      <c r="Z71" t="inlineStr">
        <is>
          <t>Active ingredient</t>
        </is>
      </c>
      <c r="AA71"/>
      <c r="AB71" t="n">
        <v>0.61</v>
      </c>
      <c r="AC71"/>
      <c r="AD71"/>
      <c r="AE71"/>
      <c r="AF71"/>
      <c r="AG71" t="inlineStr">
        <is>
          <t>AI mg/L</t>
        </is>
      </c>
      <c r="AH71"/>
      <c r="AI71"/>
      <c r="AJ71"/>
      <c r="AK71"/>
      <c r="AL71"/>
      <c r="AM71"/>
      <c r="AN71"/>
      <c r="AO71"/>
      <c r="AP71"/>
      <c r="AQ71"/>
      <c r="AR71"/>
      <c r="AS71"/>
      <c r="AT71"/>
      <c r="AU71"/>
      <c r="AV71"/>
      <c r="AW71"/>
      <c r="AX71" t="inlineStr">
        <is>
          <t>Accumulation</t>
        </is>
      </c>
      <c r="AY71" t="inlineStr">
        <is>
          <t>Residue</t>
        </is>
      </c>
      <c r="AZ71" t="inlineStr">
        <is>
          <t>BAF</t>
        </is>
      </c>
      <c r="BA71" t="inlineStr">
        <is>
          <t>Whole organism</t>
        </is>
      </c>
      <c r="BB71"/>
      <c r="BC71" t="n">
        <v>84.0</v>
      </c>
      <c r="BD71"/>
      <c r="BE71"/>
      <c r="BF71"/>
      <c r="BG71"/>
      <c r="BH71" t="inlineStr">
        <is>
          <t>Day(s)</t>
        </is>
      </c>
      <c r="BI71"/>
      <c r="BJ71" t="n">
        <v>18.0</v>
      </c>
      <c r="BK71"/>
      <c r="BL71"/>
      <c r="BM71"/>
      <c r="BN71"/>
      <c r="BO71" t="inlineStr">
        <is>
          <t>L/kg</t>
        </is>
      </c>
      <c r="BP71"/>
      <c r="BQ71"/>
      <c r="BR71"/>
      <c r="BS71"/>
      <c r="BT71"/>
      <c r="BU71"/>
      <c r="BV71"/>
      <c r="BW71"/>
      <c r="BX71"/>
      <c r="BY71"/>
      <c r="BZ71"/>
      <c r="CA71"/>
      <c r="CB71"/>
      <c r="CC71"/>
      <c r="CD71" t="inlineStr">
        <is>
          <t>Xie,G., C.A.M. Van Gestel, J.A. Vonk, and M.H.S. Kraak</t>
        </is>
      </c>
      <c r="CE71" t="n">
        <v>194419.0</v>
      </c>
      <c r="CF71" t="inlineStr">
        <is>
          <t>Multigeneration Responses of Daphnia magna to Short-Chain Per- and Polyfluorinated Substances (PFAS)</t>
        </is>
      </c>
      <c r="CG71" t="inlineStr">
        <is>
          <t>Ecotoxicol. Environ. Saf.294:11 p.</t>
        </is>
      </c>
      <c r="CH71" t="n">
        <v>2025.0</v>
      </c>
      <c r="CI71" t="inlineStr">
        <is>
          <t>Xie,G., C.A.M. Van Gestel, J.A. Vonk, and M.H.S. Kraak (2025). Multigeneration Responses of Daphnia magna to Short-Chain Per- and Polyfluorinated Substances (PFAS). Ecotoxicol. Environ. Saf., 294, 11 p. doi:10.1016/j.ecoenv.2025.118078. ECOREF#:194419</t>
        </is>
      </c>
    </row>
    <row r="72">
      <c r="A72" t="n">
        <v>3.0334691E7</v>
      </c>
      <c r="B72" t="inlineStr">
        <is>
          <t>1,1,2,2,3,3,4,4,4-Nonafluorobutane-1-sulfonamide1</t>
        </is>
      </c>
      <c r="C72"/>
      <c r="D72" t="inlineStr">
        <is>
          <t>Measured</t>
        </is>
      </c>
      <c r="E72"/>
      <c r="F72" t="n">
        <v>97.0</v>
      </c>
      <c r="G72"/>
      <c r="H72"/>
      <c r="I72"/>
      <c r="J72"/>
      <c r="K72" t="inlineStr">
        <is>
          <t>Daphnia magna</t>
        </is>
      </c>
      <c r="L72" t="inlineStr">
        <is>
          <t>Water Flea</t>
        </is>
      </c>
      <c r="M72" t="inlineStr">
        <is>
          <t>Crustaceans; Standard Test Species</t>
        </is>
      </c>
      <c r="N72" t="inlineStr">
        <is>
          <t>Neonate</t>
        </is>
      </c>
      <c r="O72" t="inlineStr">
        <is>
          <t>&lt;</t>
        </is>
      </c>
      <c r="P72" t="n">
        <v>24.0</v>
      </c>
      <c r="Q72"/>
      <c r="R72"/>
      <c r="S72"/>
      <c r="T72"/>
      <c r="U72" t="inlineStr">
        <is>
          <t>Hour(s)</t>
        </is>
      </c>
      <c r="V72" t="inlineStr">
        <is>
          <t>Renewal</t>
        </is>
      </c>
      <c r="W72" t="inlineStr">
        <is>
          <t>Culture</t>
        </is>
      </c>
      <c r="X72" t="inlineStr">
        <is>
          <t>Lab</t>
        </is>
      </c>
      <c r="Y72" t="n">
        <v>7.0</v>
      </c>
      <c r="Z72" t="inlineStr">
        <is>
          <t>Active ingredient</t>
        </is>
      </c>
      <c r="AA72"/>
      <c r="AB72" t="n">
        <v>0.61</v>
      </c>
      <c r="AC72"/>
      <c r="AD72"/>
      <c r="AE72"/>
      <c r="AF72"/>
      <c r="AG72" t="inlineStr">
        <is>
          <t>AI mg/L</t>
        </is>
      </c>
      <c r="AH72"/>
      <c r="AI72"/>
      <c r="AJ72"/>
      <c r="AK72"/>
      <c r="AL72"/>
      <c r="AM72"/>
      <c r="AN72"/>
      <c r="AO72"/>
      <c r="AP72"/>
      <c r="AQ72"/>
      <c r="AR72"/>
      <c r="AS72"/>
      <c r="AT72"/>
      <c r="AU72"/>
      <c r="AV72"/>
      <c r="AW72"/>
      <c r="AX72" t="inlineStr">
        <is>
          <t>Accumulation</t>
        </is>
      </c>
      <c r="AY72" t="inlineStr">
        <is>
          <t>Residue</t>
        </is>
      </c>
      <c r="AZ72" t="inlineStr">
        <is>
          <t>BAF</t>
        </is>
      </c>
      <c r="BA72" t="inlineStr">
        <is>
          <t>Whole organism</t>
        </is>
      </c>
      <c r="BB72"/>
      <c r="BC72" t="n">
        <v>42.0</v>
      </c>
      <c r="BD72"/>
      <c r="BE72"/>
      <c r="BF72"/>
      <c r="BG72"/>
      <c r="BH72" t="inlineStr">
        <is>
          <t>Day(s)</t>
        </is>
      </c>
      <c r="BI72"/>
      <c r="BJ72" t="n">
        <v>18.4</v>
      </c>
      <c r="BK72"/>
      <c r="BL72"/>
      <c r="BM72"/>
      <c r="BN72"/>
      <c r="BO72" t="inlineStr">
        <is>
          <t>L/kg</t>
        </is>
      </c>
      <c r="BP72"/>
      <c r="BQ72"/>
      <c r="BR72"/>
      <c r="BS72"/>
      <c r="BT72"/>
      <c r="BU72"/>
      <c r="BV72"/>
      <c r="BW72"/>
      <c r="BX72"/>
      <c r="BY72"/>
      <c r="BZ72"/>
      <c r="CA72"/>
      <c r="CB72"/>
      <c r="CC72"/>
      <c r="CD72" t="inlineStr">
        <is>
          <t>Xie,G., C.A.M. Van Gestel, J.A. Vonk, and M.H.S. Kraak</t>
        </is>
      </c>
      <c r="CE72" t="n">
        <v>194419.0</v>
      </c>
      <c r="CF72" t="inlineStr">
        <is>
          <t>Multigeneration Responses of Daphnia magna to Short-Chain Per- and Polyfluorinated Substances (PFAS)</t>
        </is>
      </c>
      <c r="CG72" t="inlineStr">
        <is>
          <t>Ecotoxicol. Environ. Saf.294:11 p.</t>
        </is>
      </c>
      <c r="CH72" t="n">
        <v>2025.0</v>
      </c>
      <c r="CI72" t="inlineStr">
        <is>
          <t>Xie,G., C.A.M. Van Gestel, J.A. Vonk, and M.H.S. Kraak (2025). Multigeneration Responses of Daphnia magna to Short-Chain Per- and Polyfluorinated Substances (PFAS). Ecotoxicol. Environ. Saf., 294, 11 p. doi:10.1016/j.ecoenv.2025.118078. ECOREF#:194419</t>
        </is>
      </c>
    </row>
    <row r="73">
      <c r="A73" t="n">
        <v>3.0334691E7</v>
      </c>
      <c r="B73" t="inlineStr">
        <is>
          <t>1,1,2,2,3,3,4,4,4-Nonafluorobutane-1-sulfonamide1</t>
        </is>
      </c>
      <c r="C73"/>
      <c r="D73" t="inlineStr">
        <is>
          <t>Measured</t>
        </is>
      </c>
      <c r="E73"/>
      <c r="F73" t="n">
        <v>97.0</v>
      </c>
      <c r="G73"/>
      <c r="H73"/>
      <c r="I73"/>
      <c r="J73"/>
      <c r="K73" t="inlineStr">
        <is>
          <t>Daphnia magna</t>
        </is>
      </c>
      <c r="L73" t="inlineStr">
        <is>
          <t>Water Flea</t>
        </is>
      </c>
      <c r="M73" t="inlineStr">
        <is>
          <t>Crustaceans; Standard Test Species</t>
        </is>
      </c>
      <c r="N73" t="inlineStr">
        <is>
          <t>Neonate</t>
        </is>
      </c>
      <c r="O73" t="inlineStr">
        <is>
          <t>&lt;</t>
        </is>
      </c>
      <c r="P73" t="n">
        <v>24.0</v>
      </c>
      <c r="Q73"/>
      <c r="R73"/>
      <c r="S73"/>
      <c r="T73"/>
      <c r="U73" t="inlineStr">
        <is>
          <t>Hour(s)</t>
        </is>
      </c>
      <c r="V73" t="inlineStr">
        <is>
          <t>Renewal</t>
        </is>
      </c>
      <c r="W73" t="inlineStr">
        <is>
          <t>Culture</t>
        </is>
      </c>
      <c r="X73" t="inlineStr">
        <is>
          <t>Lab</t>
        </is>
      </c>
      <c r="Y73" t="n">
        <v>7.0</v>
      </c>
      <c r="Z73" t="inlineStr">
        <is>
          <t>Active ingredient</t>
        </is>
      </c>
      <c r="AA73"/>
      <c r="AB73" t="n">
        <v>5.05</v>
      </c>
      <c r="AC73"/>
      <c r="AD73"/>
      <c r="AE73"/>
      <c r="AF73"/>
      <c r="AG73" t="inlineStr">
        <is>
          <t>AI mg/L</t>
        </is>
      </c>
      <c r="AH73"/>
      <c r="AI73"/>
      <c r="AJ73"/>
      <c r="AK73"/>
      <c r="AL73"/>
      <c r="AM73"/>
      <c r="AN73"/>
      <c r="AO73"/>
      <c r="AP73"/>
      <c r="AQ73"/>
      <c r="AR73"/>
      <c r="AS73"/>
      <c r="AT73"/>
      <c r="AU73"/>
      <c r="AV73"/>
      <c r="AW73"/>
      <c r="AX73" t="inlineStr">
        <is>
          <t>Accumulation</t>
        </is>
      </c>
      <c r="AY73" t="inlineStr">
        <is>
          <t>Residue</t>
        </is>
      </c>
      <c r="AZ73" t="inlineStr">
        <is>
          <t>BAF</t>
        </is>
      </c>
      <c r="BA73" t="inlineStr">
        <is>
          <t>Whole organism</t>
        </is>
      </c>
      <c r="BB73"/>
      <c r="BC73" t="n">
        <v>63.0</v>
      </c>
      <c r="BD73"/>
      <c r="BE73"/>
      <c r="BF73"/>
      <c r="BG73"/>
      <c r="BH73" t="inlineStr">
        <is>
          <t>Day(s)</t>
        </is>
      </c>
      <c r="BI73"/>
      <c r="BJ73" t="n">
        <v>18.5</v>
      </c>
      <c r="BK73"/>
      <c r="BL73"/>
      <c r="BM73"/>
      <c r="BN73"/>
      <c r="BO73" t="inlineStr">
        <is>
          <t>L/kg</t>
        </is>
      </c>
      <c r="BP73"/>
      <c r="BQ73"/>
      <c r="BR73"/>
      <c r="BS73"/>
      <c r="BT73"/>
      <c r="BU73"/>
      <c r="BV73"/>
      <c r="BW73"/>
      <c r="BX73"/>
      <c r="BY73"/>
      <c r="BZ73"/>
      <c r="CA73"/>
      <c r="CB73"/>
      <c r="CC73"/>
      <c r="CD73" t="inlineStr">
        <is>
          <t>Xie,G., C.A.M. Van Gestel, J.A. Vonk, and M.H.S. Kraak</t>
        </is>
      </c>
      <c r="CE73" t="n">
        <v>194419.0</v>
      </c>
      <c r="CF73" t="inlineStr">
        <is>
          <t>Multigeneration Responses of Daphnia magna to Short-Chain Per- and Polyfluorinated Substances (PFAS)</t>
        </is>
      </c>
      <c r="CG73" t="inlineStr">
        <is>
          <t>Ecotoxicol. Environ. Saf.294:11 p.</t>
        </is>
      </c>
      <c r="CH73" t="n">
        <v>2025.0</v>
      </c>
      <c r="CI73" t="inlineStr">
        <is>
          <t>Xie,G., C.A.M. Van Gestel, J.A. Vonk, and M.H.S. Kraak (2025). Multigeneration Responses of Daphnia magna to Short-Chain Per- and Polyfluorinated Substances (PFAS). Ecotoxicol. Environ. Saf., 294, 11 p. doi:10.1016/j.ecoenv.2025.118078. ECOREF#:194419</t>
        </is>
      </c>
    </row>
    <row r="74">
      <c r="A74" t="n">
        <v>3.0334691E7</v>
      </c>
      <c r="B74" t="inlineStr">
        <is>
          <t>1,1,2,2,3,3,4,4,4-Nonafluorobutane-1-sulfonamide1</t>
        </is>
      </c>
      <c r="C74"/>
      <c r="D74" t="inlineStr">
        <is>
          <t>Measured</t>
        </is>
      </c>
      <c r="E74"/>
      <c r="F74" t="n">
        <v>97.0</v>
      </c>
      <c r="G74"/>
      <c r="H74"/>
      <c r="I74"/>
      <c r="J74"/>
      <c r="K74" t="inlineStr">
        <is>
          <t>Daphnia magna</t>
        </is>
      </c>
      <c r="L74" t="inlineStr">
        <is>
          <t>Water Flea</t>
        </is>
      </c>
      <c r="M74" t="inlineStr">
        <is>
          <t>Crustaceans; Standard Test Species</t>
        </is>
      </c>
      <c r="N74" t="inlineStr">
        <is>
          <t>Neonate</t>
        </is>
      </c>
      <c r="O74" t="inlineStr">
        <is>
          <t>&lt;</t>
        </is>
      </c>
      <c r="P74" t="n">
        <v>24.0</v>
      </c>
      <c r="Q74"/>
      <c r="R74"/>
      <c r="S74"/>
      <c r="T74"/>
      <c r="U74" t="inlineStr">
        <is>
          <t>Hour(s)</t>
        </is>
      </c>
      <c r="V74" t="inlineStr">
        <is>
          <t>Renewal</t>
        </is>
      </c>
      <c r="W74" t="inlineStr">
        <is>
          <t>Culture</t>
        </is>
      </c>
      <c r="X74" t="inlineStr">
        <is>
          <t>Lab</t>
        </is>
      </c>
      <c r="Y74" t="n">
        <v>7.0</v>
      </c>
      <c r="Z74" t="inlineStr">
        <is>
          <t>Active ingredient</t>
        </is>
      </c>
      <c r="AA74"/>
      <c r="AB74" t="n">
        <v>3.13</v>
      </c>
      <c r="AC74"/>
      <c r="AD74"/>
      <c r="AE74"/>
      <c r="AF74"/>
      <c r="AG74" t="inlineStr">
        <is>
          <t>AI mg/L</t>
        </is>
      </c>
      <c r="AH74"/>
      <c r="AI74"/>
      <c r="AJ74"/>
      <c r="AK74"/>
      <c r="AL74"/>
      <c r="AM74"/>
      <c r="AN74"/>
      <c r="AO74"/>
      <c r="AP74"/>
      <c r="AQ74"/>
      <c r="AR74"/>
      <c r="AS74"/>
      <c r="AT74"/>
      <c r="AU74"/>
      <c r="AV74"/>
      <c r="AW74"/>
      <c r="AX74" t="inlineStr">
        <is>
          <t>Accumulation</t>
        </is>
      </c>
      <c r="AY74" t="inlineStr">
        <is>
          <t>Residue</t>
        </is>
      </c>
      <c r="AZ74" t="inlineStr">
        <is>
          <t>BAF</t>
        </is>
      </c>
      <c r="BA74" t="inlineStr">
        <is>
          <t>Whole organism</t>
        </is>
      </c>
      <c r="BB74"/>
      <c r="BC74" t="n">
        <v>42.0</v>
      </c>
      <c r="BD74"/>
      <c r="BE74"/>
      <c r="BF74"/>
      <c r="BG74"/>
      <c r="BH74" t="inlineStr">
        <is>
          <t>Day(s)</t>
        </is>
      </c>
      <c r="BI74"/>
      <c r="BJ74" t="n">
        <v>18.5</v>
      </c>
      <c r="BK74"/>
      <c r="BL74"/>
      <c r="BM74"/>
      <c r="BN74"/>
      <c r="BO74" t="inlineStr">
        <is>
          <t>L/kg</t>
        </is>
      </c>
      <c r="BP74"/>
      <c r="BQ74"/>
      <c r="BR74"/>
      <c r="BS74"/>
      <c r="BT74"/>
      <c r="BU74"/>
      <c r="BV74"/>
      <c r="BW74"/>
      <c r="BX74"/>
      <c r="BY74"/>
      <c r="BZ74"/>
      <c r="CA74"/>
      <c r="CB74"/>
      <c r="CC74"/>
      <c r="CD74" t="inlineStr">
        <is>
          <t>Xie,G., C.A.M. Van Gestel, J.A. Vonk, and M.H.S. Kraak</t>
        </is>
      </c>
      <c r="CE74" t="n">
        <v>194419.0</v>
      </c>
      <c r="CF74" t="inlineStr">
        <is>
          <t>Multigeneration Responses of Daphnia magna to Short-Chain Per- and Polyfluorinated Substances (PFAS)</t>
        </is>
      </c>
      <c r="CG74" t="inlineStr">
        <is>
          <t>Ecotoxicol. Environ. Saf.294:11 p.</t>
        </is>
      </c>
      <c r="CH74" t="n">
        <v>2025.0</v>
      </c>
      <c r="CI74" t="inlineStr">
        <is>
          <t>Xie,G., C.A.M. Van Gestel, J.A. Vonk, and M.H.S. Kraak (2025). Multigeneration Responses of Daphnia magna to Short-Chain Per- and Polyfluorinated Substances (PFAS). Ecotoxicol. Environ. Saf., 294, 11 p. doi:10.1016/j.ecoenv.2025.118078. ECOREF#:194419</t>
        </is>
      </c>
    </row>
    <row r="75">
      <c r="A75" t="n">
        <v>3.0334691E7</v>
      </c>
      <c r="B75" t="inlineStr">
        <is>
          <t>1,1,2,2,3,3,4,4,4-Nonafluorobutane-1-sulfonamide1</t>
        </is>
      </c>
      <c r="C75"/>
      <c r="D75" t="inlineStr">
        <is>
          <t>Measured</t>
        </is>
      </c>
      <c r="E75"/>
      <c r="F75" t="n">
        <v>97.0</v>
      </c>
      <c r="G75"/>
      <c r="H75"/>
      <c r="I75"/>
      <c r="J75"/>
      <c r="K75" t="inlineStr">
        <is>
          <t>Daphnia magna</t>
        </is>
      </c>
      <c r="L75" t="inlineStr">
        <is>
          <t>Water Flea</t>
        </is>
      </c>
      <c r="M75" t="inlineStr">
        <is>
          <t>Crustaceans; Standard Test Species</t>
        </is>
      </c>
      <c r="N75" t="inlineStr">
        <is>
          <t>Neonate</t>
        </is>
      </c>
      <c r="O75" t="inlineStr">
        <is>
          <t>&lt;</t>
        </is>
      </c>
      <c r="P75" t="n">
        <v>24.0</v>
      </c>
      <c r="Q75"/>
      <c r="R75"/>
      <c r="S75"/>
      <c r="T75"/>
      <c r="U75" t="inlineStr">
        <is>
          <t>Hour(s)</t>
        </is>
      </c>
      <c r="V75" t="inlineStr">
        <is>
          <t>Renewal</t>
        </is>
      </c>
      <c r="W75" t="inlineStr">
        <is>
          <t>Culture</t>
        </is>
      </c>
      <c r="X75" t="inlineStr">
        <is>
          <t>Lab</t>
        </is>
      </c>
      <c r="Y75" t="n">
        <v>7.0</v>
      </c>
      <c r="Z75" t="inlineStr">
        <is>
          <t>Active ingredient</t>
        </is>
      </c>
      <c r="AA75"/>
      <c r="AB75" t="n">
        <v>0.61</v>
      </c>
      <c r="AC75"/>
      <c r="AD75"/>
      <c r="AE75"/>
      <c r="AF75"/>
      <c r="AG75" t="inlineStr">
        <is>
          <t>AI mg/L</t>
        </is>
      </c>
      <c r="AH75"/>
      <c r="AI75"/>
      <c r="AJ75"/>
      <c r="AK75"/>
      <c r="AL75"/>
      <c r="AM75"/>
      <c r="AN75"/>
      <c r="AO75"/>
      <c r="AP75"/>
      <c r="AQ75"/>
      <c r="AR75"/>
      <c r="AS75"/>
      <c r="AT75"/>
      <c r="AU75"/>
      <c r="AV75"/>
      <c r="AW75"/>
      <c r="AX75" t="inlineStr">
        <is>
          <t>Accumulation</t>
        </is>
      </c>
      <c r="AY75" t="inlineStr">
        <is>
          <t>Residue</t>
        </is>
      </c>
      <c r="AZ75" t="inlineStr">
        <is>
          <t>BAF</t>
        </is>
      </c>
      <c r="BA75" t="inlineStr">
        <is>
          <t>Whole organism</t>
        </is>
      </c>
      <c r="BB75"/>
      <c r="BC75" t="n">
        <v>105.0</v>
      </c>
      <c r="BD75"/>
      <c r="BE75"/>
      <c r="BF75"/>
      <c r="BG75"/>
      <c r="BH75" t="inlineStr">
        <is>
          <t>Day(s)</t>
        </is>
      </c>
      <c r="BI75"/>
      <c r="BJ75" t="n">
        <v>21.1</v>
      </c>
      <c r="BK75"/>
      <c r="BL75"/>
      <c r="BM75"/>
      <c r="BN75"/>
      <c r="BO75" t="inlineStr">
        <is>
          <t>L/kg</t>
        </is>
      </c>
      <c r="BP75"/>
      <c r="BQ75"/>
      <c r="BR75"/>
      <c r="BS75"/>
      <c r="BT75"/>
      <c r="BU75"/>
      <c r="BV75"/>
      <c r="BW75"/>
      <c r="BX75"/>
      <c r="BY75"/>
      <c r="BZ75"/>
      <c r="CA75"/>
      <c r="CB75"/>
      <c r="CC75"/>
      <c r="CD75" t="inlineStr">
        <is>
          <t>Xie,G., C.A.M. Van Gestel, J.A. Vonk, and M.H.S. Kraak</t>
        </is>
      </c>
      <c r="CE75" t="n">
        <v>194419.0</v>
      </c>
      <c r="CF75" t="inlineStr">
        <is>
          <t>Multigeneration Responses of Daphnia magna to Short-Chain Per- and Polyfluorinated Substances (PFAS)</t>
        </is>
      </c>
      <c r="CG75" t="inlineStr">
        <is>
          <t>Ecotoxicol. Environ. Saf.294:11 p.</t>
        </is>
      </c>
      <c r="CH75" t="n">
        <v>2025.0</v>
      </c>
      <c r="CI75" t="inlineStr">
        <is>
          <t>Xie,G., C.A.M. Van Gestel, J.A. Vonk, and M.H.S. Kraak (2025). Multigeneration Responses of Daphnia magna to Short-Chain Per- and Polyfluorinated Substances (PFAS). Ecotoxicol. Environ. Saf., 294, 11 p. doi:10.1016/j.ecoenv.2025.118078. ECOREF#:194419</t>
        </is>
      </c>
    </row>
    <row r="76">
      <c r="A76" t="n">
        <v>3.0334691E7</v>
      </c>
      <c r="B76" t="inlineStr">
        <is>
          <t>1,1,2,2,3,3,4,4,4-Nonafluorobutane-1-sulfonamide1</t>
        </is>
      </c>
      <c r="C76"/>
      <c r="D76" t="inlineStr">
        <is>
          <t>Measured</t>
        </is>
      </c>
      <c r="E76"/>
      <c r="F76" t="n">
        <v>97.0</v>
      </c>
      <c r="G76"/>
      <c r="H76"/>
      <c r="I76"/>
      <c r="J76"/>
      <c r="K76" t="inlineStr">
        <is>
          <t>Daphnia magna</t>
        </is>
      </c>
      <c r="L76" t="inlineStr">
        <is>
          <t>Water Flea</t>
        </is>
      </c>
      <c r="M76" t="inlineStr">
        <is>
          <t>Crustaceans; Standard Test Species</t>
        </is>
      </c>
      <c r="N76" t="inlineStr">
        <is>
          <t>Neonate</t>
        </is>
      </c>
      <c r="O76" t="inlineStr">
        <is>
          <t>&lt;</t>
        </is>
      </c>
      <c r="P76" t="n">
        <v>24.0</v>
      </c>
      <c r="Q76"/>
      <c r="R76"/>
      <c r="S76"/>
      <c r="T76"/>
      <c r="U76" t="inlineStr">
        <is>
          <t>Hour(s)</t>
        </is>
      </c>
      <c r="V76" t="inlineStr">
        <is>
          <t>Renewal</t>
        </is>
      </c>
      <c r="W76" t="inlineStr">
        <is>
          <t>Culture</t>
        </is>
      </c>
      <c r="X76" t="inlineStr">
        <is>
          <t>Lab</t>
        </is>
      </c>
      <c r="Y76" t="n">
        <v>7.0</v>
      </c>
      <c r="Z76" t="inlineStr">
        <is>
          <t>Active ingredient</t>
        </is>
      </c>
      <c r="AA76"/>
      <c r="AB76" t="n">
        <v>1.16</v>
      </c>
      <c r="AC76"/>
      <c r="AD76"/>
      <c r="AE76"/>
      <c r="AF76"/>
      <c r="AG76" t="inlineStr">
        <is>
          <t>AI mg/L</t>
        </is>
      </c>
      <c r="AH76"/>
      <c r="AI76"/>
      <c r="AJ76"/>
      <c r="AK76"/>
      <c r="AL76"/>
      <c r="AM76"/>
      <c r="AN76"/>
      <c r="AO76"/>
      <c r="AP76"/>
      <c r="AQ76"/>
      <c r="AR76"/>
      <c r="AS76"/>
      <c r="AT76"/>
      <c r="AU76"/>
      <c r="AV76"/>
      <c r="AW76"/>
      <c r="AX76" t="inlineStr">
        <is>
          <t>Accumulation</t>
        </is>
      </c>
      <c r="AY76" t="inlineStr">
        <is>
          <t>Residue</t>
        </is>
      </c>
      <c r="AZ76" t="inlineStr">
        <is>
          <t>BAF</t>
        </is>
      </c>
      <c r="BA76" t="inlineStr">
        <is>
          <t>Whole organism</t>
        </is>
      </c>
      <c r="BB76"/>
      <c r="BC76" t="n">
        <v>42.0</v>
      </c>
      <c r="BD76"/>
      <c r="BE76"/>
      <c r="BF76"/>
      <c r="BG76"/>
      <c r="BH76" t="inlineStr">
        <is>
          <t>Day(s)</t>
        </is>
      </c>
      <c r="BI76"/>
      <c r="BJ76" t="n">
        <v>26.5</v>
      </c>
      <c r="BK76"/>
      <c r="BL76"/>
      <c r="BM76"/>
      <c r="BN76"/>
      <c r="BO76" t="inlineStr">
        <is>
          <t>L/kg</t>
        </is>
      </c>
      <c r="BP76"/>
      <c r="BQ76"/>
      <c r="BR76"/>
      <c r="BS76"/>
      <c r="BT76"/>
      <c r="BU76"/>
      <c r="BV76"/>
      <c r="BW76"/>
      <c r="BX76"/>
      <c r="BY76"/>
      <c r="BZ76"/>
      <c r="CA76"/>
      <c r="CB76"/>
      <c r="CC76"/>
      <c r="CD76" t="inlineStr">
        <is>
          <t>Xie,G., C.A.M. Van Gestel, J.A. Vonk, and M.H.S. Kraak</t>
        </is>
      </c>
      <c r="CE76" t="n">
        <v>194419.0</v>
      </c>
      <c r="CF76" t="inlineStr">
        <is>
          <t>Multigeneration Responses of Daphnia magna to Short-Chain Per- and Polyfluorinated Substances (PFAS)</t>
        </is>
      </c>
      <c r="CG76" t="inlineStr">
        <is>
          <t>Ecotoxicol. Environ. Saf.294:11 p.</t>
        </is>
      </c>
      <c r="CH76" t="n">
        <v>2025.0</v>
      </c>
      <c r="CI76" t="inlineStr">
        <is>
          <t>Xie,G., C.A.M. Van Gestel, J.A. Vonk, and M.H.S. Kraak (2025). Multigeneration Responses of Daphnia magna to Short-Chain Per- and Polyfluorinated Substances (PFAS). Ecotoxicol. Environ. Saf., 294, 11 p. doi:10.1016/j.ecoenv.2025.118078. ECOREF#:194419</t>
        </is>
      </c>
    </row>
    <row r="77">
      <c r="A77" t="n">
        <v>3.0334691E7</v>
      </c>
      <c r="B77" t="inlineStr">
        <is>
          <t>1,1,2,2,3,3,4,4,4-Nonafluorobutane-1-sulfonamide1</t>
        </is>
      </c>
      <c r="C77"/>
      <c r="D77" t="inlineStr">
        <is>
          <t>Measured</t>
        </is>
      </c>
      <c r="E77"/>
      <c r="F77" t="n">
        <v>97.0</v>
      </c>
      <c r="G77"/>
      <c r="H77"/>
      <c r="I77"/>
      <c r="J77"/>
      <c r="K77" t="inlineStr">
        <is>
          <t>Daphnia magna</t>
        </is>
      </c>
      <c r="L77" t="inlineStr">
        <is>
          <t>Water Flea</t>
        </is>
      </c>
      <c r="M77" t="inlineStr">
        <is>
          <t>Crustaceans; Standard Test Species</t>
        </is>
      </c>
      <c r="N77" t="inlineStr">
        <is>
          <t>Neonate</t>
        </is>
      </c>
      <c r="O77" t="inlineStr">
        <is>
          <t>&lt;</t>
        </is>
      </c>
      <c r="P77" t="n">
        <v>24.0</v>
      </c>
      <c r="Q77"/>
      <c r="R77"/>
      <c r="S77"/>
      <c r="T77"/>
      <c r="U77" t="inlineStr">
        <is>
          <t>Hour(s)</t>
        </is>
      </c>
      <c r="V77" t="inlineStr">
        <is>
          <t>Renewal</t>
        </is>
      </c>
      <c r="W77" t="inlineStr">
        <is>
          <t>Culture</t>
        </is>
      </c>
      <c r="X77" t="inlineStr">
        <is>
          <t>Lab</t>
        </is>
      </c>
      <c r="Y77" t="n">
        <v>7.0</v>
      </c>
      <c r="Z77" t="inlineStr">
        <is>
          <t>Active ingredient</t>
        </is>
      </c>
      <c r="AA77"/>
      <c r="AB77" t="n">
        <v>5.05</v>
      </c>
      <c r="AC77"/>
      <c r="AD77"/>
      <c r="AE77"/>
      <c r="AF77"/>
      <c r="AG77" t="inlineStr">
        <is>
          <t>AI mg/L</t>
        </is>
      </c>
      <c r="AH77"/>
      <c r="AI77"/>
      <c r="AJ77"/>
      <c r="AK77"/>
      <c r="AL77"/>
      <c r="AM77"/>
      <c r="AN77"/>
      <c r="AO77"/>
      <c r="AP77"/>
      <c r="AQ77"/>
      <c r="AR77"/>
      <c r="AS77"/>
      <c r="AT77"/>
      <c r="AU77"/>
      <c r="AV77"/>
      <c r="AW77"/>
      <c r="AX77" t="inlineStr">
        <is>
          <t>Accumulation</t>
        </is>
      </c>
      <c r="AY77" t="inlineStr">
        <is>
          <t>Residue</t>
        </is>
      </c>
      <c r="AZ77" t="inlineStr">
        <is>
          <t>BAF</t>
        </is>
      </c>
      <c r="BA77" t="inlineStr">
        <is>
          <t>Whole organism</t>
        </is>
      </c>
      <c r="BB77"/>
      <c r="BC77" t="n">
        <v>42.0</v>
      </c>
      <c r="BD77"/>
      <c r="BE77"/>
      <c r="BF77"/>
      <c r="BG77"/>
      <c r="BH77" t="inlineStr">
        <is>
          <t>Day(s)</t>
        </is>
      </c>
      <c r="BI77"/>
      <c r="BJ77" t="n">
        <v>36.1</v>
      </c>
      <c r="BK77"/>
      <c r="BL77"/>
      <c r="BM77"/>
      <c r="BN77"/>
      <c r="BO77" t="inlineStr">
        <is>
          <t>L/kg</t>
        </is>
      </c>
      <c r="BP77"/>
      <c r="BQ77"/>
      <c r="BR77"/>
      <c r="BS77"/>
      <c r="BT77"/>
      <c r="BU77"/>
      <c r="BV77"/>
      <c r="BW77"/>
      <c r="BX77"/>
      <c r="BY77"/>
      <c r="BZ77"/>
      <c r="CA77"/>
      <c r="CB77"/>
      <c r="CC77"/>
      <c r="CD77" t="inlineStr">
        <is>
          <t>Xie,G., C.A.M. Van Gestel, J.A. Vonk, and M.H.S. Kraak</t>
        </is>
      </c>
      <c r="CE77" t="n">
        <v>194419.0</v>
      </c>
      <c r="CF77" t="inlineStr">
        <is>
          <t>Multigeneration Responses of Daphnia magna to Short-Chain Per- and Polyfluorinated Substances (PFAS)</t>
        </is>
      </c>
      <c r="CG77" t="inlineStr">
        <is>
          <t>Ecotoxicol. Environ. Saf.294:11 p.</t>
        </is>
      </c>
      <c r="CH77" t="n">
        <v>2025.0</v>
      </c>
      <c r="CI77" t="inlineStr">
        <is>
          <t>Xie,G., C.A.M. Van Gestel, J.A. Vonk, and M.H.S. Kraak (2025). Multigeneration Responses of Daphnia magna to Short-Chain Per- and Polyfluorinated Substances (PFAS). Ecotoxicol. Environ. Saf., 294, 11 p. doi:10.1016/j.ecoenv.2025.118078. ECOREF#:194419</t>
        </is>
      </c>
    </row>
    <row r="78">
      <c r="A78" t="n">
        <v>3.0334691E7</v>
      </c>
      <c r="B78" t="inlineStr">
        <is>
          <t>1,1,2,2,3,3,4,4,4-Nonafluorobutane-1-sulfonamide1</t>
        </is>
      </c>
      <c r="C78"/>
      <c r="D78" t="inlineStr">
        <is>
          <t>Measured</t>
        </is>
      </c>
      <c r="E78"/>
      <c r="F78" t="n">
        <v>97.0</v>
      </c>
      <c r="G78"/>
      <c r="H78"/>
      <c r="I78"/>
      <c r="J78"/>
      <c r="K78" t="inlineStr">
        <is>
          <t>Daphnia magna</t>
        </is>
      </c>
      <c r="L78" t="inlineStr">
        <is>
          <t>Water Flea</t>
        </is>
      </c>
      <c r="M78" t="inlineStr">
        <is>
          <t>Crustaceans; Standard Test Species</t>
        </is>
      </c>
      <c r="N78" t="inlineStr">
        <is>
          <t>Neonate</t>
        </is>
      </c>
      <c r="O78" t="inlineStr">
        <is>
          <t>&lt;</t>
        </is>
      </c>
      <c r="P78" t="n">
        <v>24.0</v>
      </c>
      <c r="Q78"/>
      <c r="R78"/>
      <c r="S78"/>
      <c r="T78"/>
      <c r="U78" t="inlineStr">
        <is>
          <t>Hour(s)</t>
        </is>
      </c>
      <c r="V78" t="inlineStr">
        <is>
          <t>Renewal</t>
        </is>
      </c>
      <c r="W78" t="inlineStr">
        <is>
          <t>Culture</t>
        </is>
      </c>
      <c r="X78" t="inlineStr">
        <is>
          <t>Lab</t>
        </is>
      </c>
      <c r="Y78" t="n">
        <v>7.0</v>
      </c>
      <c r="Z78" t="inlineStr">
        <is>
          <t>Active ingredient</t>
        </is>
      </c>
      <c r="AA78"/>
      <c r="AB78" t="n">
        <v>9.85</v>
      </c>
      <c r="AC78"/>
      <c r="AD78"/>
      <c r="AE78"/>
      <c r="AF78"/>
      <c r="AG78" t="inlineStr">
        <is>
          <t>AI mg/L</t>
        </is>
      </c>
      <c r="AH78"/>
      <c r="AI78"/>
      <c r="AJ78"/>
      <c r="AK78"/>
      <c r="AL78"/>
      <c r="AM78"/>
      <c r="AN78"/>
      <c r="AO78"/>
      <c r="AP78"/>
      <c r="AQ78"/>
      <c r="AR78"/>
      <c r="AS78"/>
      <c r="AT78"/>
      <c r="AU78"/>
      <c r="AV78"/>
      <c r="AW78"/>
      <c r="AX78" t="inlineStr">
        <is>
          <t>Accumulation</t>
        </is>
      </c>
      <c r="AY78" t="inlineStr">
        <is>
          <t>Residue</t>
        </is>
      </c>
      <c r="AZ78" t="inlineStr">
        <is>
          <t>BAF</t>
        </is>
      </c>
      <c r="BA78" t="inlineStr">
        <is>
          <t>Whole organism</t>
        </is>
      </c>
      <c r="BB78"/>
      <c r="BC78" t="n">
        <v>42.0</v>
      </c>
      <c r="BD78"/>
      <c r="BE78"/>
      <c r="BF78"/>
      <c r="BG78"/>
      <c r="BH78" t="inlineStr">
        <is>
          <t>Day(s)</t>
        </is>
      </c>
      <c r="BI78"/>
      <c r="BJ78" t="n">
        <v>47.9</v>
      </c>
      <c r="BK78"/>
      <c r="BL78"/>
      <c r="BM78"/>
      <c r="BN78"/>
      <c r="BO78" t="inlineStr">
        <is>
          <t>L/kg</t>
        </is>
      </c>
      <c r="BP78"/>
      <c r="BQ78"/>
      <c r="BR78"/>
      <c r="BS78"/>
      <c r="BT78"/>
      <c r="BU78"/>
      <c r="BV78"/>
      <c r="BW78"/>
      <c r="BX78"/>
      <c r="BY78"/>
      <c r="BZ78"/>
      <c r="CA78"/>
      <c r="CB78"/>
      <c r="CC78"/>
      <c r="CD78" t="inlineStr">
        <is>
          <t>Xie,G., C.A.M. Van Gestel, J.A. Vonk, and M.H.S. Kraak</t>
        </is>
      </c>
      <c r="CE78" t="n">
        <v>194419.0</v>
      </c>
      <c r="CF78" t="inlineStr">
        <is>
          <t>Multigeneration Responses of Daphnia magna to Short-Chain Per- and Polyfluorinated Substances (PFAS)</t>
        </is>
      </c>
      <c r="CG78" t="inlineStr">
        <is>
          <t>Ecotoxicol. Environ. Saf.294:11 p.</t>
        </is>
      </c>
      <c r="CH78" t="n">
        <v>2025.0</v>
      </c>
      <c r="CI78" t="inlineStr">
        <is>
          <t>Xie,G., C.A.M. Van Gestel, J.A. Vonk, and M.H.S. Kraak (2025). Multigeneration Responses of Daphnia magna to Short-Chain Per- and Polyfluorinated Substances (PFAS). Ecotoxicol. Environ. Saf., 294, 11 p. doi:10.1016/j.ecoenv.2025.118078. ECOREF#:194419</t>
        </is>
      </c>
    </row>
    <row r="79">
      <c r="A79" t="n">
        <v>3.0334691E7</v>
      </c>
      <c r="B79" t="inlineStr">
        <is>
          <t>1,1,2,2,3,3,4,4,4-Nonafluorobutane-1-sulfonamide1</t>
        </is>
      </c>
      <c r="C79"/>
      <c r="D79" t="inlineStr">
        <is>
          <t>Unmeasured</t>
        </is>
      </c>
      <c r="E79"/>
      <c r="F79" t="n">
        <v>97.0</v>
      </c>
      <c r="G79"/>
      <c r="H79"/>
      <c r="I79"/>
      <c r="J79"/>
      <c r="K79" t="inlineStr">
        <is>
          <t>Danio rerio</t>
        </is>
      </c>
      <c r="L79" t="inlineStr">
        <is>
          <t>Zebra Danio</t>
        </is>
      </c>
      <c r="M79" t="inlineStr">
        <is>
          <t>Fish; Standard Test Species</t>
        </is>
      </c>
      <c r="N79" t="inlineStr">
        <is>
          <t>Embryo</t>
        </is>
      </c>
      <c r="O79"/>
      <c r="P79" t="n">
        <v>8.0</v>
      </c>
      <c r="Q79"/>
      <c r="R79"/>
      <c r="S79"/>
      <c r="T79"/>
      <c r="U79" t="inlineStr">
        <is>
          <t>Hours post fertilization</t>
        </is>
      </c>
      <c r="V79" t="inlineStr">
        <is>
          <t>Static</t>
        </is>
      </c>
      <c r="W79" t="inlineStr">
        <is>
          <t>Culture</t>
        </is>
      </c>
      <c r="X79" t="inlineStr">
        <is>
          <t>Lab</t>
        </is>
      </c>
      <c r="Y79" t="n">
        <v>2.0</v>
      </c>
      <c r="Z79" t="inlineStr">
        <is>
          <t>Active ingredient</t>
        </is>
      </c>
      <c r="AA79"/>
      <c r="AB79" t="n">
        <v>14.058217</v>
      </c>
      <c r="AC79"/>
      <c r="AD79"/>
      <c r="AE79"/>
      <c r="AF79"/>
      <c r="AG79" t="inlineStr">
        <is>
          <t>AI mg/L</t>
        </is>
      </c>
      <c r="AH79"/>
      <c r="AI79"/>
      <c r="AJ79"/>
      <c r="AK79"/>
      <c r="AL79"/>
      <c r="AM79"/>
      <c r="AN79"/>
      <c r="AO79"/>
      <c r="AP79"/>
      <c r="AQ79"/>
      <c r="AR79"/>
      <c r="AS79"/>
      <c r="AT79"/>
      <c r="AU79"/>
      <c r="AV79"/>
      <c r="AW79"/>
      <c r="AX79" t="inlineStr">
        <is>
          <t>Accumulation</t>
        </is>
      </c>
      <c r="AY79" t="inlineStr">
        <is>
          <t>Residue</t>
        </is>
      </c>
      <c r="AZ79" t="inlineStr">
        <is>
          <t>BCF</t>
        </is>
      </c>
      <c r="BA79" t="inlineStr">
        <is>
          <t>Whole organism</t>
        </is>
      </c>
      <c r="BB79"/>
      <c r="BC79" t="n">
        <v>1.6667</v>
      </c>
      <c r="BD79"/>
      <c r="BE79"/>
      <c r="BF79"/>
      <c r="BG79"/>
      <c r="BH79" t="inlineStr">
        <is>
          <t>Day(s)</t>
        </is>
      </c>
      <c r="BI79"/>
      <c r="BJ79" t="n">
        <v>0.8</v>
      </c>
      <c r="BK79"/>
      <c r="BL79"/>
      <c r="BM79"/>
      <c r="BN79"/>
      <c r="BO79" t="inlineStr">
        <is>
          <t>L/kg</t>
        </is>
      </c>
      <c r="BP79"/>
      <c r="BQ79"/>
      <c r="BR79"/>
      <c r="BS79"/>
      <c r="BT79"/>
      <c r="BU79"/>
      <c r="BV79"/>
      <c r="BW79"/>
      <c r="BX79"/>
      <c r="BY79"/>
      <c r="BZ79"/>
      <c r="CA79"/>
      <c r="CB79"/>
      <c r="CC79"/>
      <c r="CD79" t="inlineStr">
        <is>
          <t>Rericha,Y., D. Cao, L. Truong, M.T. Simonich, J.A. Field, and R.L. Tanguay</t>
        </is>
      </c>
      <c r="CE79" t="n">
        <v>191277.0</v>
      </c>
      <c r="CF79" t="inlineStr">
        <is>
          <t>Sulfonamide Functional Head on Short-Chain Perfluorinated Substance Drives Developmental Toxicity</t>
        </is>
      </c>
      <c r="CG79" t="inlineStr">
        <is>
          <t>iScience25(2): 10 p.</t>
        </is>
      </c>
      <c r="CH79" t="n">
        <v>2022.0</v>
      </c>
      <c r="CI79" t="inlineStr">
        <is>
          <t>Rericha,Y., D. Cao, L. Truong, M.T. Simonich, J.A. Field, and R.L. Tanguay (2022). Sulfonamide Functional Head on Short-Chain Perfluorinated Substance Drives Developmental Toxicity. iScience, 25, (2), 10 p. doi:10.1016/j.isci.2022.103789. ECOREF#:191277</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188866.0</v>
      </c>
      <c r="B2" t="inlineStr">
        <is>
          <t>Annunziato,K.M., M. Marin, W. Liang, S.M. Conlin, W. Qi, J. Doherty, J. Lee, J.M. Clark, Y. Park, and A.R. Timme-Laragy</t>
        </is>
      </c>
      <c r="C2" t="inlineStr">
        <is>
          <t>The Nrf2a Pathway Impacts Zebrafish Offspring Development with Maternal Preconception Exposure to Perfluorobutanesulfonic Acid</t>
        </is>
      </c>
      <c r="D2" t="inlineStr">
        <is>
          <t>Chemosphere287:1-15</t>
        </is>
      </c>
      <c r="E2" t="n">
        <v>2022.0</v>
      </c>
      <c r="F2"/>
      <c r="G2"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c r="H2" s="1" t="n">
        <f>HYPERLINK("https://scholar.google.com/scholar?hl=en&amp;as_q=&amp;as_oq=&amp;as_eq=&amp;as_sauthors=&amp;as_publication=&amp;as_ylo=&amp;as_yhi=&amp;as_occt=title&amp;as_sdt=0%2C5&amp;as_epq=%22The+Nrf2a+Pathway+Impacts+Zebrafish+Offspring+Development+with+Maternal+Preconception+Exposure+to+Perfluorobutan", "Google Scholar")</f>
        <v>0.0</v>
      </c>
    </row>
    <row r="3">
      <c r="A3" t="n">
        <v>184739.0</v>
      </c>
      <c r="B3" t="inlineStr">
        <is>
          <t>Avellan-Llaguno,R.D., X. Liu, L. Liu, S. Dong, and Q. Huang</t>
        </is>
      </c>
      <c r="C3" t="inlineStr">
        <is>
          <t>Elevated Bioaccumulation of PFAAs in Oryzias melastigma Following the Increase of Salinity Is Associated with the up-Regulated Expression of PFAA-Binding Proteins</t>
        </is>
      </c>
      <c r="D3" t="inlineStr">
        <is>
          <t>Sci. Total Environ.725:10 p.</t>
        </is>
      </c>
      <c r="E3" t="n">
        <v>2020.0</v>
      </c>
      <c r="F3"/>
      <c r="G3"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c r="H3" s="2" t="n">
        <f>HYPERLINK("https://scholar.google.com/scholar?hl=en&amp;as_q=&amp;as_oq=&amp;as_eq=&amp;as_sauthors=&amp;as_publication=&amp;as_ylo=&amp;as_yhi=&amp;as_occt=title&amp;as_sdt=0%2C5&amp;as_epq=%22Elevated+Bioaccumulation+of+PFAAs+in+Oryzias+melastigma+Following+the+Increase+of+Salinity+Is+Associated+with+th", "Google Scholar")</f>
        <v>0.0</v>
      </c>
    </row>
    <row r="4">
      <c r="A4" t="n">
        <v>193506.0</v>
      </c>
      <c r="B4" t="inlineStr">
        <is>
          <t>Bai,Y., Q. Wang, J. Li, B. Zhou, P.K.S. Lam, C. Hu, and L. Chen</t>
        </is>
      </c>
      <c r="C4" t="inlineStr">
        <is>
          <t>Significant Variability in the Developmental Toxicity of Representative Perfluoroalkyl Acids as a Function of Chemical Speciation</t>
        </is>
      </c>
      <c r="D4" t="inlineStr">
        <is>
          <t>Environ. Sci. Technol.57(40): 14904-14916</t>
        </is>
      </c>
      <c r="E4" t="n">
        <v>2023.0</v>
      </c>
      <c r="F4"/>
      <c r="G4" t="inlineStr">
        <is>
          <t>Bai,Y., Q. Wang, J. Li, B. Zhou, P.K.S. Lam, C. Hu, and L. Chen (2023). Significant Variability in the Developmental Toxicity of Representative Perfluoroalkyl Acids as a Function of Chemical Speciation. Environ. Sci. Technol., 57, (40), 14904-14916. doi:10.1021/acs.est.3c06178. ECOREF#:193506</t>
        </is>
      </c>
      <c r="H4" s="3" t="n">
        <f>HYPERLINK("https://scholar.google.com/scholar?hl=en&amp;as_q=&amp;as_oq=&amp;as_eq=&amp;as_sauthors=&amp;as_publication=&amp;as_ylo=&amp;as_yhi=&amp;as_occt=title&amp;as_sdt=0%2C5&amp;as_epq=%22Significant+Variability+in+the+Developmental+Toxicity+of+Representative+Perfluoroalkyl+Acids+as+a+Function+of+Ch", "Google Scholar")</f>
        <v>0.0</v>
      </c>
    </row>
    <row r="5">
      <c r="A5" t="n">
        <v>194975.0</v>
      </c>
      <c r="B5" t="inlineStr">
        <is>
          <t>Cao,X., Y. Li, X. Liu, K. Li, S. Hong, H. Chen, Q. Rao, H. Li, Z. Deng, and W. Song</t>
        </is>
      </c>
      <c r="C5" t="inlineStr">
        <is>
          <t>Neurodevelopmental Effects of Exposure to Environmentally Relevant Concentrations of Perfluorooctane Sulfonic Acid (PFOS), Perfluorobutanesulfonic Acid (PFBS) and 6:2 Chlorinated Polyfluorinated Ether Sulfonate (6:2 Cl-</t>
        </is>
      </c>
      <c r="D5" t="inlineStr">
        <is>
          <t>J. Hazard. Mater.494:16 p.</t>
        </is>
      </c>
      <c r="E5" t="n">
        <v>2025.0</v>
      </c>
      <c r="F5"/>
      <c r="G5"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c r="H5" s="4" t="n">
        <f>HYPERLINK("https://scholar.google.com/scholar?hl=en&amp;as_q=&amp;as_oq=&amp;as_eq=&amp;as_sauthors=&amp;as_publication=&amp;as_ylo=&amp;as_yhi=&amp;as_occt=title&amp;as_sdt=0%2C5&amp;as_epq=%22Neurodevelopmental+Effects+of+Exposure+to+Environmentally+Relevant+Concentrations+of+Perfluorooctane+Sulfonic+Ac", "Google Scholar")</f>
        <v>0.0</v>
      </c>
    </row>
    <row r="6">
      <c r="A6" t="n">
        <v>181478.0</v>
      </c>
      <c r="B6" t="inlineStr">
        <is>
          <t>Chen,L., J.C.W. Lam, C. Hu, M.M.P. Tsui, P.K.S. Lam, and B. Zhou</t>
        </is>
      </c>
      <c r="C6" t="inlineStr">
        <is>
          <t>Perfluorobutanesulfonate Exposure Skews Sex Ratio in Fish and Transgenerationally Impairs Reproduction</t>
        </is>
      </c>
      <c r="D6" t="inlineStr">
        <is>
          <t>Environ. Sci. Technol.53(14): 8389-8397</t>
        </is>
      </c>
      <c r="E6" t="n">
        <v>2019.0</v>
      </c>
      <c r="F6"/>
      <c r="G6" t="inlineStr">
        <is>
          <t>Chen,L., J.C.W. Lam, C. Hu, M.M.P. Tsui, P.K.S. Lam, and B. Zhou (2019). Perfluorobutanesulfonate Exposure Skews Sex Ratio in Fish and Transgenerationally Impairs Reproduction. Environ. Sci. Technol., 53, (14), 8389-8397. doi:10.1021/acs.est.9b01711. ECOREF#:181478</t>
        </is>
      </c>
      <c r="H6" s="5" t="n">
        <f>HYPERLINK("https://scholar.google.com/scholar?hl=en&amp;as_q=&amp;as_oq=&amp;as_eq=&amp;as_sauthors=&amp;as_publication=&amp;as_ylo=&amp;as_yhi=&amp;as_occt=title&amp;as_sdt=0%2C5&amp;as_epq=%22Perfluorobutanesulfonate+Exposure+Skews+Sex+Ratio+in+Fish+and+Transgenerationally+Impairs+Reproduction", "Google Scholar")</f>
        <v>0.0</v>
      </c>
    </row>
    <row r="7">
      <c r="A7" t="n">
        <v>181479.0</v>
      </c>
      <c r="B7" t="inlineStr">
        <is>
          <t>Chen,L., J.C.W. Lam, C. Hu, M.M.P. Tsui, Q. Wang, J.P. Giesy, and P.K.S. Lam</t>
        </is>
      </c>
      <c r="C7" t="inlineStr">
        <is>
          <t>Perfluorobutanesulfonate Exposure Causes Durable and Transgenerational Dysbiosis of Gut Microbiota in Marine Medaka</t>
        </is>
      </c>
      <c r="D7" t="inlineStr">
        <is>
          <t>Environ. Sci. Technol. Lett.5(12): 731-738</t>
        </is>
      </c>
      <c r="E7" t="n">
        <v>2018.0</v>
      </c>
      <c r="F7"/>
      <c r="G7" t="inlineStr">
        <is>
          <t>Chen,L., J.C.W. Lam, C. Hu, M.M.P. Tsui, Q. Wang, J.P. Giesy, and P.K.S. Lam (2018). Perfluorobutanesulfonate Exposure Causes Durable and Transgenerational Dysbiosis of Gut Microbiota in Marine Medaka. Environ. Sci. Technol. Lett., 5, (12), 731-738. doi:10.1021/acs.estlett.8b00597. ECOREF#:181479</t>
        </is>
      </c>
      <c r="H7" s="6" t="n">
        <f>HYPERLINK("https://scholar.google.com/scholar?hl=en&amp;as_q=&amp;as_oq=&amp;as_eq=&amp;as_sauthors=&amp;as_publication=&amp;as_ylo=&amp;as_yhi=&amp;as_occt=title&amp;as_sdt=0%2C5&amp;as_epq=%22Perfluorobutanesulfonate+Exposure+Causes+Durable+and+Transgenerational+Dysbiosis+of+Gut+Microbiota+in+Marine+Med", "Google Scholar")</f>
        <v>0.0</v>
      </c>
    </row>
    <row r="8">
      <c r="A8" t="n">
        <v>184469.0</v>
      </c>
      <c r="B8" t="inlineStr">
        <is>
          <t>Chen,L., J.C.W. Lam, L. Tang, C. Hu, M. Liu, P.K.S. Lam, and B. Zhou</t>
        </is>
      </c>
      <c r="C8" t="inlineStr">
        <is>
          <t>Probiotic Modulation of Lipid Metabolism Disorders Caused by Perfluorobutanesulfonate Pollution in Zebrafish</t>
        </is>
      </c>
      <c r="D8" t="inlineStr">
        <is>
          <t>Environ. Sci. Technol.54(12): 7494-7503</t>
        </is>
      </c>
      <c r="E8" t="n">
        <v>2020.0</v>
      </c>
      <c r="F8"/>
      <c r="G8" t="inlineStr">
        <is>
          <t>Chen,L., J.C.W. Lam, L. Tang, C. Hu, M. Liu, P.K.S. Lam, and B. Zhou (2020). Probiotic Modulation of Lipid Metabolism Disorders Caused by Perfluorobutanesulfonate Pollution in Zebrafish. Environ. Sci. Technol., 54, (12), 7494-7503. doi:10.1021/acs.est.0c02345. ECOREF#:184469</t>
        </is>
      </c>
      <c r="H8" s="7" t="n">
        <f>HYPERLINK("https://scholar.google.com/scholar?hl=en&amp;as_q=&amp;as_oq=&amp;as_eq=&amp;as_sauthors=&amp;as_publication=&amp;as_ylo=&amp;as_yhi=&amp;as_occt=title&amp;as_sdt=0%2C5&amp;as_epq=%22Probiotic+Modulation+of+Lipid+Metabolism+Disorders+Caused+by+Perfluorobutanesulfonate+Pollution+in+Zebrafish", "Google Scholar")</f>
        <v>0.0</v>
      </c>
    </row>
    <row r="9">
      <c r="A9" t="n">
        <v>178024.0</v>
      </c>
      <c r="B9" t="inlineStr">
        <is>
          <t>Chen,L., M.M.P. Tsui, Q. Shi, C. Hu, Q. Wang, B. Zhou, P.K.S. Lam, and J.C.W. Lam</t>
        </is>
      </c>
      <c r="C9" t="inlineStr">
        <is>
          <t>Accumulation of Perfluorobutane Sulfonate (PFBS) and Impairment of Visual Function in the Eyes of Marine Medaka After a Life-Cycle Exposure</t>
        </is>
      </c>
      <c r="D9" t="inlineStr">
        <is>
          <t>Aquat. Toxicol.201:1-10</t>
        </is>
      </c>
      <c r="E9" t="n">
        <v>2018.0</v>
      </c>
      <c r="F9"/>
      <c r="G9"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c r="H9" s="8" t="n">
        <f>HYPERLINK("https://scholar.google.com/scholar?hl=en&amp;as_q=&amp;as_oq=&amp;as_eq=&amp;as_sauthors=&amp;as_publication=&amp;as_ylo=&amp;as_yhi=&amp;as_occt=title&amp;as_sdt=0%2C5&amp;as_epq=%22Accumulation+of+Perfluorobutane+Sulfonate+%28PFBS%29+and+Impairment+of+Visual+Function+in+the+Eyes+of+Marine+Med", "Google Scholar")</f>
        <v>0.0</v>
      </c>
    </row>
    <row r="10">
      <c r="A10" t="n">
        <v>193604.0</v>
      </c>
      <c r="B10" t="inlineStr">
        <is>
          <t>Dunn,F., S.E. Paquette, K.D. Pennell, J.S. Plavicki, and K.E. Manz</t>
        </is>
      </c>
      <c r="C10" t="inlineStr">
        <is>
          <t>Metabolomic Changes Following GenX and PFBS Exposure in Developing Zebrafish</t>
        </is>
      </c>
      <c r="D10" t="inlineStr">
        <is>
          <t>Aquat. Toxicol.271:10 p.</t>
        </is>
      </c>
      <c r="E10" t="n">
        <v>2024.0</v>
      </c>
      <c r="F10"/>
      <c r="G10" t="inlineStr">
        <is>
          <t>Dunn,F., S.E. Paquette, K.D. Pennell, J.S. Plavicki, and K.E. Manz (2024). Metabolomic Changes Following GenX and PFBS Exposure in Developing Zebrafish. Aquat. Toxicol., 271, 10 p. doi:10.1016/j.aquatox.2024.106908. ECOREF#:193604</t>
        </is>
      </c>
      <c r="H10" s="9" t="n">
        <f>HYPERLINK("https://scholar.google.com/scholar?hl=en&amp;as_q=&amp;as_oq=&amp;as_eq=&amp;as_sauthors=&amp;as_publication=&amp;as_ylo=&amp;as_yhi=&amp;as_occt=title&amp;as_sdt=0%2C5&amp;as_epq=%22Metabolomic+Changes+Following+GenX+and+PFBS+Exposure+in+Developing+Zebrafish", "Google Scholar")</f>
        <v>0.0</v>
      </c>
    </row>
    <row r="11">
      <c r="A11" t="n">
        <v>190831.0</v>
      </c>
      <c r="B11" t="inlineStr">
        <is>
          <t>Han,J., W. Gu, H. Barrett, D. Yang, S. Tang, J. Sun, J. Liu, H.M. Krause, K.A. Houck, and H. Peng</t>
        </is>
      </c>
      <c r="C11" t="inlineStr">
        <is>
          <t>A Roadmap to the Structure-Related Metabolism Pathways of Per- and Polyfluoroalkyl Substances in the Early Life Stages of Zebrafish (Danio rerio)</t>
        </is>
      </c>
      <c r="D11" t="inlineStr">
        <is>
          <t>Environ. Health Perspect.129(7): 15 p.</t>
        </is>
      </c>
      <c r="E11" t="n">
        <v>2021.0</v>
      </c>
      <c r="F11"/>
      <c r="G11"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11" s="10"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12">
      <c r="A12" t="n">
        <v>195401.0</v>
      </c>
      <c r="B12" t="inlineStr">
        <is>
          <t>Pollard,S., A.O. De Silva, and D.B.D. Simmons</t>
        </is>
      </c>
      <c r="C12" t="inlineStr">
        <is>
          <t>Metabolic, Neurotoxic and Immunotoxic Effects of PFAAs and Their Mixtures on the Proteome of the Head Kidney and Plasma from Rainbow Trout (Oncorhynchus mykiss)</t>
        </is>
      </c>
      <c r="D12" t="inlineStr">
        <is>
          <t>Sci. Total Environ.928:12 p.</t>
        </is>
      </c>
      <c r="E12" t="n">
        <v>2024.0</v>
      </c>
      <c r="F12"/>
      <c r="G12"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c r="H12" s="11" t="n">
        <f>HYPERLINK("https://scholar.google.com/scholar?hl=en&amp;as_q=&amp;as_oq=&amp;as_eq=&amp;as_sauthors=&amp;as_publication=&amp;as_ylo=&amp;as_yhi=&amp;as_occt=title&amp;as_sdt=0%2C5&amp;as_epq=%22Metabolic%2C+Neurotoxic+and+Immunotoxic+Effects+of+PFAAs+and+Their+Mixtures+on+the+Proteome+of+the+Head+Kidney+a", "Google Scholar")</f>
        <v>0.0</v>
      </c>
    </row>
    <row r="13">
      <c r="A13" t="n">
        <v>191277.0</v>
      </c>
      <c r="B13" t="inlineStr">
        <is>
          <t>Rericha,Y., D. Cao, L. Truong, M.T. Simonich, J.A. Field, and R.L. Tanguay</t>
        </is>
      </c>
      <c r="C13" t="inlineStr">
        <is>
          <t>Sulfonamide Functional Head on Short-Chain Perfluorinated Substance Drives Developmental Toxicity</t>
        </is>
      </c>
      <c r="D13" t="inlineStr">
        <is>
          <t>iScience25(2): 10 p.</t>
        </is>
      </c>
      <c r="E13" t="n">
        <v>2022.0</v>
      </c>
      <c r="F13"/>
      <c r="G13" t="inlineStr">
        <is>
          <t>Rericha,Y., D. Cao, L. Truong, M.T. Simonich, J.A. Field, and R.L. Tanguay (2022). Sulfonamide Functional Head on Short-Chain Perfluorinated Substance Drives Developmental Toxicity. iScience, 25, (2), 10 p. doi:10.1016/j.isci.2022.103789. ECOREF#:191277</t>
        </is>
      </c>
      <c r="H13" s="12" t="n">
        <f>HYPERLINK("https://scholar.google.com/scholar?hl=en&amp;as_q=&amp;as_oq=&amp;as_eq=&amp;as_sauthors=&amp;as_publication=&amp;as_ylo=&amp;as_yhi=&amp;as_occt=title&amp;as_sdt=0%2C5&amp;as_epq=%22Sulfonamide+Functional+Head+on+Short-Chain+Perfluorinated+Substance+Drives+Developmental+Toxicity", "Google Scholar")</f>
        <v>0.0</v>
      </c>
    </row>
    <row r="14">
      <c r="A14" t="n">
        <v>194034.0</v>
      </c>
      <c r="B14" t="inlineStr">
        <is>
          <t>Rohonczy,J., M.R. Forbes, A.M. Gilroy E, D.J. Carpenter, S.D. Young, A. Morrill, C. Brinovcar, A.O. De Silva, A.J. Bart</t>
        </is>
      </c>
      <c r="C14" t="inlineStr">
        <is>
          <t>Effects of Perfluoroalkyl Sulfonic Acids on Developmental, Physiological, and Immunological Measures in Northern Leopard Frog Tadpoles</t>
        </is>
      </c>
      <c r="D14" t="inlineStr">
        <is>
          <t>Chemosphere365:15 p.</t>
        </is>
      </c>
      <c r="E14" t="n">
        <v>2024.0</v>
      </c>
      <c r="F14"/>
      <c r="G14"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c r="H14" s="13" t="n">
        <f>HYPERLINK("https://scholar.google.com/scholar?hl=en&amp;as_q=&amp;as_oq=&amp;as_eq=&amp;as_sauthors=&amp;as_publication=&amp;as_ylo=&amp;as_yhi=&amp;as_occt=title&amp;as_sdt=0%2C5&amp;as_epq=%22Effects+of+Perfluoroalkyl+Sulfonic+Acids+on+Developmental%2C+Physiological%2C+and+Immunological+Measures+in+Nort", "Google Scholar")</f>
        <v>0.0</v>
      </c>
    </row>
    <row r="15">
      <c r="A15" t="n">
        <v>194651.0</v>
      </c>
      <c r="B15" t="inlineStr">
        <is>
          <t>Santhi,J.J., P.K. Issac, M. Velayutham, P.S.S. Rajan, S.A. Hussain, M.R. Shaik, B. Shaik, and A. Guru</t>
        </is>
      </c>
      <c r="C15" t="inlineStr">
        <is>
          <t>Neurotoxic Effects of Chronic Exposure to Perfluorobutane Sulfonate in Adult Zebrafish (Danio rerio)</t>
        </is>
      </c>
      <c r="D15" t="inlineStr">
        <is>
          <t>Comp. Biochem. Physiol. C Toxicol. Pharmacol.292:13 p.</t>
        </is>
      </c>
      <c r="E15" t="n">
        <v>2025.0</v>
      </c>
      <c r="F15"/>
      <c r="G15"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c r="H15" s="14" t="n">
        <f>HYPERLINK("https://scholar.google.com/scholar?hl=en&amp;as_q=&amp;as_oq=&amp;as_eq=&amp;as_sauthors=&amp;as_publication=&amp;as_ylo=&amp;as_yhi=&amp;as_occt=title&amp;as_sdt=0%2C5&amp;as_epq=%22Neurotoxic+Effects+of+Chronic+Exposure+to+Perfluorobutane+Sulfonate+in+Adult+Zebrafish+%28Danio+rerio%29", "Google Scholar")</f>
        <v>0.0</v>
      </c>
    </row>
    <row r="16">
      <c r="A16" t="n">
        <v>193924.0</v>
      </c>
      <c r="B16" t="inlineStr">
        <is>
          <t>Santhi,J.J., P.K. Issac, M. Velayutham, S.A. Hussain, M.R. Shaik, B. Shaik, and A. Guru</t>
        </is>
      </c>
      <c r="C16" t="inlineStr">
        <is>
          <t>Reproductive Toxicity of Perfluorobutane Sulfonate in Zebrafish (Danio rerio): Impacts on Oxidative Stress, Hormone Disruption and HPGL Axis Dysregulation</t>
        </is>
      </c>
      <c r="D16" t="inlineStr">
        <is>
          <t>Comp. Biochem. Physiol. C Toxicol. Pharmacol.289:12 p.</t>
        </is>
      </c>
      <c r="E16" t="n">
        <v>2025.0</v>
      </c>
      <c r="F16"/>
      <c r="G16" t="inlineStr">
        <is>
          <t>Santhi,J.J., P.K. Issac, M. Velayutham, S.A. Hussain, M.R. Shaik, B. Shaik, and A. Guru (2025). Reproductive Toxicity of Perfluorobutane Sulfonate in Zebrafish (Danio rerio): Impacts on Oxidative Stress, Hormone Disruption and HPGL Axis Dysregulation. Comp. Biochem. Physiol. C Toxicol. Pharmacol., 289, 12 p. doi:10.1016/j.cbpc.2025.110122. ECOREF#:193924</t>
        </is>
      </c>
      <c r="H16" s="15" t="n">
        <f>HYPERLINK("https://scholar.google.com/scholar?hl=en&amp;as_q=&amp;as_oq=&amp;as_eq=&amp;as_sauthors=&amp;as_publication=&amp;as_ylo=&amp;as_yhi=&amp;as_occt=title&amp;as_sdt=0%2C5&amp;as_epq=%22Reproductive+Toxicity+of+Perfluorobutane+Sulfonate+in+Zebrafish+%28Danio+rerio%29%3A+Impacts+on+Oxidative+Stress", "Google Scholar")</f>
        <v>0.0</v>
      </c>
    </row>
    <row r="17">
      <c r="A17" t="n">
        <v>195127.0</v>
      </c>
      <c r="B17" t="inlineStr">
        <is>
          <t>Shu,Y., Q. Wang, J. He, H. Zhang, P. Hong, K.M.Y. Leung, L. Chen, and H. Wu</t>
        </is>
      </c>
      <c r="C17" t="inlineStr">
        <is>
          <t>Perfluorobutanesulfonate Interfering with the Intestinal Remodeling During Lithobates catesbeiana Metamorphosis via the Hypothalamic-Pituitary-Thyroid Axis</t>
        </is>
      </c>
      <c r="D17" t="inlineStr">
        <is>
          <t>Environ. Sci. Technol.59(11): 5463-5473</t>
        </is>
      </c>
      <c r="E17" t="n">
        <v>2025.0</v>
      </c>
      <c r="F17"/>
      <c r="G17"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c r="H17" s="16" t="n">
        <f>HYPERLINK("https://scholar.google.com/scholar?hl=en&amp;as_q=&amp;as_oq=&amp;as_eq=&amp;as_sauthors=&amp;as_publication=&amp;as_ylo=&amp;as_yhi=&amp;as_occt=title&amp;as_sdt=0%2C5&amp;as_epq=%22Perfluorobutanesulfonate+Interfering+with+the+Intestinal+Remodeling+During+Lithobates+catesbeiana+Metamorphosis+", "Google Scholar")</f>
        <v>0.0</v>
      </c>
    </row>
    <row r="18">
      <c r="A18" t="n">
        <v>175712.0</v>
      </c>
      <c r="B18" t="inlineStr">
        <is>
          <t>Stevenson,C.N., L.A. MacManus-Spencer, T. Luckenbach, R.G. Luthy, and D. Epel</t>
        </is>
      </c>
      <c r="C18" t="inlineStr">
        <is>
          <t>New Perspectives on Perfluorochemical Ecotoxicology: Inhibition and Induction of an Efflux Transporter in the Marine Mussel, Mytilus californianus</t>
        </is>
      </c>
      <c r="D18" t="inlineStr">
        <is>
          <t>Environ. Sci. Technol.40(17): 5580-5585</t>
        </is>
      </c>
      <c r="E18" t="n">
        <v>2006.0</v>
      </c>
      <c r="F18"/>
      <c r="G18"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18" s="17"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19">
      <c r="A19" t="n">
        <v>194792.0</v>
      </c>
      <c r="B19" t="inlineStr">
        <is>
          <t>Su,S., Z. Yang, Y. Gong, Y. Xie, J. Tang, C. Wang, X. Zhao, J.C. Raine, J.P. Giesy, and P.D. Jones</t>
        </is>
      </c>
      <c r="C19" t="inlineStr">
        <is>
          <t>Apical Effects of Simulated Maternal Exposure of Salmonid Fishes to Novel and Typical Per- and Polyfluoroalkyl Substances</t>
        </is>
      </c>
      <c r="D19" t="inlineStr">
        <is>
          <t>Environ. Toxicol. Chem.44(7): 1883-1890</t>
        </is>
      </c>
      <c r="E19" t="n">
        <v>2025.0</v>
      </c>
      <c r="F19"/>
      <c r="G19"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c r="H19" s="18" t="n">
        <f>HYPERLINK("https://scholar.google.com/scholar?hl=en&amp;as_q=&amp;as_oq=&amp;as_eq=&amp;as_sauthors=&amp;as_publication=&amp;as_ylo=&amp;as_yhi=&amp;as_occt=title&amp;as_sdt=0%2C5&amp;as_epq=%22Apical+Effects+of+Simulated+Maternal+Exposure+of+Salmonid+Fishes+to+Novel+and+Typical+Per-+and+Polyfluoroalkyl+S", "Google Scholar")</f>
        <v>0.0</v>
      </c>
    </row>
    <row r="20">
      <c r="A20" t="n">
        <v>193615.0</v>
      </c>
      <c r="B20" t="inlineStr">
        <is>
          <t>Wasel,O., H. King, Y.J. Choi, L.S. Lee, and J.L. Freeman</t>
        </is>
      </c>
      <c r="C20" t="inlineStr">
        <is>
          <t>Differential Developmental Neurotoxicity and Tissue Uptake of the per- and Polyfluoroalkyl Substance Alternatives, GenX and PFBS</t>
        </is>
      </c>
      <c r="D20" t="inlineStr">
        <is>
          <t>Environ. Sci. Technol.57(48): 19274-19284</t>
        </is>
      </c>
      <c r="E20" t="n">
        <v>2023.0</v>
      </c>
      <c r="F20"/>
      <c r="G20" t="inlineStr">
        <is>
          <t>Wasel,O., H. King, Y.J. Choi, L.S. Lee, and J.L. Freeman (2023). Differential Developmental Neurotoxicity and Tissue Uptake of the per- and Polyfluoroalkyl Substance Alternatives, GenX and PFBS. Environ. Sci. Technol., 57, (48), 19274-19284. doi:10.1021/acs.est.3c05023. ECOREF#:193615</t>
        </is>
      </c>
      <c r="H20" s="19" t="n">
        <f>HYPERLINK("https://scholar.google.com/scholar?hl=en&amp;as_q=&amp;as_oq=&amp;as_eq=&amp;as_sauthors=&amp;as_publication=&amp;as_ylo=&amp;as_yhi=&amp;as_occt=title&amp;as_sdt=0%2C5&amp;as_epq=%22Differential+Developmental+Neurotoxicity+and+Tissue+Uptake+of+the+per-+and+Polyfluoroalkyl+Substance+Alternative", "Google Scholar")</f>
        <v>0.0</v>
      </c>
    </row>
    <row r="21">
      <c r="A21" t="n">
        <v>191130.0</v>
      </c>
      <c r="B21" t="inlineStr">
        <is>
          <t>Wu,Y., Q. Xiong, B. Wang, Y. Liu, P. Zhou, L. Hu, F. Liu, and G. Ying</t>
        </is>
      </c>
      <c r="C21" t="inlineStr">
        <is>
          <t>Screening of Structural and Functional Alterations in Duckweed (Lemna minor) Induced by Per- and Polyfluoroalkyl Substances (PFASs) with FTIR Spectroscopy</t>
        </is>
      </c>
      <c r="D21" t="inlineStr">
        <is>
          <t>Environ. Pollut.317:10 p.</t>
        </is>
      </c>
      <c r="E21" t="n">
        <v>2023.0</v>
      </c>
      <c r="F21"/>
      <c r="G21"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c r="H21" s="20" t="n">
        <f>HYPERLINK("https://scholar.google.com/scholar?hl=en&amp;as_q=&amp;as_oq=&amp;as_eq=&amp;as_sauthors=&amp;as_publication=&amp;as_ylo=&amp;as_yhi=&amp;as_occt=title&amp;as_sdt=0%2C5&amp;as_epq=%22Screening+of+Structural+and+Functional+Alterations+in+Duckweed+%28Lemna+minor%29+Induced+by+Per-+and+Polyfluoroa", "Google Scholar")</f>
        <v>0.0</v>
      </c>
    </row>
    <row r="22">
      <c r="A22" t="n">
        <v>194419.0</v>
      </c>
      <c r="B22" t="inlineStr">
        <is>
          <t>Xie,G., C.A.M. Van Gestel, J.A. Vonk, and M.H.S. Kraak</t>
        </is>
      </c>
      <c r="C22" t="inlineStr">
        <is>
          <t>Multigeneration Responses of Daphnia magna to Short-Chain Per- and Polyfluorinated Substances (PFAS)</t>
        </is>
      </c>
      <c r="D22" t="inlineStr">
        <is>
          <t>Ecotoxicol. Environ. Saf.294:11 p.</t>
        </is>
      </c>
      <c r="E22" t="n">
        <v>2025.0</v>
      </c>
      <c r="F22"/>
      <c r="G22" t="inlineStr">
        <is>
          <t>Xie,G., C.A.M. Van Gestel, J.A. Vonk, and M.H.S. Kraak (2025). Multigeneration Responses of Daphnia magna to Short-Chain Per- and Polyfluorinated Substances (PFAS). Ecotoxicol. Environ. Saf., 294, 11 p. doi:10.1016/j.ecoenv.2025.118078. ECOREF#:194419</t>
        </is>
      </c>
      <c r="H22" s="21" t="n">
        <f>HYPERLINK("https://scholar.google.com/scholar?hl=en&amp;as_q=&amp;as_oq=&amp;as_eq=&amp;as_sauthors=&amp;as_publication=&amp;as_ylo=&amp;as_yhi=&amp;as_occt=title&amp;as_sdt=0%2C5&amp;as_epq=%22Multigeneration+Responses+of+Daphnia+magna+to+Short-Chain+Per-+and+Polyfluorinated+Substances+%28PFAS%29",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22" t="n">
        <v>46189.98201388889</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PFBS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2026-06-17T03:34:06Z</dcterms:created>
  <dc:creator>Apache POI</dc:creator>
</cp:coreProperties>
</file>